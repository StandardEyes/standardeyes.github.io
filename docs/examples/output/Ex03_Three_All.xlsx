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3.xml" ContentType="application/vnd.openxmlformats-officedocument.spreadsheetml.table+xml"/>
  <Override PartName="/xl/worksheets/sheet9.xml" ContentType="application/vnd.openxmlformats-officedocument.spreadsheetml.worksheet+xml"/>
  <Override PartName="/xl/tables/table4.xml" ContentType="application/vnd.openxmlformats-officedocument.spreadsheetml.table+xml"/>
  <Override PartName="/xl/worksheets/sheet10.xml" ContentType="application/vnd.openxmlformats-officedocument.spreadsheetml.worksheet+xml"/>
  <Override PartName="/xl/tables/table5.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6.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7.xml" ContentType="application/vnd.openxmlformats-officedocument.spreadsheetml.table+xml"/>
  <Override PartName="/xl/worksheets/sheet30.xml" ContentType="application/vnd.openxmlformats-officedocument.spreadsheetml.worksheet+xml"/>
  <Override PartName="/xl/tables/table8.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ables/table9.xml" ContentType="application/vnd.openxmlformats-officedocument.spreadsheetml.table+xml"/>
  <Override PartName="/xl/worksheets/sheet42.xml" ContentType="application/vnd.openxmlformats-officedocument.spreadsheetml.worksheet+xml"/>
  <Override PartName="/xl/tables/table10.xml" ContentType="application/vnd.openxmlformats-officedocument.spreadsheetml.table+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2"/>
  </bookViews>
  <sheets>
    <sheet name="Contents" sheetId="45" state="visible" r:id="rId45"/>
    <sheet name="Manifest" sheetId="44" state="visible" r:id="rId44"/>
    <sheet name="Overview" sheetId="1" state="visible" r:id="rId1"/>
    <sheet name="Baseline &amp; Preop Summary" sheetId="2" state="visible" r:id="rId2"/>
    <sheet name="Outcome Summary" sheetId="3" state="visible" r:id="rId3"/>
    <sheet name="Publication Table" sheetId="4" state="visible" r:id="rId4"/>
    <sheet name="mEYEstro_Reference" sheetId="5" state="visible" r:id="rId5"/>
    <sheet name="mEYEstro_Cohort A" sheetId="6" state="visible" r:id="rId6"/>
    <sheet name="mEYEstro_Cohort B" sheetId="7" state="visible" r:id="rId7"/>
    <sheet name="AstigMATIC_Reference" sheetId="8" state="visible" r:id="rId8"/>
    <sheet name="AstigMATIC_Cohort A" sheetId="9" state="visible" r:id="rId9"/>
    <sheet name="AstigMATIC_Cohort B" sheetId="10" state="visible" r:id="rId10"/>
    <sheet name="Astigmatism (JCRS 2025)" sheetId="11" state="visible" r:id="rId11"/>
    <sheet name="Astigmatism vectors" sheetId="12" state="visible" r:id="rId12"/>
    <sheet name="GEE_Main_Unmatched_Base" sheetId="13" state="visible" r:id="rId13"/>
    <sheet name="GEE_Main_Unmatched_Preop" sheetId="14" state="visible" r:id="rId14"/>
    <sheet name="GEE_Main_Unmatched_Out" sheetId="15" state="visible" r:id="rId15"/>
    <sheet name="GEE_Adj_Unmatched_Base" sheetId="16" state="visible" r:id="rId16"/>
    <sheet name="GEE_Adj_Unmatched_Preop" sheetId="17" state="visible" r:id="rId17"/>
    <sheet name="GEE_Adj_Unmatched_Out" sheetId="18" state="visible" r:id="rId18"/>
    <sheet name="Regression (adjusted)" sheetId="19" state="visible" r:id="rId19"/>
    <sheet name="PSM_Cohort A_vs_Reference" sheetId="20" state="visible" r:id="rId20"/>
    <sheet name="GEE_M_Cohort A_vs_Reference" sheetId="21" state="visible" r:id="rId21"/>
    <sheet name="GEE_Adj_M_Cohort A_vs_Reference" sheetId="22" state="visible" r:id="rId22"/>
    <sheet name="Reg_M_Cohort A_vs_Reference" sheetId="23" state="visible" r:id="rId23"/>
    <sheet name="BasePreop_M_Cohort A_vs_Referen" sheetId="24" state="visible" r:id="rId24"/>
    <sheet name="Out_M_Cohort A_vs_Reference" sheetId="25" state="visible" r:id="rId25"/>
    <sheet name="Pub_M_Cohort A_vs_Reference" sheetId="26" state="visible" r:id="rId26"/>
    <sheet name="mEYEstro_M1_Reference" sheetId="27" state="visible" r:id="rId27"/>
    <sheet name="mEYEstro_M1_Cohort A" sheetId="28" state="visible" r:id="rId28"/>
    <sheet name="AstigMATIC_M1_Reference" sheetId="29" state="visible" r:id="rId29"/>
    <sheet name="AstigMATIC_M1_Cohort A" sheetId="30" state="visible" r:id="rId30"/>
    <sheet name="Astig_M_Cohort A_vs_Reference" sheetId="31" state="visible" r:id="rId31"/>
    <sheet name="PSM_Cohort B_vs_Reference" sheetId="32" state="visible" r:id="rId32"/>
    <sheet name="GEE_M_Cohort B_vs_Reference" sheetId="33" state="visible" r:id="rId33"/>
    <sheet name="GEE_Adj_M_Cohort B_vs_Reference" sheetId="34" state="visible" r:id="rId34"/>
    <sheet name="Reg_M_Cohort B_vs_Reference" sheetId="35" state="visible" r:id="rId35"/>
    <sheet name="BasePreop_M_Cohort B_vs_Referen" sheetId="36" state="visible" r:id="rId36"/>
    <sheet name="Out_M_Cohort B_vs_Reference" sheetId="37" state="visible" r:id="rId37"/>
    <sheet name="Pub_M_Cohort B_vs_Reference" sheetId="38" state="visible" r:id="rId38"/>
    <sheet name="mEYEstro_M2_Reference" sheetId="39" state="visible" r:id="rId39"/>
    <sheet name="mEYEstro_M2_Cohort B" sheetId="40" state="visible" r:id="rId40"/>
    <sheet name="AstigMATIC_M2_Reference" sheetId="41" state="visible" r:id="rId41"/>
    <sheet name="AstigMATIC_M2_Cohort B" sheetId="42" state="visible" r:id="rId42"/>
    <sheet name="Astig_M_Cohort B_vs_Reference" sheetId="43" state="visible" r:id="rId43"/>
  </sheets>
</workbook>
</file>

<file path=xl/sharedStrings.xml><?xml version="1.0" encoding="utf-8"?>
<sst xmlns="http://schemas.openxmlformats.org/spreadsheetml/2006/main" count="2419" uniqueCount="2419">
  <si>
    <t xml:space="preserve">Notes</t>
  </si>
  <si>
    <t xml:space="preserve">Note</t>
  </si>
  <si>
    <t xml:space="preserve">Visual acuity analyzed in logMAR (lower = better): Preop_UDVA, Preop_CDVA, Postop_UDVA, Postop_CDVA - converted from the recorded notation.</t>
  </si>
  <si>
    <t xml:space="preserve">Initial Summary</t>
  </si>
  <si>
    <t xml:space="preserve">Description</t>
  </si>
  <si>
    <t xml:space="preserve">Value</t>
  </si>
  <si>
    <t xml:space="preserve">Number of Patients</t>
  </si>
  <si>
    <t xml:space="preserve">317</t>
  </si>
  <si>
    <t xml:space="preserve">Number of Eyes</t>
  </si>
  <si>
    <t xml:space="preserve">531</t>
  </si>
  <si>
    <t xml:space="preserve">Mean Age (per patient)</t>
  </si>
  <si>
    <t xml:space="preserve">34.94</t>
  </si>
  <si>
    <t xml:space="preserve">SD Age (per patient)</t>
  </si>
  <si>
    <t xml:space="preserve">8.11</t>
  </si>
  <si>
    <t xml:space="preserve">Age Range (per patient)</t>
  </si>
  <si>
    <t xml:space="preserve">19–56</t>
  </si>
  <si>
    <t xml:space="preserve">Mean Follow-up Time (per eye)</t>
  </si>
  <si>
    <t xml:space="preserve">180.18</t>
  </si>
  <si>
    <t xml:space="preserve">SD Follow-up Time (per eye)</t>
  </si>
  <si>
    <t xml:space="preserve">14.63</t>
  </si>
  <si>
    <t xml:space="preserve">Median Follow-up Time [IQR] (per eye)</t>
  </si>
  <si>
    <t xml:space="preserve">180.00 [168.00–192.75]</t>
  </si>
  <si>
    <t xml:space="preserve">Sex (per patient)</t>
  </si>
  <si>
    <t xml:space="preserve">Sex</t>
  </si>
  <si>
    <t xml:space="preserve">Count</t>
  </si>
  <si>
    <t xml:space="preserve">Percentage</t>
  </si>
  <si>
    <t xml:space="preserve">F</t>
  </si>
  <si>
    <t xml:space="preserve">M</t>
  </si>
  <si>
    <t xml:space="preserve">Groups</t>
  </si>
  <si>
    <t xml:space="preserve">Group</t>
  </si>
  <si>
    <t xml:space="preserve">Reference</t>
  </si>
  <si>
    <t xml:space="preserve">Cohort A</t>
  </si>
  <si>
    <t xml:space="preserve">Cohort B</t>
  </si>
  <si>
    <t xml:space="preserve">QC - group assignment by source value</t>
  </si>
  <si>
    <t xml:space="preserve">Value in Cohort</t>
  </si>
  <si>
    <t xml:space="preserve">N</t>
  </si>
  <si>
    <t xml:space="preserve">Baseline</t>
  </si>
  <si>
    <t xml:space="preserve">Parameter</t>
  </si>
  <si>
    <t xml:space="preserve">Reference (n = 226 eyes; 136 patients)</t>
  </si>
  <si>
    <t xml:space="preserve">Cohort A (n = 163 eyes; 97 patients)</t>
  </si>
  <si>
    <t xml:space="preserve">Cohort B (n = 142 eyes; 84 patients)</t>
  </si>
  <si>
    <t xml:space="preserve">P</t>
  </si>
  <si>
    <t xml:space="preserve">Test</t>
  </si>
  <si>
    <t xml:space="preserve">Practical Interpretation</t>
  </si>
  <si>
    <t xml:space="preserve">GEE effect (95% CI)</t>
  </si>
  <si>
    <t xml:space="preserve">GEE P</t>
  </si>
  <si>
    <t xml:space="preserve">Age_Years [per patient]</t>
  </si>
  <si>
    <t xml:space="preserve">34.28 ± 7.73</t>
  </si>
  <si>
    <t xml:space="preserve">38.23 ± 8.38</t>
  </si>
  <si>
    <t xml:space="preserve">32.21 ± 7.16</t>
  </si>
  <si>
    <t xml:space="preserve">&lt;.001</t>
  </si>
  <si>
    <t xml:space="preserve">Welch ANOVA</t>
  </si>
  <si>
    <t xml:space="preserve">Statistically significant (among groups).</t>
  </si>
  <si>
    <t xml:space="preserve">Cohort A: β = 3.95 (95% CI, 1.91 to 5.99)
Cohort B: β = -2.07 (95% CI, -4.19 to 0.06)</t>
  </si>
  <si>
    <t xml:space="preserve">Cohort A: &lt;.001 [Holm] [one row per patient, ordinary model]
Cohort B: .06 [Holm] [one row per patient, ordinary model]</t>
  </si>
  <si>
    <t xml:space="preserve">Preop_SEQ_D</t>
  </si>
  <si>
    <t xml:space="preserve">-3.64 ± 1.75</t>
  </si>
  <si>
    <t xml:space="preserve">-5.01 ± 1.82</t>
  </si>
  <si>
    <t xml:space="preserve">-3.43 ± 1.74</t>
  </si>
  <si>
    <t xml:space="preserve">GEE, exchangeable working correlation, clustered by patient (robust SE (Mancl-DeRouen), F reference)</t>
  </si>
  <si>
    <t xml:space="preserve">Cohort A: β = -1.36 (95% CI, -1.83 to -0.90)
Cohort B: β = 0.31 (95% CI, -0.16 to 0.77)</t>
  </si>
  <si>
    <t xml:space="preserve">Cohort A: &lt;.001 [Holm]
Cohort B: .20 [Holm]</t>
  </si>
  <si>
    <t xml:space="preserve">Preop_Sphere_D</t>
  </si>
  <si>
    <t xml:space="preserve">-3.18 ± 1.79</t>
  </si>
  <si>
    <t xml:space="preserve">-4.62 ± 1.85</t>
  </si>
  <si>
    <t xml:space="preserve">-2.98 ± 1.75</t>
  </si>
  <si>
    <t xml:space="preserve">Cohort A: β = -1.43 (95% CI, -1.91 to -0.96)
Cohort B: β = 0.29 (95% CI, -0.18 to 0.76)</t>
  </si>
  <si>
    <t xml:space="preserve">Cohort A: &lt;.001 [Holm]
Cohort B: .23 [Holm]</t>
  </si>
  <si>
    <t xml:space="preserve">Preop_Cylinder_D</t>
  </si>
  <si>
    <t xml:space="preserve">-0.92 ± 0.59</t>
  </si>
  <si>
    <t xml:space="preserve">-0.77 ± 0.45</t>
  </si>
  <si>
    <t xml:space="preserve">-0.91 ± 0.65</t>
  </si>
  <si>
    <t xml:space="preserve">.07</t>
  </si>
  <si>
    <t xml:space="preserve">Not statistically significant (among groups).</t>
  </si>
  <si>
    <t xml:space="preserve">Cohort A: β = 0.14 (95% CI, 0.02 to 0.27)
Cohort B: β = 0.03 (95% CI, -0.13 to 0.18)</t>
  </si>
  <si>
    <t xml:space="preserve">Cohort A: .06 [Holm]
Cohort B: .74 [Holm]</t>
  </si>
  <si>
    <t xml:space="preserve">Preop_UDVA</t>
  </si>
  <si>
    <t xml:space="preserve">20/198 (0.99 ± 0.46 logMAR); range 20/16 to 20/1000</t>
  </si>
  <si>
    <t xml:space="preserve">20/389 (1.29 ± 0.43 logMAR); range 20/20 to 20/1000</t>
  </si>
  <si>
    <t xml:space="preserve">20/168 (0.92 ± 0.48 logMAR); range 20/20 to 20/1000</t>
  </si>
  <si>
    <t xml:space="preserve">Cohort A: β = 0.29 (95% CI, 0.17 to 0.40)
Cohort B: β = -0.10 (95% CI, -0.23 to 0.03)</t>
  </si>
  <si>
    <t xml:space="preserve">Cohort A: &lt;.001 [Holm]
Cohort B: .13 [Holm]</t>
  </si>
  <si>
    <t xml:space="preserve">Preop_CDVA</t>
  </si>
  <si>
    <t xml:space="preserve">20/19 (-0.03 ± 0.07 logMAR); range 20/12.5 to 20/25</t>
  </si>
  <si>
    <t xml:space="preserve">20/19 (-0.03 ± 0.06 logMAR); range 20/12.5 to 20/25</t>
  </si>
  <si>
    <t xml:space="preserve">20/18 (-0.04 ± 0.06 logMAR); range 20/12.5 to 20/25</t>
  </si>
  <si>
    <t xml:space="preserve">.11</t>
  </si>
  <si>
    <t xml:space="preserve">Cohort A: β = 0.00 (95% CI, -0.02 to 0.01)
Cohort B: β = -0.02 (95% CI, -0.03 to 0.00)</t>
  </si>
  <si>
    <t xml:space="preserve">Cohort A: .91 [Holm]
Cohort B: .11 [Holm]</t>
  </si>
  <si>
    <t xml:space="preserve">Preop_Pachymetry_um</t>
  </si>
  <si>
    <t xml:space="preserve">547.23 ± 26.35</t>
  </si>
  <si>
    <t xml:space="preserve">532.69 ± 23.51 (n = 159)</t>
  </si>
  <si>
    <t xml:space="preserve">555.67 ± 27.65 (n = 139)</t>
  </si>
  <si>
    <t xml:space="preserve">Cohort A: β = -16.16 (95% CI, -22.56 to -9.75)
Cohort B: β = 8.82 (95% CI, 1.54 to 16.10)</t>
  </si>
  <si>
    <t xml:space="preserve">Cohort A: &lt;.001 [Holm]
Cohort B: .02 [Holm]</t>
  </si>
  <si>
    <t xml:space="preserve">Preop_Mean_K_D</t>
  </si>
  <si>
    <t xml:space="preserve">43.44 ± 1.48 (n = 221)</t>
  </si>
  <si>
    <t xml:space="preserve">43.37 ± 1.57 (n = 161)</t>
  </si>
  <si>
    <t xml:space="preserve">43.58 ± 1.38 (n = 137)</t>
  </si>
  <si>
    <t xml:space="preserve">.64</t>
  </si>
  <si>
    <t xml:space="preserve">GEE, independence working correlation (the outcome is almost constant within patients), clustered by patient (robust SE (Mancl-DeRouen), F reference)</t>
  </si>
  <si>
    <t xml:space="preserve">Cohort A: β = -0.07 (95% CI, -0.49 to 0.35)
Cohort B: β = 0.14 (95% CI, -0.26 to 0.55)</t>
  </si>
  <si>
    <t xml:space="preserve">Cohort A: .99 [Holm] [independence working correlation]
Cohort B: .99 [Holm] [independence working correlation]</t>
  </si>
  <si>
    <t xml:space="preserve">Preop_DryEye_Grade</t>
  </si>
  <si>
    <t xml:space="preserve">0 [0–1] (n = 225)</t>
  </si>
  <si>
    <t xml:space="preserve">0 [0–1]</t>
  </si>
  <si>
    <t xml:space="preserve">0 [0–1] (n = 140)</t>
  </si>
  <si>
    <t xml:space="preserve">.16</t>
  </si>
  <si>
    <t xml:space="preserve">GEE on ranks, exchangeable working correlation, clustered by patient (robust SE (Mancl-DeRouen), F reference)</t>
  </si>
  <si>
    <t xml:space="preserve"/>
  </si>
  <si>
    <t xml:space="preserve">Sex (F) [per patient]</t>
  </si>
  <si>
    <t xml:space="preserve">73/136 (53.7%)</t>
  </si>
  <si>
    <t xml:space="preserve">62/97 (63.9%)</t>
  </si>
  <si>
    <t xml:space="preserve">48/84 (57.1%)</t>
  </si>
  <si>
    <t xml:space="preserve">.29</t>
  </si>
  <si>
    <t xml:space="preserve">Chi-squared test</t>
  </si>
  <si>
    <t xml:space="preserve">Cohort A: OR = 1.53 (95% CI, 0.90 to 2.61)
Cohort B: OR = 1.15 (95% CI, 0.67 to 1.99)</t>
  </si>
  <si>
    <t xml:space="preserve">Cohort A: .24 [Holm] [one row per patient, ordinary model]
Cohort B: .62 [Holm] [one row per patient, ordinary model]</t>
  </si>
  <si>
    <t xml:space="preserve">Smoker (Yes) [per patient]</t>
  </si>
  <si>
    <t xml:space="preserve">19/130 (14.6%)</t>
  </si>
  <si>
    <t xml:space="preserve">6/92 (6.5%)</t>
  </si>
  <si>
    <t xml:space="preserve">14/80 (17.5%)</t>
  </si>
  <si>
    <t xml:space="preserve">.08</t>
  </si>
  <si>
    <t xml:space="preserve">Cohort A: OR = 0.41 (95% CI, 0.16 to 1.06)
Cohort B: OR = 1.24 (95% CI, 0.58 to 2.64)</t>
  </si>
  <si>
    <t xml:space="preserve">Cohort A: .13 [Holm] [one row per patient, ordinary model]
Cohort B: .58 [Holm] [one row per patient, ordinary model]</t>
  </si>
  <si>
    <t xml:space="preserve">Surgeon: Surgeon A [per patient]</t>
  </si>
  <si>
    <t xml:space="preserve">50/136 (36.8%)</t>
  </si>
  <si>
    <t xml:space="preserve">44/97 (45.4%)</t>
  </si>
  <si>
    <t xml:space="preserve">33/84 (39.3%)</t>
  </si>
  <si>
    <t xml:space="preserve">.20</t>
  </si>
  <si>
    <t xml:space="preserve">Surgeon: Surgeon B [per patient]</t>
  </si>
  <si>
    <t xml:space="preserve">44/136 (32.4%)</t>
  </si>
  <si>
    <t xml:space="preserve">32/97 (33.0%)</t>
  </si>
  <si>
    <t xml:space="preserve">35/84 (41.7%)</t>
  </si>
  <si>
    <t xml:space="preserve">Surgeon: Surgeon C [per patient]</t>
  </si>
  <si>
    <t xml:space="preserve">42/136 (30.9%)</t>
  </si>
  <si>
    <t xml:space="preserve">21/97 (21.6%)</t>
  </si>
  <si>
    <t xml:space="preserve">16/84 (19.0%)</t>
  </si>
  <si>
    <t xml:space="preserve">Preoperative / intraoperative</t>
  </si>
  <si>
    <t xml:space="preserve">Optical_Zone_mm [per patient]</t>
  </si>
  <si>
    <t xml:space="preserve">6.53 ± 0.16</t>
  </si>
  <si>
    <t xml:space="preserve">6.43 ± 0.15</t>
  </si>
  <si>
    <t xml:space="preserve">6.55 ± 0.15</t>
  </si>
  <si>
    <t xml:space="preserve">Cohort A: β = -0.09 (95% CI, -0.13 to -0.05)
Cohort B: β = 0.02 (95% CI, -0.02 to 0.07)</t>
  </si>
  <si>
    <t xml:space="preserve">Cohort A: &lt;.001 [Holm] [one row per patient, ordinary model]
Cohort B: .26 [Holm] [one row per patient, ordinary model]</t>
  </si>
  <si>
    <t xml:space="preserve">Ablation_or_Lenticule_Depth_um</t>
  </si>
  <si>
    <t xml:space="preserve">60.03 ± 24.43</t>
  </si>
  <si>
    <t xml:space="preserve">75.35 ± 24.26</t>
  </si>
  <si>
    <t xml:space="preserve">57.54 ± 25.70</t>
  </si>
  <si>
    <t xml:space="preserve">Cohort A: β = 15.28 (95% CI, 9.02 to 21.55)
Cohort B: β = -3.89 (95% CI, -10.58 to 2.81)</t>
  </si>
  <si>
    <t xml:space="preserve">Cohort A: &lt;.001 [Holm]
Cohort B: .25 [Holm]</t>
  </si>
  <si>
    <t xml:space="preserve">Procedure: KLEx</t>
  </si>
  <si>
    <t xml:space="preserve">32/226 (14.2%)</t>
  </si>
  <si>
    <t xml:space="preserve">16/163 (9.8%)</t>
  </si>
  <si>
    <t xml:space="preserve">23/142 (16.2%)</t>
  </si>
  <si>
    <t xml:space="preserve">GEE on level indicators, independence working correlation, clustered by patient (robust SE (Mancl-DeRouen), F reference)</t>
  </si>
  <si>
    <t xml:space="preserve">Procedure: LASIK</t>
  </si>
  <si>
    <t xml:space="preserve">104/226 (46.0%)</t>
  </si>
  <si>
    <t xml:space="preserve">48/163 (29.4%)</t>
  </si>
  <si>
    <t xml:space="preserve">80/142 (56.3%)</t>
  </si>
  <si>
    <t xml:space="preserve">Procedure: PRK</t>
  </si>
  <si>
    <t xml:space="preserve">90/226 (39.8%)</t>
  </si>
  <si>
    <t xml:space="preserve">99/163 (60.7%)</t>
  </si>
  <si>
    <t xml:space="preserve">39/142 (27.5%)</t>
  </si>
  <si>
    <t xml:space="preserve">Adjusted effect (95% CI)</t>
  </si>
  <si>
    <t xml:space="preserve">P (adjusted model)</t>
  </si>
  <si>
    <t xml:space="preserve">Adjusted model n (eyes)</t>
  </si>
  <si>
    <t xml:space="preserve">FollowUp_Days</t>
  </si>
  <si>
    <t xml:space="preserve">181.56 ± 14.32 (n = 204)</t>
  </si>
  <si>
    <t xml:space="preserve">179.09 ± 15.14 (n = 149)</t>
  </si>
  <si>
    <t xml:space="preserve">179.29 ± 14.46 (n = 133)</t>
  </si>
  <si>
    <t xml:space="preserve">.18</t>
  </si>
  <si>
    <t xml:space="preserve">Cohort A: β = -2.49 (95% CI, -5.43 to 0.45)
Cohort B: β = -2.31 (95% CI, -5.49 to 0.87)</t>
  </si>
  <si>
    <t xml:space="preserve">Cohort A: .19 [Holm]
Cohort B: .19 [Holm]</t>
  </si>
  <si>
    <t xml:space="preserve">Cohort A vs Reference: β = -2.15 (95% CI, -5.74 to 1.43)
Cohort B vs Reference: β = -2.49 (95% CI, -5.66 to 0.67)</t>
  </si>
  <si>
    <t xml:space="preserve">Cohort A vs Reference: .24 [Holm]
Cohort B vs Reference: .24 [Holm]</t>
  </si>
  <si>
    <t xml:space="preserve">480</t>
  </si>
  <si>
    <t xml:space="preserve">Postop_SEQ_D</t>
  </si>
  <si>
    <t xml:space="preserve">0.06 ± 0.36 (n = 204)</t>
  </si>
  <si>
    <t xml:space="preserve">-0.29 ± 0.37 (n = 149)</t>
  </si>
  <si>
    <t xml:space="preserve">0.05 ± 0.38 (n = 133)</t>
  </si>
  <si>
    <t xml:space="preserve">Cohort A: β = -0.35 (95% CI, -0.44 to -0.26)
Cohort B: β = -0.02 (95% CI, -0.12 to 0.07)</t>
  </si>
  <si>
    <t xml:space="preserve">Cohort A: &lt;.001 [Holm]
Cohort B: .67 [Holm]</t>
  </si>
  <si>
    <t xml:space="preserve">Cohort A vs Reference: β = -0.22 (95% CI, -0.32 to -0.12)
Cohort B vs Reference: β = -0.07 (95% CI, -0.16 to 0.02)</t>
  </si>
  <si>
    <t xml:space="preserve">Cohort A vs Reference: &lt;.001 [Holm]
Cohort B vs Reference: .12 [Holm]</t>
  </si>
  <si>
    <t xml:space="preserve">Postop_Cylinder_D</t>
  </si>
  <si>
    <t xml:space="preserve">-0.27 ± 0.22 (n = 204)</t>
  </si>
  <si>
    <t xml:space="preserve">-0.24 ± 0.14 (n = 149)</t>
  </si>
  <si>
    <t xml:space="preserve">-0.27 ± 0.23 (n = 133)</t>
  </si>
  <si>
    <t xml:space="preserve">.13</t>
  </si>
  <si>
    <t xml:space="preserve">Cohort A: β = 0.04 (95% CI, 0.00 to 0.08)
Cohort B: β = 0.01 (95% CI, -0.05 to 0.06)</t>
  </si>
  <si>
    <t xml:space="preserve">Cohort A: .13 [Holm]
Cohort B: .80 [Holm]</t>
  </si>
  <si>
    <t xml:space="preserve">Cohort A vs Reference: β = 0.04 (95% CI, -0.01 to 0.09)
Cohort B vs Reference: β = 0.01 (95% CI, -0.04 to 0.07)</t>
  </si>
  <si>
    <t xml:space="preserve">Cohort A vs Reference: .18 [Holm]
Cohort B vs Reference: .70 [Holm]</t>
  </si>
  <si>
    <t xml:space="preserve">Postop_UDVA</t>
  </si>
  <si>
    <t xml:space="preserve">20/18 (-0.04 ± 0.11 logMAR); range 20/12.5 to 20/40 (n = 200)</t>
  </si>
  <si>
    <t xml:space="preserve">20/20 (-0.01 ± 0.11 logMAR); range 20/12.5 to 20/40 (n = 146)</t>
  </si>
  <si>
    <t xml:space="preserve">20/18 (-0.04 ± 0.10 logMAR); range 20/12.5 to 20/32 (n = 132)</t>
  </si>
  <si>
    <t xml:space="preserve">.03</t>
  </si>
  <si>
    <t xml:space="preserve">Cohort A: β = 0.03 (95% CI, 0.00 to 0.06)
Cohort B: β = 0.00 (95% CI, -0.03 to 0.02)</t>
  </si>
  <si>
    <t xml:space="preserve">Cohort A vs Reference: β = 0.02 (95% CI, -0.01 to 0.05)
Cohort B vs Reference: β = 0.00 (95% CI, -0.03 to 0.03)</t>
  </si>
  <si>
    <t xml:space="preserve">Cohort A vs Reference: .27 [Holm]
Cohort B vs Reference: .96 [Holm]</t>
  </si>
  <si>
    <t xml:space="preserve">472</t>
  </si>
  <si>
    <t xml:space="preserve">Postop_CDVA</t>
  </si>
  <si>
    <t xml:space="preserve">20/17 (-0.06 ± 0.10 logMAR); range 20/12.5 to 20/40 (n = 204)</t>
  </si>
  <si>
    <t xml:space="preserve">20/18 (-0.05 ± 0.08 logMAR); range 20/12.5 to 20/32 (n = 149)</t>
  </si>
  <si>
    <t xml:space="preserve">20/18 (-0.06 ± 0.09 logMAR); range 20/12.5 to 20/32 (n = 133)</t>
  </si>
  <si>
    <t xml:space="preserve">.66</t>
  </si>
  <si>
    <t xml:space="preserve">Cohort A: β = 0.01 (95% CI, -0.01 to 0.03)
Cohort B: β = 0.01 (95% CI, -0.02 to 0.03)</t>
  </si>
  <si>
    <t xml:space="preserve">Cohort A: .75 [Holm]
Cohort B: .75 [Holm]</t>
  </si>
  <si>
    <t xml:space="preserve">Cohort A vs Reference: β = 0.01 (95% CI, -0.01 to 0.04)
Cohort B vs Reference: β = 0.01 (95% CI, -0.02 to 0.03)</t>
  </si>
  <si>
    <t xml:space="preserve">Cohort A vs Reference: .68 [Holm]
Cohort B vs Reference: .68 [Holm]</t>
  </si>
  <si>
    <t xml:space="preserve">Postop_Haze_Grade</t>
  </si>
  <si>
    <t xml:space="preserve">0 [0–0] (n = 204)</t>
  </si>
  <si>
    <t xml:space="preserve">0 [0–0] (n = 149)</t>
  </si>
  <si>
    <t xml:space="preserve">0 [0–0] (n = 133)</t>
  </si>
  <si>
    <t xml:space="preserve">Patient_Satisfaction_1to5</t>
  </si>
  <si>
    <t xml:space="preserve">5 [4–5] (n = 191)</t>
  </si>
  <si>
    <t xml:space="preserve">4 [3–5] (n = 140)</t>
  </si>
  <si>
    <t xml:space="preserve">4 [4–5] (n = 128)</t>
  </si>
  <si>
    <t xml:space="preserve">DryEye_Symptoms (Yes)</t>
  </si>
  <si>
    <t xml:space="preserve">25/204 (12.3%)</t>
  </si>
  <si>
    <t xml:space="preserve">61/149 (40.9%)</t>
  </si>
  <si>
    <t xml:space="preserve">28/133 (21.1%)</t>
  </si>
  <si>
    <t xml:space="preserve">Binomial GEE, exchangeable working correlation, clustered by patient (robust SE (Mancl-DeRouen), F reference)</t>
  </si>
  <si>
    <t xml:space="preserve">Cohort A: OR = 4.72 (95% CI, 2.57 to 8.66)
Cohort B: OR = 1.78 (95% CI, 0.90 to 3.53)</t>
  </si>
  <si>
    <t xml:space="preserve">Cohort A: &lt;.001 [Holm]
Cohort B: .10 [Holm]</t>
  </si>
  <si>
    <t xml:space="preserve">Cohort A vs Reference: OR = 3.27 (95% CI, 1.56 to 6.86)
Cohort B vs Reference: OR = 2.05 (95% CI, 1.02 to 4.10)</t>
  </si>
  <si>
    <t xml:space="preserve">Cohort A vs Reference: .004 [Holm]
Cohort B vs Reference: .04 [Holm]</t>
  </si>
  <si>
    <t xml:space="preserve">480 (111 events)</t>
  </si>
  <si>
    <t xml:space="preserve">Retreatment_Required (Yes)</t>
  </si>
  <si>
    <t xml:space="preserve">15/204 (7.4%)</t>
  </si>
  <si>
    <t xml:space="preserve">13/149 (8.7%)</t>
  </si>
  <si>
    <t xml:space="preserve">10/133 (7.5%)</t>
  </si>
  <si>
    <t xml:space="preserve">.83</t>
  </si>
  <si>
    <t xml:space="preserve">Cohort A: OR = 1.25 (95% CI, 0.54 to 2.90)
Cohort B: OR = 1.01 (95% CI, 0.42 to 2.42)</t>
  </si>
  <si>
    <t xml:space="preserve">Cohort A: &gt;.99 [Holm]
Cohort B: &gt;.99 [Holm]</t>
  </si>
  <si>
    <t xml:space="preserve">Cohort A vs Reference: OR = 0.99 (95% CI, 0.39 to 2.52)
Cohort B vs Reference: OR = 1.11 (95% CI, 0.44 to 2.75)</t>
  </si>
  <si>
    <t xml:space="preserve">Cohort A vs Reference: &gt;.99 [Holm]
Cohort B vs Reference: &gt;.99 [Holm]</t>
  </si>
  <si>
    <t xml:space="preserve">480 (38 events)</t>
  </si>
  <si>
    <t xml:space="preserve">Complication_Type: Corneal haze</t>
  </si>
  <si>
    <t xml:space="preserve">8/226 (3.5%)</t>
  </si>
  <si>
    <t xml:space="preserve">9/163 (5.5%)</t>
  </si>
  <si>
    <t xml:space="preserve">0/142 (0.0%)</t>
  </si>
  <si>
    <t xml:space="preserve">Permutation test over patients, 9999 permutations (GEE not fitted)</t>
  </si>
  <si>
    <t xml:space="preserve">Not statistically significant (among groups). Note: GEE not fitted: no eye with 'Corneal haze' in Cohort B; no eye with 'Flap or cap complication' in Cohort B; no eye with 'Flap or cap complication' in Cohort A (separation); the P value comes from a permutation test over patients (each patient's eyes kept together; the eyes of a patient with eyes in two groups exchanged within the patient).</t>
  </si>
  <si>
    <t xml:space="preserve">Complication_Type: Diffuse lamellar keratitis</t>
  </si>
  <si>
    <t xml:space="preserve">2/226 (0.9%)</t>
  </si>
  <si>
    <t xml:space="preserve">3/163 (1.8%)</t>
  </si>
  <si>
    <t xml:space="preserve">2/142 (1.4%)</t>
  </si>
  <si>
    <t xml:space="preserve">Complication_Type: Epithelial defect</t>
  </si>
  <si>
    <t xml:space="preserve">4/226 (1.8%)</t>
  </si>
  <si>
    <t xml:space="preserve">5/163 (3.1%)</t>
  </si>
  <si>
    <t xml:space="preserve">3/142 (2.1%)</t>
  </si>
  <si>
    <t xml:space="preserve">Complication_Type: Flap or cap complication</t>
  </si>
  <si>
    <t xml:space="preserve">0/163 (0.0%)</t>
  </si>
  <si>
    <t xml:space="preserve">Complication_Type: No complication</t>
  </si>
  <si>
    <t xml:space="preserve">210/226 (92.9%)</t>
  </si>
  <si>
    <t xml:space="preserve">146/163 (89.6%)</t>
  </si>
  <si>
    <t xml:space="preserve">137/142 (96.5%)</t>
  </si>
  <si>
    <t xml:space="preserve">Baseline characteristics</t>
  </si>
  <si>
    <t xml:space="preserve">Outcomes</t>
  </si>
  <si>
    <t xml:space="preserve">Values:</t>
  </si>
  <si>
    <t xml:space="preserve">- Values are mean ± SD, median [interquartile range], n/N (%) - eyes (or patients) with the level among those with data.</t>
  </si>
  <si>
    <t xml:space="preserve">- Visual acuity: the Snellen geometric mean (logMAR mean ± SD), then the range of the eyes in Snellen.</t>
  </si>
  <si>
    <t xml:space="preserve">- (n = ...) in a cell: the eyes (patients, for a row marked [per patient]) with data, where fewer than the column's n.</t>
  </si>
  <si>
    <t xml:space="preserve">- β = difference from Reference in the variable's units (logMAR for acuity), with its 95% CI.</t>
  </si>
  <si>
    <t xml:space="preserve">- OR = odds ratio of the level named in the row vs Reference, with its 95% CI.</t>
  </si>
  <si>
    <t xml:space="preserve">- [Holm] = P Holm-adjusted across the comparisons with the reference group; the 95% CIs are not adjusted, so a CI can exclude the null while the adjusted P is .05 or more.</t>
  </si>
  <si>
    <t xml:space="preserve">- Adjusted model n (eyes): the complete-case eyes of the adjusted model.</t>
  </si>
  <si>
    <t xml:space="preserve">Tests behind the P values:</t>
  </si>
  <si>
    <t xml:space="preserve">- Welch ANOVA: Age_Years; Optical_Zone_mm.</t>
  </si>
  <si>
    <t xml:space="preserve">- GEE, exchangeable working correlation, clustered by patient (robust SE (Mancl-DeRouen), F reference): Preop_SEQ_D; Preop_Sphere_D; Preop_Cylinder_D; Preop_UDVA; Preop_CDVA; Preop_Pachymetry_um; Ablation_or_Lenticule_Depth_um; FollowUp_Days; Postop_SEQ_D; Postop_Cylinder_D; Postop_UDVA; Postop_CDVA.</t>
  </si>
  <si>
    <t xml:space="preserve">- GEE, independence working correlation (the outcome is almost constant within patients), clustered by patient (robust SE (Mancl-DeRouen), F reference): Preop_Mean_K_D.</t>
  </si>
  <si>
    <t xml:space="preserve">- GEE on ranks, exchangeable working correlation, clustered by patient (robust SE (Mancl-DeRouen), F reference): Preop_DryEye_Grade; Postop_Haze_Grade; Patient_Satisfaction_1to5.</t>
  </si>
  <si>
    <t xml:space="preserve">- Chi-squared test: Sex; Smoker; Surgeon.</t>
  </si>
  <si>
    <t xml:space="preserve">- GEE on level indicators, independence working correlation, clustered by patient (robust SE (Mancl-DeRouen), F reference): Procedure.</t>
  </si>
  <si>
    <t xml:space="preserve">- Binomial GEE, exchangeable working correlation, clustered by patient (robust SE (Mancl-DeRouen), F reference): DryEye_Symptoms; Retreatment_Required.</t>
  </si>
  <si>
    <t xml:space="preserve">- Permutation test over patients, 9999 permutations (GEE not fitted): Complication_Type.</t>
  </si>
  <si>
    <t xml:space="preserve">GroupLabel</t>
  </si>
  <si>
    <t xml:space="preserve">Pre_BCVA</t>
  </si>
  <si>
    <t xml:space="preserve">Post_UCVA</t>
  </si>
  <si>
    <t xml:space="preserve">Post_BCVA</t>
  </si>
  <si>
    <t xml:space="preserve">Pre_Sph</t>
  </si>
  <si>
    <t xml:space="preserve">Pre_Cyl</t>
  </si>
  <si>
    <t xml:space="preserve">Pre_Axis</t>
  </si>
  <si>
    <t xml:space="preserve">Preop_MR_Vertex_Distance</t>
  </si>
  <si>
    <t xml:space="preserve">Intended_Postop_MR_Sphere</t>
  </si>
  <si>
    <t xml:space="preserve">Intended_Postop_MR_Cylinder</t>
  </si>
  <si>
    <t xml:space="preserve">Intended_Postop_MR_Axis</t>
  </si>
  <si>
    <t xml:space="preserve">Intended_Postop_MR_Vertex_Distance</t>
  </si>
  <si>
    <t xml:space="preserve">Post_Sph</t>
  </si>
  <si>
    <t xml:space="preserve">Post_Cyl</t>
  </si>
  <si>
    <t xml:space="preserve">Post_Axis</t>
  </si>
  <si>
    <t xml:space="preserve">Postop_MR_Vertex_Distance</t>
  </si>
  <si>
    <t xml:space="preserve">Post_SEQ</t>
  </si>
  <si>
    <t xml:space="preserve">25</t>
  </si>
  <si>
    <t xml:space="preserve">20</t>
  </si>
  <si>
    <t xml:space="preserve">15-1</t>
  </si>
  <si>
    <t xml:space="preserve">12.5</t>
  </si>
  <si>
    <t xml:space="preserve">40</t>
  </si>
  <si>
    <t xml:space="preserve">30-1</t>
  </si>
  <si>
    <t xml:space="preserve">Eye</t>
  </si>
  <si>
    <t xml:space="preserve">preoperative cylinder</t>
  </si>
  <si>
    <t xml:space="preserve">preoperative axis</t>
  </si>
  <si>
    <t xml:space="preserve">postoperative cylinder</t>
  </si>
  <si>
    <t xml:space="preserve">postoperative axis</t>
  </si>
  <si>
    <t xml:space="preserve">OD</t>
  </si>
  <si>
    <t xml:space="preserve">OS</t>
  </si>
  <si>
    <t xml:space="preserve">Astigmatism per the JCRS 2025 standard (Koch et al., Part II), all analyzed eyes: plus-cylinder format, with-the-rule astigmatism on the left of the double-angle plots. Cohorts: Reference, Cohort A, Cohort B (reference: Reference). Tests clustered by patient.</t>
  </si>
  <si>
    <t xml:space="preserve">Summary per vector and cohort</t>
  </si>
  <si>
    <t xml:space="preserve">Vector</t>
  </si>
  <si>
    <t xml:space="preserve">Cohort</t>
  </si>
  <si>
    <t xml:space="preserve">Eyes</t>
  </si>
  <si>
    <t xml:space="preserve">Patients</t>
  </si>
  <si>
    <t xml:space="preserve">Centroid x (D)</t>
  </si>
  <si>
    <t xml:space="preserve">Centroid y (D)</t>
  </si>
  <si>
    <t xml:space="preserve">Centroid magnitude (D)</t>
  </si>
  <si>
    <t xml:space="preserve">Centroid plus axis (°)</t>
  </si>
  <si>
    <t xml:space="preserve">Centroid</t>
  </si>
  <si>
    <t xml:space="preserve">Total SD (D, N denominator)</t>
  </si>
  <si>
    <t xml:space="preserve">Magnitude mean (D)</t>
  </si>
  <si>
    <t xml:space="preserve">Magnitude SD (D)</t>
  </si>
  <si>
    <t xml:space="preserve">Magnitude median (D)</t>
  </si>
  <si>
    <t xml:space="preserve">Magnitude min (D)</t>
  </si>
  <si>
    <t xml:space="preserve">Magnitude max (D)</t>
  </si>
  <si>
    <t xml:space="preserve">Magnitude RMS (D)</t>
  </si>
  <si>
    <t xml:space="preserve">95% data region</t>
  </si>
  <si>
    <t xml:space="preserve">Eyes in data region</t>
  </si>
  <si>
    <t xml:space="preserve">Centroid 95% confidence region</t>
  </si>
  <si>
    <t xml:space="preserve">PRE (preoperative)</t>
  </si>
  <si>
    <t xml:space="preserve">0.45 D @ 90°</t>
  </si>
  <si>
    <t xml:space="preserve">depth-based convex polygon (as in the WHWK functions): 218 of 226 eyes</t>
  </si>
  <si>
    <t xml:space="preserve">bootstrap convex polygon of the centroid (as in the WHWK functions): 949 of 999 bootstrap centroids (bootstrap over patients, 136 patients)</t>
  </si>
  <si>
    <t xml:space="preserve">0.30 D @ 89°</t>
  </si>
  <si>
    <t xml:space="preserve">depth-based convex polygon (as in the WHWK functions): 156 of 163 eyes</t>
  </si>
  <si>
    <t xml:space="preserve">bootstrap convex polygon of the centroid (as in the WHWK functions): 954 of 999 bootstrap centroids (bootstrap over patients, 97 patients)</t>
  </si>
  <si>
    <t xml:space="preserve">0.33 D @ 90°</t>
  </si>
  <si>
    <t xml:space="preserve">depth-based convex polygon (as in the WHWK functions): 142 of 142 eyes (the depth rule removed no eye: the region is the convex hull of all eyes)</t>
  </si>
  <si>
    <t xml:space="preserve">bootstrap convex polygon of the centroid (as in the WHWK functions): 954 of 999 bootstrap centroids (bootstrap over patients, 84 patients)</t>
  </si>
  <si>
    <t xml:space="preserve">SIA (surgically induced)</t>
  </si>
  <si>
    <t xml:space="preserve">0.44 D @ 180°</t>
  </si>
  <si>
    <t xml:space="preserve">depth-based convex polygon (as in the WHWK functions): 197 of 204 eyes</t>
  </si>
  <si>
    <t xml:space="preserve">bootstrap convex polygon of the centroid (as in the WHWK functions): 949 of 999 bootstrap centroids (bootstrap over patients, 123 patients)</t>
  </si>
  <si>
    <t xml:space="preserve">0.24 D @ 180°</t>
  </si>
  <si>
    <t xml:space="preserve">depth-based convex polygon (as in the WHWK functions): 149 of 149 eyes (the depth rule removed no eye: the region is the convex hull of all eyes)</t>
  </si>
  <si>
    <t xml:space="preserve">bootstrap convex polygon of the centroid (as in the WHWK functions): 954 of 999 bootstrap centroids (bootstrap over patients, 89 patients)</t>
  </si>
  <si>
    <t xml:space="preserve">0.28 D @ 179°</t>
  </si>
  <si>
    <t xml:space="preserve">depth-based convex polygon (as in the WHWK functions): 133 of 133 eyes (the depth rule removed no eye: the region is the convex hull of all eyes)</t>
  </si>
  <si>
    <t xml:space="preserve">bootstrap convex polygon of the centroid (as in the WHWK functions): 959 of 999 bootstrap centroids (bootstrap over patients, 79 patients)</t>
  </si>
  <si>
    <t xml:space="preserve">PE (prediction error = POST; target plano)</t>
  </si>
  <si>
    <t xml:space="preserve">0.04 D @ 92°</t>
  </si>
  <si>
    <t xml:space="preserve">0.01 D @ 76°</t>
  </si>
  <si>
    <t xml:space="preserve">0.05 D @ 90°</t>
  </si>
  <si>
    <t xml:space="preserve">depth-based convex polygon (as in the WHWK functions): 128 of 133 eyes</t>
  </si>
  <si>
    <t xml:space="preserve">Cumulative percentage of eyes by magnitude</t>
  </si>
  <si>
    <t xml:space="preserve">≤ 0.25 D (%)</t>
  </si>
  <si>
    <t xml:space="preserve">≤ 0.50 D (%)</t>
  </si>
  <si>
    <t xml:space="preserve">≤ 0.75 D (%)</t>
  </si>
  <si>
    <t xml:space="preserve">≤ 1.00 D (%)</t>
  </si>
  <si>
    <t xml:space="preserve">≤ 1.25 D (%)</t>
  </si>
  <si>
    <t xml:space="preserve">≤ 1.50 D (%)</t>
  </si>
  <si>
    <t xml:space="preserve">≤ 1.75 D (%)</t>
  </si>
  <si>
    <t xml:space="preserve">≤ 2.00 D (%)</t>
  </si>
  <si>
    <t xml:space="preserve">&gt; 1.00 D (%)</t>
  </si>
  <si>
    <t xml:space="preserve">Centroid against zero (each cohort)</t>
  </si>
  <si>
    <t xml:space="preserve">P (Holm, cohorts of this vector)</t>
  </si>
  <si>
    <t xml:space="preserve">bootstrap projection-distance test (as in the WHWK functions) (B = 999)</t>
  </si>
  <si>
    <t xml:space="preserve">.001</t>
  </si>
  <si>
    <t xml:space="preserve">.003</t>
  </si>
  <si>
    <t xml:space="preserve">P at the bootstrap floor 1/B (B = 999): no bootstrap centroid lay farther from the centroid than zero</t>
  </si>
  <si>
    <t xml:space="preserve">.008</t>
  </si>
  <si>
    <t xml:space="preserve">.02</t>
  </si>
  <si>
    <t xml:space="preserve">.15</t>
  </si>
  <si>
    <t xml:space="preserve">.68</t>
  </si>
  <si>
    <t xml:space="preserve">.049</t>
  </si>
  <si>
    <t xml:space="preserve">Comparisons between cohorts</t>
  </si>
  <si>
    <t xml:space="preserve">Comparison</t>
  </si>
  <si>
    <t xml:space="preserve">Measure</t>
  </si>
  <si>
    <t xml:space="preserve">Values</t>
  </si>
  <si>
    <t xml:space="preserve">P (Holm, vs reference)</t>
  </si>
  <si>
    <t xml:space="preserve">P (Holm, family)</t>
  </si>
  <si>
    <t xml:space="preserve">all cohorts (omnibus)</t>
  </si>
  <si>
    <t xml:space="preserve">Reference 0.45 D @ 90°; Cohort A 0.30 D @ 89°; Cohort B 0.33 D @ 90°</t>
  </si>
  <si>
    <t xml:space="preserve">robust 20%-trimmed T², bootstrap (B = 999)</t>
  </si>
  <si>
    <t xml:space="preserve">.24</t>
  </si>
  <si>
    <t xml:space="preserve">&gt;.99</t>
  </si>
  <si>
    <t xml:space="preserve">Precision</t>
  </si>
  <si>
    <t xml:space="preserve">20%-trimmed mean: Reference 0.70 D; Cohort A 0.66 D; Cohort B 0.71 D</t>
  </si>
  <si>
    <t xml:space="preserve">robust 20%-trimmed means, bootstrap (B = 999)</t>
  </si>
  <si>
    <t xml:space="preserve">.72</t>
  </si>
  <si>
    <t xml:space="preserve">Mean magnitude</t>
  </si>
  <si>
    <t xml:space="preserve">20%-trimmed mean: Reference 0.80 D; Cohort A 0.70 D; Cohort B 0.77 D</t>
  </si>
  <si>
    <t xml:space="preserve">.32</t>
  </si>
  <si>
    <t xml:space="preserve">≤ 0.25 D</t>
  </si>
  <si>
    <t xml:space="preserve">Reference 12.8%; Cohort A 17.8%; Cohort B 19.7%</t>
  </si>
  <si>
    <t xml:space="preserve">GEE (binomial, clustered by patient)</t>
  </si>
  <si>
    <t xml:space="preserve">.19</t>
  </si>
  <si>
    <t xml:space="preserve">≤ 0.50 D</t>
  </si>
  <si>
    <t xml:space="preserve">Reference 37.2%; Cohort A 45.4%; Cohort B 43.7%</t>
  </si>
  <si>
    <t xml:space="preserve">.25</t>
  </si>
  <si>
    <t xml:space="preserve">≤ 0.75 D</t>
  </si>
  <si>
    <t xml:space="preserve">Reference 59.3%; Cohort A 66.9%; Cohort B 59.9%</t>
  </si>
  <si>
    <t xml:space="preserve">.46</t>
  </si>
  <si>
    <t xml:space="preserve">≤ 1.00 D</t>
  </si>
  <si>
    <t xml:space="preserve">Reference 72.6%; Cohort A 79.1%; Cohort B 71.1%</t>
  </si>
  <si>
    <t xml:space="preserve">.42</t>
  </si>
  <si>
    <t xml:space="preserve">≤ 1.25 D</t>
  </si>
  <si>
    <t xml:space="preserve">Reference 81.9%; Cohort A 89.0%; Cohort B 81.0%</t>
  </si>
  <si>
    <t xml:space="preserve">≤ 1.50 D</t>
  </si>
  <si>
    <t xml:space="preserve">Reference 88.1%; Cohort A 96.3%; Cohort B 85.9%</t>
  </si>
  <si>
    <t xml:space="preserve">.01</t>
  </si>
  <si>
    <t xml:space="preserve">≤ 1.75 D</t>
  </si>
  <si>
    <t xml:space="preserve">Reference 92.9%; Cohort A 98.8%; Cohort B 89.4%</t>
  </si>
  <si>
    <t xml:space="preserve">.31</t>
  </si>
  <si>
    <t xml:space="preserve">≤ 2.00 D</t>
  </si>
  <si>
    <t xml:space="preserve">Reference 95.1%; Cohort A 98.8%; Cohort B 93.7%</t>
  </si>
  <si>
    <t xml:space="preserve">Cohort A vs Reference</t>
  </si>
  <si>
    <t xml:space="preserve">Reference 0.45 D @ 90°; Cohort A 0.30 D @ 89°</t>
  </si>
  <si>
    <t xml:space="preserve">.12</t>
  </si>
  <si>
    <t xml:space="preserve">.92</t>
  </si>
  <si>
    <t xml:space="preserve">20%-trimmed mean: Reference 0.70 D; Cohort A 0.66 D</t>
  </si>
  <si>
    <t xml:space="preserve">.48</t>
  </si>
  <si>
    <t xml:space="preserve">.96</t>
  </si>
  <si>
    <t xml:space="preserve">20%-trimmed mean: Reference 0.80 D; Cohort A 0.70 D</t>
  </si>
  <si>
    <t xml:space="preserve">Reference 12.8%; Cohort A 17.8%</t>
  </si>
  <si>
    <t xml:space="preserve">.17</t>
  </si>
  <si>
    <t xml:space="preserve">Reference 37.2%; Cohort A 45.4%</t>
  </si>
  <si>
    <t xml:space="preserve">Reference 59.3%; Cohort A 66.9%</t>
  </si>
  <si>
    <t xml:space="preserve">.23</t>
  </si>
  <si>
    <t xml:space="preserve">Reference 72.6%; Cohort A 79.1%</t>
  </si>
  <si>
    <t xml:space="preserve">.51</t>
  </si>
  <si>
    <t xml:space="preserve">Reference 81.9%; Cohort A 89.0%</t>
  </si>
  <si>
    <t xml:space="preserve">.10</t>
  </si>
  <si>
    <t xml:space="preserve">.88</t>
  </si>
  <si>
    <t xml:space="preserve">Reference 88.1%; Cohort A 96.3%</t>
  </si>
  <si>
    <t xml:space="preserve">Reference 92.9%; Cohort A 98.8%</t>
  </si>
  <si>
    <t xml:space="preserve">.05</t>
  </si>
  <si>
    <t xml:space="preserve">.27</t>
  </si>
  <si>
    <t xml:space="preserve">Reference 95.1%; Cohort A 98.8%</t>
  </si>
  <si>
    <t xml:space="preserve">Cohort B vs Reference</t>
  </si>
  <si>
    <t xml:space="preserve">Reference 0.45 D @ 90°; Cohort B 0.33 D @ 90°</t>
  </si>
  <si>
    <t xml:space="preserve">20%-trimmed mean: Reference 0.70 D; Cohort B 0.71 D</t>
  </si>
  <si>
    <t xml:space="preserve">20%-trimmed mean: Reference 0.80 D; Cohort B 0.77 D</t>
  </si>
  <si>
    <t xml:space="preserve">.76</t>
  </si>
  <si>
    <t xml:space="preserve">Reference 12.8%; Cohort B 19.7%</t>
  </si>
  <si>
    <t xml:space="preserve">.09</t>
  </si>
  <si>
    <t xml:space="preserve">.94</t>
  </si>
  <si>
    <t xml:space="preserve">Reference 37.2%; Cohort B 43.7%</t>
  </si>
  <si>
    <t xml:space="preserve">.22</t>
  </si>
  <si>
    <t xml:space="preserve">Reference 59.3%; Cohort B 59.9%</t>
  </si>
  <si>
    <t xml:space="preserve">Reference 72.6%; Cohort B 71.1%</t>
  </si>
  <si>
    <t xml:space="preserve">Reference 81.9%; Cohort B 81.0%</t>
  </si>
  <si>
    <t xml:space="preserve">.89</t>
  </si>
  <si>
    <t xml:space="preserve">Reference 88.1%; Cohort B 85.9%</t>
  </si>
  <si>
    <t xml:space="preserve">Reference 92.9%; Cohort B 89.4%</t>
  </si>
  <si>
    <t xml:space="preserve">.39</t>
  </si>
  <si>
    <t xml:space="preserve">Reference 95.1%; Cohort B 93.7%</t>
  </si>
  <si>
    <t xml:space="preserve">.67</t>
  </si>
  <si>
    <t xml:space="preserve">Reference 0.44 D @ 180°; Cohort A 0.24 D @ 180°; Cohort B 0.28 D @ 179°</t>
  </si>
  <si>
    <t xml:space="preserve">.04</t>
  </si>
  <si>
    <t xml:space="preserve">.37</t>
  </si>
  <si>
    <t xml:space="preserve">20%-trimmed mean: Reference 0.68 D; Cohort A 0.63 D; Cohort B 0.71 D</t>
  </si>
  <si>
    <t xml:space="preserve">.53</t>
  </si>
  <si>
    <t xml:space="preserve">20%-trimmed mean: Reference 0.79 D; Cohort A 0.65 D; Cohort B 0.74 D</t>
  </si>
  <si>
    <t xml:space="preserve">.58</t>
  </si>
  <si>
    <t xml:space="preserve">Reference 8.3%; Cohort A 9.4%; Cohort B 12.8%</t>
  </si>
  <si>
    <t xml:space="preserve">Reference 28.9%; Cohort A 40.3%; Cohort B 35.3%</t>
  </si>
  <si>
    <t xml:space="preserve">.71</t>
  </si>
  <si>
    <t xml:space="preserve">Reference 52.0%; Cohort A 63.8%; Cohort B 57.1%</t>
  </si>
  <si>
    <t xml:space="preserve">Reference 68.1%; Cohort A 74.5%; Cohort B 69.2%</t>
  </si>
  <si>
    <t xml:space="preserve">.56</t>
  </si>
  <si>
    <t xml:space="preserve">Reference 80.4%; Cohort A 85.9%; Cohort B 81.2%</t>
  </si>
  <si>
    <t xml:space="preserve">.59</t>
  </si>
  <si>
    <t xml:space="preserve">Reference 87.7%; Cohort A 95.3%; Cohort B 86.5%</t>
  </si>
  <si>
    <t xml:space="preserve">Reference 92.2%; Cohort A 98.0%; Cohort B 89.5%</t>
  </si>
  <si>
    <t xml:space="preserve">.35</t>
  </si>
  <si>
    <t xml:space="preserve">Reference 94.1%; Cohort A 100.0%; Cohort B 92.5%</t>
  </si>
  <si>
    <t xml:space="preserve">permutation test over patients, 999 permutations (GEE not fitted: a cohort at 0% or 100%)</t>
  </si>
  <si>
    <t xml:space="preserve">.30</t>
  </si>
  <si>
    <t xml:space="preserve">Reference 0.44 D @ 180°; Cohort A 0.24 D @ 180°</t>
  </si>
  <si>
    <t xml:space="preserve">.06</t>
  </si>
  <si>
    <t xml:space="preserve">.28</t>
  </si>
  <si>
    <t xml:space="preserve">20%-trimmed mean: Reference 0.68 D; Cohort A 0.63 D</t>
  </si>
  <si>
    <t xml:space="preserve">.43</t>
  </si>
  <si>
    <t xml:space="preserve">.86</t>
  </si>
  <si>
    <t xml:space="preserve">20%-trimmed mean: Reference 0.79 D; Cohort A 0.65 D</t>
  </si>
  <si>
    <t xml:space="preserve">Reference 8.3%; Cohort A 9.4%</t>
  </si>
  <si>
    <t xml:space="preserve">Reference 28.9%; Cohort A 40.3%</t>
  </si>
  <si>
    <t xml:space="preserve">Reference 52.0%; Cohort A 63.8%</t>
  </si>
  <si>
    <t xml:space="preserve">.36</t>
  </si>
  <si>
    <t xml:space="preserve">Reference 68.1%; Cohort A 74.5%</t>
  </si>
  <si>
    <t xml:space="preserve">.57</t>
  </si>
  <si>
    <t xml:space="preserve">Reference 80.4%; Cohort A 85.9%</t>
  </si>
  <si>
    <t xml:space="preserve">.63</t>
  </si>
  <si>
    <t xml:space="preserve">Reference 87.7%; Cohort A 95.3%</t>
  </si>
  <si>
    <t xml:space="preserve">Reference 92.2%; Cohort A 98.0%</t>
  </si>
  <si>
    <t xml:space="preserve">Reference 94.1%; Cohort A 100.0%</t>
  </si>
  <si>
    <t xml:space="preserve">Reference 0.44 D @ 180°; Cohort B 0.28 D @ 179°</t>
  </si>
  <si>
    <t xml:space="preserve">20%-trimmed mean: Reference 0.68 D; Cohort B 0.71 D</t>
  </si>
  <si>
    <t xml:space="preserve">.69</t>
  </si>
  <si>
    <t xml:space="preserve">20%-trimmed mean: Reference 0.79 D; Cohort B 0.74 D</t>
  </si>
  <si>
    <t xml:space="preserve">.49</t>
  </si>
  <si>
    <t xml:space="preserve">Reference 8.3%; Cohort B 12.8%</t>
  </si>
  <si>
    <t xml:space="preserve">Reference 28.9%; Cohort B 35.3%</t>
  </si>
  <si>
    <t xml:space="preserve">Reference 52.0%; Cohort B 57.1%</t>
  </si>
  <si>
    <t xml:space="preserve">Reference 68.1%; Cohort B 69.2%</t>
  </si>
  <si>
    <t xml:space="preserve">.81</t>
  </si>
  <si>
    <t xml:space="preserve">Reference 80.4%; Cohort B 81.2%</t>
  </si>
  <si>
    <t xml:space="preserve">.84</t>
  </si>
  <si>
    <t xml:space="preserve">Reference 87.7%; Cohort B 86.5%</t>
  </si>
  <si>
    <t xml:space="preserve">.74</t>
  </si>
  <si>
    <t xml:space="preserve">Reference 92.2%; Cohort B 89.5%</t>
  </si>
  <si>
    <t xml:space="preserve">Reference 94.1%; Cohort B 92.5%</t>
  </si>
  <si>
    <t xml:space="preserve">Reference 0.04 D @ 92°; Cohort A 0.01 D @ 76°; Cohort B 0.05 D @ 90°</t>
  </si>
  <si>
    <t xml:space="preserve">20%-trimmed mean: Reference 0.25 D; Cohort A 0.25 D; Cohort B 0.25 D</t>
  </si>
  <si>
    <t xml:space="preserve">.91</t>
  </si>
  <si>
    <t xml:space="preserve">mean: Reference 0.27 D; Cohort A 0.24 D; Cohort B 0.27 D</t>
  </si>
  <si>
    <t xml:space="preserve">untrimmed bootstrap test (the trimmed statistic is not defined for these data) (B = 999)</t>
  </si>
  <si>
    <t xml:space="preserve">Reference 77.5%; Cohort A 89.3%; Cohort B 82.0%</t>
  </si>
  <si>
    <t xml:space="preserve">Reference 94.6%; Cohort A 98.7%; Cohort B 94.0%</t>
  </si>
  <si>
    <t xml:space="preserve">Reference 98.5%; Cohort A 100.0%; Cohort B 97.7%</t>
  </si>
  <si>
    <t xml:space="preserve">.21</t>
  </si>
  <si>
    <t xml:space="preserve">Reference 99.5%; Cohort A 100.0%; Cohort B 98.5%</t>
  </si>
  <si>
    <t xml:space="preserve">.26</t>
  </si>
  <si>
    <t xml:space="preserve">Reference 99.5%; Cohort A 100.0%; Cohort B 99.2%</t>
  </si>
  <si>
    <t xml:space="preserve">Reference 100.0%; Cohort A 100.0%; Cohort B 100.0%</t>
  </si>
  <si>
    <t xml:space="preserve">Not tested</t>
  </si>
  <si>
    <t xml:space="preserve">Not estimable - every eye is within 1.50 D</t>
  </si>
  <si>
    <t xml:space="preserve">Not estimable - every eye is within 1.75 D</t>
  </si>
  <si>
    <t xml:space="preserve">Not estimable - every eye is within 2.00 D</t>
  </si>
  <si>
    <t xml:space="preserve">Reference 0.04 D @ 92°; Cohort A 0.01 D @ 76°</t>
  </si>
  <si>
    <t xml:space="preserve">.82</t>
  </si>
  <si>
    <t xml:space="preserve">20%-trimmed mean: Reference 0.25 D; Cohort A 0.25 D</t>
  </si>
  <si>
    <t xml:space="preserve">mean: Reference 0.27 D; Cohort A 0.24 D</t>
  </si>
  <si>
    <t xml:space="preserve">Reference 77.5%; Cohort A 89.3%</t>
  </si>
  <si>
    <t xml:space="preserve">.005</t>
  </si>
  <si>
    <t xml:space="preserve">.009</t>
  </si>
  <si>
    <t xml:space="preserve">Reference 94.6%; Cohort A 98.7%</t>
  </si>
  <si>
    <t xml:space="preserve">Reference 98.5%; Cohort A 100.0%</t>
  </si>
  <si>
    <t xml:space="preserve">.80</t>
  </si>
  <si>
    <t xml:space="preserve">Reference 99.5%; Cohort A 100.0%</t>
  </si>
  <si>
    <t xml:space="preserve">Reference 100.0%; Cohort A 100.0%</t>
  </si>
  <si>
    <t xml:space="preserve">Reference 0.04 D @ 92°; Cohort B 0.05 D @ 90°</t>
  </si>
  <si>
    <t xml:space="preserve">.95</t>
  </si>
  <si>
    <t xml:space="preserve">20%-trimmed mean: Reference 0.25 D; Cohort B 0.25 D</t>
  </si>
  <si>
    <t xml:space="preserve">.77</t>
  </si>
  <si>
    <t xml:space="preserve">mean: Reference 0.27 D; Cohort B 0.27 D</t>
  </si>
  <si>
    <t xml:space="preserve">Reference 77.5%; Cohort B 82.0%</t>
  </si>
  <si>
    <t xml:space="preserve">Reference 94.6%; Cohort B 94.0%</t>
  </si>
  <si>
    <t xml:space="preserve">.87</t>
  </si>
  <si>
    <t xml:space="preserve">Reference 98.5%; Cohort B 97.7%</t>
  </si>
  <si>
    <t xml:space="preserve">Reference 99.5%; Cohort B 98.5%</t>
  </si>
  <si>
    <t xml:space="preserve">Reference 99.5%; Cohort B 99.2%</t>
  </si>
  <si>
    <t xml:space="preserve">Reference 100.0%; Cohort B 100.0%</t>
  </si>
  <si>
    <t xml:space="preserve">Preoperative vs postoperative refractive astigmatism, same eyes (McNemar)</t>
  </si>
  <si>
    <t xml:space="preserve">Interval</t>
  </si>
  <si>
    <t xml:space="preserve">Preop within (%)</t>
  </si>
  <si>
    <t xml:space="preserve">Postop within (%)</t>
  </si>
  <si>
    <t xml:space="preserve">Improved (preop above, postop within)</t>
  </si>
  <si>
    <t xml:space="preserve">Worsened (preop within, postop above)</t>
  </si>
  <si>
    <t xml:space="preserve">Chi-squared</t>
  </si>
  <si>
    <t xml:space="preserve">P (Holm, intervals of this cohort)</t>
  </si>
  <si>
    <t xml:space="preserve">McNemar, cluster-adjusted (Durkalski 2003)</t>
  </si>
  <si>
    <t xml:space="preserve">McNemar exact, cluster-level (sign test on patients; fewer than 25 discordant eyes)</t>
  </si>
  <si>
    <t xml:space="preserve">McNemar exact (binomial; fewer than 25 discordant eyes)</t>
  </si>
  <si>
    <t xml:space="preserve">Not estimable - no discordant eyes (every eye on the same side of the interval before and after)</t>
  </si>
  <si>
    <t xml:space="preserve">.002</t>
  </si>
  <si>
    <t xml:space="preserve">.004</t>
  </si>
  <si>
    <t xml:space="preserve">Right and left eyes (centroids)</t>
  </si>
  <si>
    <t xml:space="preserve">0.44 D @ 90°</t>
  </si>
  <si>
    <t xml:space="preserve">0.31 D @ 87°</t>
  </si>
  <si>
    <t xml:space="preserve">0.30 D @ 91°</t>
  </si>
  <si>
    <t xml:space="preserve">0.42 D @ 88°</t>
  </si>
  <si>
    <t xml:space="preserve">0.24 D @ 94°</t>
  </si>
  <si>
    <t xml:space="preserve">0.44 D @ 2°</t>
  </si>
  <si>
    <t xml:space="preserve">0.45 D @ 177°</t>
  </si>
  <si>
    <t xml:space="preserve">0.26 D @ 1°</t>
  </si>
  <si>
    <t xml:space="preserve">0.23 D @ 179°</t>
  </si>
  <si>
    <t xml:space="preserve">0.36 D @ 2°</t>
  </si>
  <si>
    <t xml:space="preserve">0.20 D @ 173°</t>
  </si>
  <si>
    <t xml:space="preserve">0.04 D @ 75°</t>
  </si>
  <si>
    <t xml:space="preserve">0.05 D @ 105°</t>
  </si>
  <si>
    <t xml:space="preserve">0.02 D @ 41°</t>
  </si>
  <si>
    <t xml:space="preserve">0.03 D @ 97°</t>
  </si>
  <si>
    <t xml:space="preserve">0.05 D @ 82°</t>
  </si>
  <si>
    <t xml:space="preserve">0.05 D @ 98°</t>
  </si>
  <si>
    <t xml:space="preserve">Region vertices (doubled-angle x, y)</t>
  </si>
  <si>
    <t xml:space="preserve">Region</t>
  </si>
  <si>
    <t xml:space="preserve">Vertex</t>
  </si>
  <si>
    <t xml:space="preserve">x (D)</t>
  </si>
  <si>
    <t xml:space="preserve">y (D)</t>
  </si>
  <si>
    <t xml:space="preserve">95% data polygon</t>
  </si>
  <si>
    <t xml:space="preserve">centroid 95% confidence polygon</t>
  </si>
  <si>
    <t xml:space="preserve">Method notes</t>
  </si>
  <si>
    <t xml:space="preserve">Vectors in plus-cylinder format (JCRS 2025): x = M cos 2θ, y = M sin 2θ, θ = plus axis; with-the-rule astigmatism to the left, against-the-rule to the right; SIA = postoperative - preoperative, PE = postoperative - target.</t>
  </si>
  <si>
    <t xml:space="preserve">Total SD = sqrt(σx² + σy²) with the population (N) denominator (Part II).</t>
  </si>
  <si>
    <t xml:space="preserve">Data region: 95% depth-based convex polygon (as in the WHWK functions) - the convex hull of the eyes whose depth (the smallest share of eyes on either side of the eye's projection, over the lines through the centroid and each eye; hull vertices take the smallest depth; steps of 1/n) is at least the depth of rank floor(0.05 n + 0.5); depths tie, so it can hold more than 95% of the eyes (the count is given); with fewer than 10 eyes the convex hull of all the eyes.</t>
  </si>
  <si>
    <t xml:space="preserve">Centroid 95% confidence region: bootstrap convex polygon of the centroid (as in the WHWK functions) - the convex hull of the bootstrap centroids nearest the centroid by projection distance (interquartile range by the ideal fourths), 999 bootstrap resamples with patients resampled (seed 20250602), keeping 95% of them for more than 120 resampling units and 95.5% to 98% for 120 or fewer.</t>
  </si>
  <si>
    <t xml:space="preserve">Tests: robust - centroid against zero by the bootstrap projection-distance test (as in the WHWK functions): 999 bootstrap centroids (seed 20250602, the resamples of the bootstrap convex polygon of the centroid) and the null point (0, 0) form one cloud, and P is the share of the bootstrap centroids whose projection distance from the centroid is greater than that of the null point (smallest P 1/B: P = .001 with B = 999 is the bootstrap floor); between cohorts, centroids by a 20%-trimmed Hotelling-type T² (pooled winsorized covariance), precision and mean magnitude by 20%-trimmed means (Yuen / Welch-type), each calibrated by 999 bootstrap resamples with patients resampled within each cohort (seed 20250601). Trimming and winsorizing by order statistics: g = floor(0.2 n) values at each end (Wilcox). A trimmed test is used only when its statistic exists in the data and in at least 95% of the resamples; otherwise the same bootstrap test runs untrimmed (ordinary means and covariance) and is labeled 'untrimmed bootstrap test (the trimmed statistic is not defined for these data)'. Resampling continues until exactly 999 usable resamples (at most 2997 drawn), else the test is not computed; each test is named with the variant that ran; cumulative intervals between cohorts by a binomial GEE clustered by patient (exchangeable working correlation; independence on a matched cohort or where a test is labeled so; robust SE (Mancl-DeRouen), t reference; F reference for the omnibus test; Fisher's exact test with one eye per patient; when the GEE cannot be fitted - typically a cohort at 0% or 100% - a permutation test over patients: the cohort labels permuted across patients, the eyes of a patient kept together, 999 permutations, seed 20250601).</t>
  </si>
  <si>
    <t xml:space="preserve">Precision = each eye's distance to its cohort centroid.</t>
  </si>
  <si>
    <t xml:space="preserve">Cumulative intervals: magnitude ≤ 0.25, 0.50 ... 2.00 D (a magnitude on an interval edge counts as within it); the &gt; 1.00 D column is the complement of ≤ 1.00 D (the same test).</t>
  </si>
  <si>
    <t xml:space="preserve">Holm: 'P (Holm, family)' adjusts within each vector and each comparison (the omnibus, or one cohort vs the reference) across the family {centroid, precision, mean magnitude, ≤ 0.25 ... ≤ 2.00 D}; 'P (Holm, vs reference)' adjusts each measure across the cohorts compared with the reference (as the figures' 'vs' lines); the centroid-against-zero P across the cohorts of a vector; McNemar across the intervals of a cohort.</t>
  </si>
  <si>
    <t xml:space="preserve">McNemar: fewer than 25 discordant eyes - exact binomial test; otherwise the chi-squared test without continuity correction. Clustered by patient when a patient contributes two discordant eyes: below 25 discordant eyes the exact sign test on the patients' net changes, otherwise cluster-adjusted (Durkalski 2003); not estimable when the discordant eyes are from 1 patient.</t>
  </si>
  <si>
    <t xml:space="preserve">Right and left eyes are listed apart; left eyes are not mirrored.</t>
  </si>
  <si>
    <t xml:space="preserve">Patient ID</t>
  </si>
  <si>
    <t xml:space="preserve">Row label</t>
  </si>
  <si>
    <t xml:space="preserve">Magnitude (D)</t>
  </si>
  <si>
    <t xml:space="preserve">Plus axis (°)</t>
  </si>
  <si>
    <t xml:space="preserve">P0001</t>
  </si>
  <si>
    <t xml:space="preserve">P0001-OD</t>
  </si>
  <si>
    <t xml:space="preserve">PE</t>
  </si>
  <si>
    <t xml:space="preserve">P0001-OS</t>
  </si>
  <si>
    <t xml:space="preserve">P0002</t>
  </si>
  <si>
    <t xml:space="preserve">P0002-OD</t>
  </si>
  <si>
    <t xml:space="preserve">P0004</t>
  </si>
  <si>
    <t xml:space="preserve">P0004-OD</t>
  </si>
  <si>
    <t xml:space="preserve">P0004-OS</t>
  </si>
  <si>
    <t xml:space="preserve">P0005</t>
  </si>
  <si>
    <t xml:space="preserve">P0005-OD</t>
  </si>
  <si>
    <t xml:space="preserve">P0006</t>
  </si>
  <si>
    <t xml:space="preserve">P0006-OD</t>
  </si>
  <si>
    <t xml:space="preserve">P0006-OS</t>
  </si>
  <si>
    <t xml:space="preserve">P0007</t>
  </si>
  <si>
    <t xml:space="preserve">P0007-OD</t>
  </si>
  <si>
    <t xml:space="preserve">P0008</t>
  </si>
  <si>
    <t xml:space="preserve">P0008-OD</t>
  </si>
  <si>
    <t xml:space="preserve">P0008-OS</t>
  </si>
  <si>
    <t xml:space="preserve">P0009</t>
  </si>
  <si>
    <t xml:space="preserve">P0009-OD</t>
  </si>
  <si>
    <t xml:space="preserve">P0010</t>
  </si>
  <si>
    <t xml:space="preserve">P0010-OD</t>
  </si>
  <si>
    <t xml:space="preserve">P0010-OS</t>
  </si>
  <si>
    <t xml:space="preserve">P0011</t>
  </si>
  <si>
    <t xml:space="preserve">P0011-OD</t>
  </si>
  <si>
    <t xml:space="preserve">P0011-OS</t>
  </si>
  <si>
    <t xml:space="preserve">P0012</t>
  </si>
  <si>
    <t xml:space="preserve">P0012-OD</t>
  </si>
  <si>
    <t xml:space="preserve">P0013</t>
  </si>
  <si>
    <t xml:space="preserve">P0013-OD</t>
  </si>
  <si>
    <t xml:space="preserve">P0013-OS</t>
  </si>
  <si>
    <t xml:space="preserve">P0014</t>
  </si>
  <si>
    <t xml:space="preserve">P0014-OD</t>
  </si>
  <si>
    <t xml:space="preserve">P0014-OS</t>
  </si>
  <si>
    <t xml:space="preserve">P0015</t>
  </si>
  <si>
    <t xml:space="preserve">P0015-OS</t>
  </si>
  <si>
    <t xml:space="preserve">P0016</t>
  </si>
  <si>
    <t xml:space="preserve">P0016-OS</t>
  </si>
  <si>
    <t xml:space="preserve">P0017</t>
  </si>
  <si>
    <t xml:space="preserve">P0017-OD</t>
  </si>
  <si>
    <t xml:space="preserve">P0017-OS</t>
  </si>
  <si>
    <t xml:space="preserve">P0018</t>
  </si>
  <si>
    <t xml:space="preserve">P0018-OD</t>
  </si>
  <si>
    <t xml:space="preserve">P0018-OS</t>
  </si>
  <si>
    <t xml:space="preserve">P0019</t>
  </si>
  <si>
    <t xml:space="preserve">P0019-OD</t>
  </si>
  <si>
    <t xml:space="preserve">P0019-OS</t>
  </si>
  <si>
    <t xml:space="preserve">P0020</t>
  </si>
  <si>
    <t xml:space="preserve">P0020-OD</t>
  </si>
  <si>
    <t xml:space="preserve">P0020-OS</t>
  </si>
  <si>
    <t xml:space="preserve">P0021</t>
  </si>
  <si>
    <t xml:space="preserve">P0021-OS</t>
  </si>
  <si>
    <t xml:space="preserve">P0022</t>
  </si>
  <si>
    <t xml:space="preserve">P0022-OD</t>
  </si>
  <si>
    <t xml:space="preserve">P0022-OS</t>
  </si>
  <si>
    <t xml:space="preserve">P0023</t>
  </si>
  <si>
    <t xml:space="preserve">P0023-OS</t>
  </si>
  <si>
    <t xml:space="preserve">P0024</t>
  </si>
  <si>
    <t xml:space="preserve">P0024-OD</t>
  </si>
  <si>
    <t xml:space="preserve">P0025</t>
  </si>
  <si>
    <t xml:space="preserve">P0025-OD</t>
  </si>
  <si>
    <t xml:space="preserve">P0025-OS</t>
  </si>
  <si>
    <t xml:space="preserve">P0026</t>
  </si>
  <si>
    <t xml:space="preserve">P0026-OD</t>
  </si>
  <si>
    <t xml:space="preserve">P0026-OS</t>
  </si>
  <si>
    <t xml:space="preserve">P0027</t>
  </si>
  <si>
    <t xml:space="preserve">P0027-OD</t>
  </si>
  <si>
    <t xml:space="preserve">P0027-OS</t>
  </si>
  <si>
    <t xml:space="preserve">P0028</t>
  </si>
  <si>
    <t xml:space="preserve">P0028-OD</t>
  </si>
  <si>
    <t xml:space="preserve">P0028-OS</t>
  </si>
  <si>
    <t xml:space="preserve">P0030</t>
  </si>
  <si>
    <t xml:space="preserve">P0030-OS</t>
  </si>
  <si>
    <t xml:space="preserve">P0033</t>
  </si>
  <si>
    <t xml:space="preserve">P0033-OS</t>
  </si>
  <si>
    <t xml:space="preserve">P0035</t>
  </si>
  <si>
    <t xml:space="preserve">P0035-OD</t>
  </si>
  <si>
    <t xml:space="preserve">P0036</t>
  </si>
  <si>
    <t xml:space="preserve">P0036-OD</t>
  </si>
  <si>
    <t xml:space="preserve">P0036-OS</t>
  </si>
  <si>
    <t xml:space="preserve">P0037</t>
  </si>
  <si>
    <t xml:space="preserve">P0037-OD</t>
  </si>
  <si>
    <t xml:space="preserve">P0037-OS</t>
  </si>
  <si>
    <t xml:space="preserve">P0039</t>
  </si>
  <si>
    <t xml:space="preserve">P0039-OD</t>
  </si>
  <si>
    <t xml:space="preserve">P0039-OS</t>
  </si>
  <si>
    <t xml:space="preserve">P0040</t>
  </si>
  <si>
    <t xml:space="preserve">P0040-OD</t>
  </si>
  <si>
    <t xml:space="preserve">P0040-OS</t>
  </si>
  <si>
    <t xml:space="preserve">P0041</t>
  </si>
  <si>
    <t xml:space="preserve">P0041-OD</t>
  </si>
  <si>
    <t xml:space="preserve">P0041-OS</t>
  </si>
  <si>
    <t xml:space="preserve">P0042</t>
  </si>
  <si>
    <t xml:space="preserve">P0042-OD</t>
  </si>
  <si>
    <t xml:space="preserve">P0042-OS</t>
  </si>
  <si>
    <t xml:space="preserve">P0043</t>
  </si>
  <si>
    <t xml:space="preserve">P0043-OD</t>
  </si>
  <si>
    <t xml:space="preserve">P0044</t>
  </si>
  <si>
    <t xml:space="preserve">P0044-OS</t>
  </si>
  <si>
    <t xml:space="preserve">P0045</t>
  </si>
  <si>
    <t xml:space="preserve">P0045-OS</t>
  </si>
  <si>
    <t xml:space="preserve">P0046</t>
  </si>
  <si>
    <t xml:space="preserve">P0046-OD</t>
  </si>
  <si>
    <t xml:space="preserve">P0046-OS</t>
  </si>
  <si>
    <t xml:space="preserve">P0047</t>
  </si>
  <si>
    <t xml:space="preserve">P0047-OD</t>
  </si>
  <si>
    <t xml:space="preserve">P0047-OS</t>
  </si>
  <si>
    <t xml:space="preserve">P0049</t>
  </si>
  <si>
    <t xml:space="preserve">P0049-OS</t>
  </si>
  <si>
    <t xml:space="preserve">P0050</t>
  </si>
  <si>
    <t xml:space="preserve">P0050-OD</t>
  </si>
  <si>
    <t xml:space="preserve">P0050-OS</t>
  </si>
  <si>
    <t xml:space="preserve">P0051</t>
  </si>
  <si>
    <t xml:space="preserve">P0051-OD</t>
  </si>
  <si>
    <t xml:space="preserve">P0051-OS</t>
  </si>
  <si>
    <t xml:space="preserve">P0052</t>
  </si>
  <si>
    <t xml:space="preserve">P0052-OD</t>
  </si>
  <si>
    <t xml:space="preserve">P0052-OS</t>
  </si>
  <si>
    <t xml:space="preserve">P0053</t>
  </si>
  <si>
    <t xml:space="preserve">P0053-OD</t>
  </si>
  <si>
    <t xml:space="preserve">P0053-OS</t>
  </si>
  <si>
    <t xml:space="preserve">P0054</t>
  </si>
  <si>
    <t xml:space="preserve">P0054-OD</t>
  </si>
  <si>
    <t xml:space="preserve">P0054-OS</t>
  </si>
  <si>
    <t xml:space="preserve">P0055</t>
  </si>
  <si>
    <t xml:space="preserve">P0055-OD</t>
  </si>
  <si>
    <t xml:space="preserve">P0055-OS</t>
  </si>
  <si>
    <t xml:space="preserve">P0056</t>
  </si>
  <si>
    <t xml:space="preserve">P0056-OD</t>
  </si>
  <si>
    <t xml:space="preserve">P0056-OS</t>
  </si>
  <si>
    <t xml:space="preserve">P0057</t>
  </si>
  <si>
    <t xml:space="preserve">P0057-OD</t>
  </si>
  <si>
    <t xml:space="preserve">P0057-OS</t>
  </si>
  <si>
    <t xml:space="preserve">P0058</t>
  </si>
  <si>
    <t xml:space="preserve">P0058-OD</t>
  </si>
  <si>
    <t xml:space="preserve">P0058-OS</t>
  </si>
  <si>
    <t xml:space="preserve">P0059</t>
  </si>
  <si>
    <t xml:space="preserve">P0059-OS</t>
  </si>
  <si>
    <t xml:space="preserve">P0060</t>
  </si>
  <si>
    <t xml:space="preserve">P0060-OD</t>
  </si>
  <si>
    <t xml:space="preserve">P0061</t>
  </si>
  <si>
    <t xml:space="preserve">P0061-OD</t>
  </si>
  <si>
    <t xml:space="preserve">P0061-OS</t>
  </si>
  <si>
    <t xml:space="preserve">P0062</t>
  </si>
  <si>
    <t xml:space="preserve">P0062-OD</t>
  </si>
  <si>
    <t xml:space="preserve">P0062-OS</t>
  </si>
  <si>
    <t xml:space="preserve">P0063</t>
  </si>
  <si>
    <t xml:space="preserve">P0063-OD</t>
  </si>
  <si>
    <t xml:space="preserve">P0063-OS</t>
  </si>
  <si>
    <t xml:space="preserve">P0064</t>
  </si>
  <si>
    <t xml:space="preserve">P0064-OD</t>
  </si>
  <si>
    <t xml:space="preserve">P0064-OS</t>
  </si>
  <si>
    <t xml:space="preserve">P0065</t>
  </si>
  <si>
    <t xml:space="preserve">P0065-OD</t>
  </si>
  <si>
    <t xml:space="preserve">P0065-OS</t>
  </si>
  <si>
    <t xml:space="preserve">P0066</t>
  </si>
  <si>
    <t xml:space="preserve">P0066-OD</t>
  </si>
  <si>
    <t xml:space="preserve">P0066-OS</t>
  </si>
  <si>
    <t xml:space="preserve">P0067</t>
  </si>
  <si>
    <t xml:space="preserve">P0067-OD</t>
  </si>
  <si>
    <t xml:space="preserve">P0067-OS</t>
  </si>
  <si>
    <t xml:space="preserve">P0069</t>
  </si>
  <si>
    <t xml:space="preserve">P0069-OD</t>
  </si>
  <si>
    <t xml:space="preserve">P0069-OS</t>
  </si>
  <si>
    <t xml:space="preserve">P0070</t>
  </si>
  <si>
    <t xml:space="preserve">P0070-OD</t>
  </si>
  <si>
    <t xml:space="preserve">P0070-OS</t>
  </si>
  <si>
    <t xml:space="preserve">P0071</t>
  </si>
  <si>
    <t xml:space="preserve">P0071-OD</t>
  </si>
  <si>
    <t xml:space="preserve">P0071-OS</t>
  </si>
  <si>
    <t xml:space="preserve">P0073</t>
  </si>
  <si>
    <t xml:space="preserve">P0073-OD</t>
  </si>
  <si>
    <t xml:space="preserve">P0073-OS</t>
  </si>
  <si>
    <t xml:space="preserve">P0074</t>
  </si>
  <si>
    <t xml:space="preserve">P0074-OD</t>
  </si>
  <si>
    <t xml:space="preserve">P0074-OS</t>
  </si>
  <si>
    <t xml:space="preserve">P0075</t>
  </si>
  <si>
    <t xml:space="preserve">P0075-OD</t>
  </si>
  <si>
    <t xml:space="preserve">P0075-OS</t>
  </si>
  <si>
    <t xml:space="preserve">P0076</t>
  </si>
  <si>
    <t xml:space="preserve">P0076-OD</t>
  </si>
  <si>
    <t xml:space="preserve">P0076-OS</t>
  </si>
  <si>
    <t xml:space="preserve">P0077</t>
  </si>
  <si>
    <t xml:space="preserve">P0077-OD</t>
  </si>
  <si>
    <t xml:space="preserve">P0077-OS</t>
  </si>
  <si>
    <t xml:space="preserve">P0078</t>
  </si>
  <si>
    <t xml:space="preserve">P0078-OD</t>
  </si>
  <si>
    <t xml:space="preserve">P0078-OS</t>
  </si>
  <si>
    <t xml:space="preserve">P0079</t>
  </si>
  <si>
    <t xml:space="preserve">P0079-OD</t>
  </si>
  <si>
    <t xml:space="preserve">P0079-OS</t>
  </si>
  <si>
    <t xml:space="preserve">P0080</t>
  </si>
  <si>
    <t xml:space="preserve">P0080-OD</t>
  </si>
  <si>
    <t xml:space="preserve">P0080-OS</t>
  </si>
  <si>
    <t xml:space="preserve">P0081</t>
  </si>
  <si>
    <t xml:space="preserve">P0081-OD</t>
  </si>
  <si>
    <t xml:space="preserve">P0082</t>
  </si>
  <si>
    <t xml:space="preserve">P0082-OD</t>
  </si>
  <si>
    <t xml:space="preserve">P0082-OS</t>
  </si>
  <si>
    <t xml:space="preserve">P0083</t>
  </si>
  <si>
    <t xml:space="preserve">P0083-OD</t>
  </si>
  <si>
    <t xml:space="preserve">P0083-OS</t>
  </si>
  <si>
    <t xml:space="preserve">P0084</t>
  </si>
  <si>
    <t xml:space="preserve">P0084-OD</t>
  </si>
  <si>
    <t xml:space="preserve">P0084-OS</t>
  </si>
  <si>
    <t xml:space="preserve">P0085</t>
  </si>
  <si>
    <t xml:space="preserve">P0085-OD</t>
  </si>
  <si>
    <t xml:space="preserve">P0085-OS</t>
  </si>
  <si>
    <t xml:space="preserve">P0086</t>
  </si>
  <si>
    <t xml:space="preserve">P0086-OD</t>
  </si>
  <si>
    <t xml:space="preserve">P0088</t>
  </si>
  <si>
    <t xml:space="preserve">P0088-OD</t>
  </si>
  <si>
    <t xml:space="preserve">P0088-OS</t>
  </si>
  <si>
    <t xml:space="preserve">P0089</t>
  </si>
  <si>
    <t xml:space="preserve">P0089-OD</t>
  </si>
  <si>
    <t xml:space="preserve">P0089-OS</t>
  </si>
  <si>
    <t xml:space="preserve">P0090</t>
  </si>
  <si>
    <t xml:space="preserve">P0090-OD</t>
  </si>
  <si>
    <t xml:space="preserve">P0091</t>
  </si>
  <si>
    <t xml:space="preserve">P0091-OS</t>
  </si>
  <si>
    <t xml:space="preserve">P0092</t>
  </si>
  <si>
    <t xml:space="preserve">P0092-OD</t>
  </si>
  <si>
    <t xml:space="preserve">P0092-OS</t>
  </si>
  <si>
    <t xml:space="preserve">P0094</t>
  </si>
  <si>
    <t xml:space="preserve">P0094-OD</t>
  </si>
  <si>
    <t xml:space="preserve">P0095</t>
  </si>
  <si>
    <t xml:space="preserve">P0095-OD</t>
  </si>
  <si>
    <t xml:space="preserve">P0095-OS</t>
  </si>
  <si>
    <t xml:space="preserve">P0096</t>
  </si>
  <si>
    <t xml:space="preserve">P0096-OS</t>
  </si>
  <si>
    <t xml:space="preserve">P0097</t>
  </si>
  <si>
    <t xml:space="preserve">P0097-OS</t>
  </si>
  <si>
    <t xml:space="preserve">P0098</t>
  </si>
  <si>
    <t xml:space="preserve">P0098-OD</t>
  </si>
  <si>
    <t xml:space="preserve">P0098-OS</t>
  </si>
  <si>
    <t xml:space="preserve">P0099</t>
  </si>
  <si>
    <t xml:space="preserve">P0099-OD</t>
  </si>
  <si>
    <t xml:space="preserve">P0099-OS</t>
  </si>
  <si>
    <t xml:space="preserve">P0101</t>
  </si>
  <si>
    <t xml:space="preserve">P0101-OD</t>
  </si>
  <si>
    <t xml:space="preserve">P0101-OS</t>
  </si>
  <si>
    <t xml:space="preserve">P0102</t>
  </si>
  <si>
    <t xml:space="preserve">P0102-OD</t>
  </si>
  <si>
    <t xml:space="preserve">P0102-OS</t>
  </si>
  <si>
    <t xml:space="preserve">P0104</t>
  </si>
  <si>
    <t xml:space="preserve">P0104-OD</t>
  </si>
  <si>
    <t xml:space="preserve">P0104-OS</t>
  </si>
  <si>
    <t xml:space="preserve">P0105</t>
  </si>
  <si>
    <t xml:space="preserve">P0105-OD</t>
  </si>
  <si>
    <t xml:space="preserve">P0105-OS</t>
  </si>
  <si>
    <t xml:space="preserve">P0106</t>
  </si>
  <si>
    <t xml:space="preserve">P0106-OD</t>
  </si>
  <si>
    <t xml:space="preserve">P0106-OS</t>
  </si>
  <si>
    <t xml:space="preserve">P0107</t>
  </si>
  <si>
    <t xml:space="preserve">P0107-OD</t>
  </si>
  <si>
    <t xml:space="preserve">P0107-OS</t>
  </si>
  <si>
    <t xml:space="preserve">P0108</t>
  </si>
  <si>
    <t xml:space="preserve">P0108-OD</t>
  </si>
  <si>
    <t xml:space="preserve">P0109</t>
  </si>
  <si>
    <t xml:space="preserve">P0109-OS</t>
  </si>
  <si>
    <t xml:space="preserve">P0110</t>
  </si>
  <si>
    <t xml:space="preserve">P0110-OD</t>
  </si>
  <si>
    <t xml:space="preserve">P0111</t>
  </si>
  <si>
    <t xml:space="preserve">P0111-OD</t>
  </si>
  <si>
    <t xml:space="preserve">P0111-OS</t>
  </si>
  <si>
    <t xml:space="preserve">P0112</t>
  </si>
  <si>
    <t xml:space="preserve">P0112-OD</t>
  </si>
  <si>
    <t xml:space="preserve">P0112-OS</t>
  </si>
  <si>
    <t xml:space="preserve">P0113</t>
  </si>
  <si>
    <t xml:space="preserve">P0113-OD</t>
  </si>
  <si>
    <t xml:space="preserve">P0113-OS</t>
  </si>
  <si>
    <t xml:space="preserve">P0116</t>
  </si>
  <si>
    <t xml:space="preserve">P0116-OD</t>
  </si>
  <si>
    <t xml:space="preserve">P0117</t>
  </si>
  <si>
    <t xml:space="preserve">P0117-OD</t>
  </si>
  <si>
    <t xml:space="preserve">P0117-OS</t>
  </si>
  <si>
    <t xml:space="preserve">P0119</t>
  </si>
  <si>
    <t xml:space="preserve">P0119-OD</t>
  </si>
  <si>
    <t xml:space="preserve">P0119-OS</t>
  </si>
  <si>
    <t xml:space="preserve">P0120</t>
  </si>
  <si>
    <t xml:space="preserve">P0120-OD</t>
  </si>
  <si>
    <t xml:space="preserve">P0120-OS</t>
  </si>
  <si>
    <t xml:space="preserve">P0121</t>
  </si>
  <si>
    <t xml:space="preserve">P0121-OD</t>
  </si>
  <si>
    <t xml:space="preserve">P0121-OS</t>
  </si>
  <si>
    <t xml:space="preserve">P0122</t>
  </si>
  <si>
    <t xml:space="preserve">P0122-OD</t>
  </si>
  <si>
    <t xml:space="preserve">P0122-OS</t>
  </si>
  <si>
    <t xml:space="preserve">P0123</t>
  </si>
  <si>
    <t xml:space="preserve">P0123-OD</t>
  </si>
  <si>
    <t xml:space="preserve">P0123-OS</t>
  </si>
  <si>
    <t xml:space="preserve">P0125</t>
  </si>
  <si>
    <t xml:space="preserve">P0125-OS</t>
  </si>
  <si>
    <t xml:space="preserve">P0126</t>
  </si>
  <si>
    <t xml:space="preserve">P0126-OD</t>
  </si>
  <si>
    <t xml:space="preserve">P0126-OS</t>
  </si>
  <si>
    <t xml:space="preserve">P0127</t>
  </si>
  <si>
    <t xml:space="preserve">P0127-OD</t>
  </si>
  <si>
    <t xml:space="preserve">P0127-OS</t>
  </si>
  <si>
    <t xml:space="preserve">P0128</t>
  </si>
  <si>
    <t xml:space="preserve">P0128-OD</t>
  </si>
  <si>
    <t xml:space="preserve">P0129</t>
  </si>
  <si>
    <t xml:space="preserve">P0129-OD</t>
  </si>
  <si>
    <t xml:space="preserve">P0130</t>
  </si>
  <si>
    <t xml:space="preserve">P0130-OD</t>
  </si>
  <si>
    <t xml:space="preserve">P0130-OS</t>
  </si>
  <si>
    <t xml:space="preserve">P0131</t>
  </si>
  <si>
    <t xml:space="preserve">P0131-OD</t>
  </si>
  <si>
    <t xml:space="preserve">P0131-OS</t>
  </si>
  <si>
    <t xml:space="preserve">P0132</t>
  </si>
  <si>
    <t xml:space="preserve">P0132-OS</t>
  </si>
  <si>
    <t xml:space="preserve">P0133</t>
  </si>
  <si>
    <t xml:space="preserve">P0133-OD</t>
  </si>
  <si>
    <t xml:space="preserve">P0133-OS</t>
  </si>
  <si>
    <t xml:space="preserve">P0134</t>
  </si>
  <si>
    <t xml:space="preserve">P0134-OD</t>
  </si>
  <si>
    <t xml:space="preserve">P0134-OS</t>
  </si>
  <si>
    <t xml:space="preserve">P0135</t>
  </si>
  <si>
    <t xml:space="preserve">P0135-OD</t>
  </si>
  <si>
    <t xml:space="preserve">P0136</t>
  </si>
  <si>
    <t xml:space="preserve">P0136-OD</t>
  </si>
  <si>
    <t xml:space="preserve">P0136-OS</t>
  </si>
  <si>
    <t xml:space="preserve">P0137</t>
  </si>
  <si>
    <t xml:space="preserve">P0137-OD</t>
  </si>
  <si>
    <t xml:space="preserve">P0137-OS</t>
  </si>
  <si>
    <t xml:space="preserve">P0138</t>
  </si>
  <si>
    <t xml:space="preserve">P0138-OD</t>
  </si>
  <si>
    <t xml:space="preserve">P0139</t>
  </si>
  <si>
    <t xml:space="preserve">P0139-OS</t>
  </si>
  <si>
    <t xml:space="preserve">P0140</t>
  </si>
  <si>
    <t xml:space="preserve">P0140-OD</t>
  </si>
  <si>
    <t xml:space="preserve">P0141</t>
  </si>
  <si>
    <t xml:space="preserve">P0141-OD</t>
  </si>
  <si>
    <t xml:space="preserve">P0141-OS</t>
  </si>
  <si>
    <t xml:space="preserve">P0142</t>
  </si>
  <si>
    <t xml:space="preserve">P0142-OS</t>
  </si>
  <si>
    <t xml:space="preserve">P0143</t>
  </si>
  <si>
    <t xml:space="preserve">P0143-OD</t>
  </si>
  <si>
    <t xml:space="preserve">P0143-OS</t>
  </si>
  <si>
    <t xml:space="preserve">P0144</t>
  </si>
  <si>
    <t xml:space="preserve">P0144-OD</t>
  </si>
  <si>
    <t xml:space="preserve">P0144-OS</t>
  </si>
  <si>
    <t xml:space="preserve">P0145</t>
  </si>
  <si>
    <t xml:space="preserve">P0145-OD</t>
  </si>
  <si>
    <t xml:space="preserve">P0145-OS</t>
  </si>
  <si>
    <t xml:space="preserve">P0148</t>
  </si>
  <si>
    <t xml:space="preserve">P0148-OD</t>
  </si>
  <si>
    <t xml:space="preserve">P0148-OS</t>
  </si>
  <si>
    <t xml:space="preserve">P0149</t>
  </si>
  <si>
    <t xml:space="preserve">P0149-OS</t>
  </si>
  <si>
    <t xml:space="preserve">P0150</t>
  </si>
  <si>
    <t xml:space="preserve">P0150-OD</t>
  </si>
  <si>
    <t xml:space="preserve">P0150-OS</t>
  </si>
  <si>
    <t xml:space="preserve">P0151</t>
  </si>
  <si>
    <t xml:space="preserve">P0151-OD</t>
  </si>
  <si>
    <t xml:space="preserve">P0151-OS</t>
  </si>
  <si>
    <t xml:space="preserve">P0152</t>
  </si>
  <si>
    <t xml:space="preserve">P0152-OD</t>
  </si>
  <si>
    <t xml:space="preserve">P0152-OS</t>
  </si>
  <si>
    <t xml:space="preserve">P0153</t>
  </si>
  <si>
    <t xml:space="preserve">P0153-OD</t>
  </si>
  <si>
    <t xml:space="preserve">P0154</t>
  </si>
  <si>
    <t xml:space="preserve">P0154-OD</t>
  </si>
  <si>
    <t xml:space="preserve">P0154-OS</t>
  </si>
  <si>
    <t xml:space="preserve">P0155</t>
  </si>
  <si>
    <t xml:space="preserve">P0155-OD</t>
  </si>
  <si>
    <t xml:space="preserve">P0156</t>
  </si>
  <si>
    <t xml:space="preserve">P0156-OD</t>
  </si>
  <si>
    <t xml:space="preserve">P0156-OS</t>
  </si>
  <si>
    <t xml:space="preserve">P0157</t>
  </si>
  <si>
    <t xml:space="preserve">P0157-OD</t>
  </si>
  <si>
    <t xml:space="preserve">P0157-OS</t>
  </si>
  <si>
    <t xml:space="preserve">P0158</t>
  </si>
  <si>
    <t xml:space="preserve">P0158-OD</t>
  </si>
  <si>
    <t xml:space="preserve">P0158-OS</t>
  </si>
  <si>
    <t xml:space="preserve">P0159</t>
  </si>
  <si>
    <t xml:space="preserve">P0159-OD</t>
  </si>
  <si>
    <t xml:space="preserve">P0159-OS</t>
  </si>
  <si>
    <t xml:space="preserve">P0160</t>
  </si>
  <si>
    <t xml:space="preserve">P0160-OS</t>
  </si>
  <si>
    <t xml:space="preserve">P0161</t>
  </si>
  <si>
    <t xml:space="preserve">P0161-OD</t>
  </si>
  <si>
    <t xml:space="preserve">P0162</t>
  </si>
  <si>
    <t xml:space="preserve">P0162-OS</t>
  </si>
  <si>
    <t xml:space="preserve">P0163</t>
  </si>
  <si>
    <t xml:space="preserve">P0163-OD</t>
  </si>
  <si>
    <t xml:space="preserve">P0163-OS</t>
  </si>
  <si>
    <t xml:space="preserve">P0164</t>
  </si>
  <si>
    <t xml:space="preserve">P0164-OD</t>
  </si>
  <si>
    <t xml:space="preserve">P0164-OS</t>
  </si>
  <si>
    <t xml:space="preserve">P0165</t>
  </si>
  <si>
    <t xml:space="preserve">P0165-OD</t>
  </si>
  <si>
    <t xml:space="preserve">P0166</t>
  </si>
  <si>
    <t xml:space="preserve">P0166-OD</t>
  </si>
  <si>
    <t xml:space="preserve">P0167</t>
  </si>
  <si>
    <t xml:space="preserve">P0167-OD</t>
  </si>
  <si>
    <t xml:space="preserve">P0167-OS</t>
  </si>
  <si>
    <t xml:space="preserve">P0168</t>
  </si>
  <si>
    <t xml:space="preserve">P0168-OD</t>
  </si>
  <si>
    <t xml:space="preserve">P0168-OS</t>
  </si>
  <si>
    <t xml:space="preserve">P0169</t>
  </si>
  <si>
    <t xml:space="preserve">P0169-OD</t>
  </si>
  <si>
    <t xml:space="preserve">P0169-OS</t>
  </si>
  <si>
    <t xml:space="preserve">P0170</t>
  </si>
  <si>
    <t xml:space="preserve">P0170-OD</t>
  </si>
  <si>
    <t xml:space="preserve">P0170-OS</t>
  </si>
  <si>
    <t xml:space="preserve">P0171</t>
  </si>
  <si>
    <t xml:space="preserve">P0171-OD</t>
  </si>
  <si>
    <t xml:space="preserve">P0171-OS</t>
  </si>
  <si>
    <t xml:space="preserve">P0172</t>
  </si>
  <si>
    <t xml:space="preserve">P0172-OS</t>
  </si>
  <si>
    <t xml:space="preserve">P0173</t>
  </si>
  <si>
    <t xml:space="preserve">P0173-OD</t>
  </si>
  <si>
    <t xml:space="preserve">P0173-OS</t>
  </si>
  <si>
    <t xml:space="preserve">P0174</t>
  </si>
  <si>
    <t xml:space="preserve">P0174-OD</t>
  </si>
  <si>
    <t xml:space="preserve">P0174-OS</t>
  </si>
  <si>
    <t xml:space="preserve">P0175</t>
  </si>
  <si>
    <t xml:space="preserve">P0175-OS</t>
  </si>
  <si>
    <t xml:space="preserve">P0176</t>
  </si>
  <si>
    <t xml:space="preserve">P0176-OS</t>
  </si>
  <si>
    <t xml:space="preserve">P0177</t>
  </si>
  <si>
    <t xml:space="preserve">P0177-OS</t>
  </si>
  <si>
    <t xml:space="preserve">P0178</t>
  </si>
  <si>
    <t xml:space="preserve">P0178-OD</t>
  </si>
  <si>
    <t xml:space="preserve">P0178-OS</t>
  </si>
  <si>
    <t xml:space="preserve">P0179</t>
  </si>
  <si>
    <t xml:space="preserve">P0179-OS</t>
  </si>
  <si>
    <t xml:space="preserve">P0181</t>
  </si>
  <si>
    <t xml:space="preserve">P0181-OS</t>
  </si>
  <si>
    <t xml:space="preserve">P0182</t>
  </si>
  <si>
    <t xml:space="preserve">P0182-OS</t>
  </si>
  <si>
    <t xml:space="preserve">P0183</t>
  </si>
  <si>
    <t xml:space="preserve">P0183-OD</t>
  </si>
  <si>
    <t xml:space="preserve">P0183-OS</t>
  </si>
  <si>
    <t xml:space="preserve">P0184</t>
  </si>
  <si>
    <t xml:space="preserve">P0184-OS</t>
  </si>
  <si>
    <t xml:space="preserve">P0185</t>
  </si>
  <si>
    <t xml:space="preserve">P0185-OD</t>
  </si>
  <si>
    <t xml:space="preserve">P0185-OS</t>
  </si>
  <si>
    <t xml:space="preserve">P0186</t>
  </si>
  <si>
    <t xml:space="preserve">P0186-OD</t>
  </si>
  <si>
    <t xml:space="preserve">P0186-OS</t>
  </si>
  <si>
    <t xml:space="preserve">P0187</t>
  </si>
  <si>
    <t xml:space="preserve">P0187-OD</t>
  </si>
  <si>
    <t xml:space="preserve">P0187-OS</t>
  </si>
  <si>
    <t xml:space="preserve">P0189</t>
  </si>
  <si>
    <t xml:space="preserve">P0189-OS</t>
  </si>
  <si>
    <t xml:space="preserve">P0190</t>
  </si>
  <si>
    <t xml:space="preserve">P0190-OD</t>
  </si>
  <si>
    <t xml:space="preserve">P0190-OS</t>
  </si>
  <si>
    <t xml:space="preserve">P0191</t>
  </si>
  <si>
    <t xml:space="preserve">P0191-OD</t>
  </si>
  <si>
    <t xml:space="preserve">P0191-OS</t>
  </si>
  <si>
    <t xml:space="preserve">P0192</t>
  </si>
  <si>
    <t xml:space="preserve">P0192-OD</t>
  </si>
  <si>
    <t xml:space="preserve">P0192-OS</t>
  </si>
  <si>
    <t xml:space="preserve">P0193</t>
  </si>
  <si>
    <t xml:space="preserve">P0193-OS</t>
  </si>
  <si>
    <t xml:space="preserve">P0194</t>
  </si>
  <si>
    <t xml:space="preserve">P0194-OD</t>
  </si>
  <si>
    <t xml:space="preserve">P0194-OS</t>
  </si>
  <si>
    <t xml:space="preserve">P0195</t>
  </si>
  <si>
    <t xml:space="preserve">P0195-OD</t>
  </si>
  <si>
    <t xml:space="preserve">P0195-OS</t>
  </si>
  <si>
    <t xml:space="preserve">P0196</t>
  </si>
  <si>
    <t xml:space="preserve">P0196-OD</t>
  </si>
  <si>
    <t xml:space="preserve">P0196-OS</t>
  </si>
  <si>
    <t xml:space="preserve">P0197</t>
  </si>
  <si>
    <t xml:space="preserve">P0197-OD</t>
  </si>
  <si>
    <t xml:space="preserve">P0197-OS</t>
  </si>
  <si>
    <t xml:space="preserve">P0198</t>
  </si>
  <si>
    <t xml:space="preserve">P0198-OD</t>
  </si>
  <si>
    <t xml:space="preserve">P0198-OS</t>
  </si>
  <si>
    <t xml:space="preserve">P0200</t>
  </si>
  <si>
    <t xml:space="preserve">P0200-OS</t>
  </si>
  <si>
    <t xml:space="preserve">P0201</t>
  </si>
  <si>
    <t xml:space="preserve">P0201-OD</t>
  </si>
  <si>
    <t xml:space="preserve">P0201-OS</t>
  </si>
  <si>
    <t xml:space="preserve">P0202</t>
  </si>
  <si>
    <t xml:space="preserve">P0202-OD</t>
  </si>
  <si>
    <t xml:space="preserve">P0202-OS</t>
  </si>
  <si>
    <t xml:space="preserve">P0203</t>
  </si>
  <si>
    <t xml:space="preserve">P0203-OD</t>
  </si>
  <si>
    <t xml:space="preserve">P0204</t>
  </si>
  <si>
    <t xml:space="preserve">P0204-OD</t>
  </si>
  <si>
    <t xml:space="preserve">P0204-OS</t>
  </si>
  <si>
    <t xml:space="preserve">P0205</t>
  </si>
  <si>
    <t xml:space="preserve">P0205-OD</t>
  </si>
  <si>
    <t xml:space="preserve">P0206</t>
  </si>
  <si>
    <t xml:space="preserve">P0206-OS</t>
  </si>
  <si>
    <t xml:space="preserve">P0207</t>
  </si>
  <si>
    <t xml:space="preserve">P0207-OD</t>
  </si>
  <si>
    <t xml:space="preserve">P0207-OS</t>
  </si>
  <si>
    <t xml:space="preserve">P0208</t>
  </si>
  <si>
    <t xml:space="preserve">P0208-OD</t>
  </si>
  <si>
    <t xml:space="preserve">P0208-OS</t>
  </si>
  <si>
    <t xml:space="preserve">P0209</t>
  </si>
  <si>
    <t xml:space="preserve">P0209-OS</t>
  </si>
  <si>
    <t xml:space="preserve">P0210</t>
  </si>
  <si>
    <t xml:space="preserve">P0210-OD</t>
  </si>
  <si>
    <t xml:space="preserve">P0211</t>
  </si>
  <si>
    <t xml:space="preserve">P0211-OD</t>
  </si>
  <si>
    <t xml:space="preserve">P0211-OS</t>
  </si>
  <si>
    <t xml:space="preserve">P0212</t>
  </si>
  <si>
    <t xml:space="preserve">P0212-OD</t>
  </si>
  <si>
    <t xml:space="preserve">P0212-OS</t>
  </si>
  <si>
    <t xml:space="preserve">P0213</t>
  </si>
  <si>
    <t xml:space="preserve">P0213-OS</t>
  </si>
  <si>
    <t xml:space="preserve">P0214</t>
  </si>
  <si>
    <t xml:space="preserve">P0214-OD</t>
  </si>
  <si>
    <t xml:space="preserve">P0214-OS</t>
  </si>
  <si>
    <t xml:space="preserve">P0215</t>
  </si>
  <si>
    <t xml:space="preserve">P0215-OD</t>
  </si>
  <si>
    <t xml:space="preserve">P0216</t>
  </si>
  <si>
    <t xml:space="preserve">P0216-OD</t>
  </si>
  <si>
    <t xml:space="preserve">P0217</t>
  </si>
  <si>
    <t xml:space="preserve">P0217-OD</t>
  </si>
  <si>
    <t xml:space="preserve">P0217-OS</t>
  </si>
  <si>
    <t xml:space="preserve">P0218</t>
  </si>
  <si>
    <t xml:space="preserve">P0218-OD</t>
  </si>
  <si>
    <t xml:space="preserve">P0218-OS</t>
  </si>
  <si>
    <t xml:space="preserve">P0219</t>
  </si>
  <si>
    <t xml:space="preserve">P0219-OD</t>
  </si>
  <si>
    <t xml:space="preserve">P0219-OS</t>
  </si>
  <si>
    <t xml:space="preserve">P0220</t>
  </si>
  <si>
    <t xml:space="preserve">P0220-OD</t>
  </si>
  <si>
    <t xml:space="preserve">P0220-OS</t>
  </si>
  <si>
    <t xml:space="preserve">P0221</t>
  </si>
  <si>
    <t xml:space="preserve">P0221-OD</t>
  </si>
  <si>
    <t xml:space="preserve">P0221-OS</t>
  </si>
  <si>
    <t xml:space="preserve">P0222</t>
  </si>
  <si>
    <t xml:space="preserve">P0222-OD</t>
  </si>
  <si>
    <t xml:space="preserve">P0222-OS</t>
  </si>
  <si>
    <t xml:space="preserve">P0223</t>
  </si>
  <si>
    <t xml:space="preserve">P0223-OD</t>
  </si>
  <si>
    <t xml:space="preserve">P0223-OS</t>
  </si>
  <si>
    <t xml:space="preserve">P0224</t>
  </si>
  <si>
    <t xml:space="preserve">P0224-OD</t>
  </si>
  <si>
    <t xml:space="preserve">P0224-OS</t>
  </si>
  <si>
    <t xml:space="preserve">P0225</t>
  </si>
  <si>
    <t xml:space="preserve">P0225-OS</t>
  </si>
  <si>
    <t xml:space="preserve">P0226</t>
  </si>
  <si>
    <t xml:space="preserve">P0226-OD</t>
  </si>
  <si>
    <t xml:space="preserve">P0226-OS</t>
  </si>
  <si>
    <t xml:space="preserve">P0227</t>
  </si>
  <si>
    <t xml:space="preserve">P0227-OS</t>
  </si>
  <si>
    <t xml:space="preserve">P0228</t>
  </si>
  <si>
    <t xml:space="preserve">P0228-OD</t>
  </si>
  <si>
    <t xml:space="preserve">P0228-OS</t>
  </si>
  <si>
    <t xml:space="preserve">P0229</t>
  </si>
  <si>
    <t xml:space="preserve">P0229-OD</t>
  </si>
  <si>
    <t xml:space="preserve">P0229-OS</t>
  </si>
  <si>
    <t xml:space="preserve">P0230</t>
  </si>
  <si>
    <t xml:space="preserve">P0230-OS</t>
  </si>
  <si>
    <t xml:space="preserve">P0231</t>
  </si>
  <si>
    <t xml:space="preserve">P0231-OS</t>
  </si>
  <si>
    <t xml:space="preserve">P0232</t>
  </si>
  <si>
    <t xml:space="preserve">P0232-OD</t>
  </si>
  <si>
    <t xml:space="preserve">P0232-OS</t>
  </si>
  <si>
    <t xml:space="preserve">P0233</t>
  </si>
  <si>
    <t xml:space="preserve">P0233-OD</t>
  </si>
  <si>
    <t xml:space="preserve">P0233-OS</t>
  </si>
  <si>
    <t xml:space="preserve">P0234</t>
  </si>
  <si>
    <t xml:space="preserve">P0234-OD</t>
  </si>
  <si>
    <t xml:space="preserve">P0234-OS</t>
  </si>
  <si>
    <t xml:space="preserve">P0235</t>
  </si>
  <si>
    <t xml:space="preserve">P0235-OD</t>
  </si>
  <si>
    <t xml:space="preserve">P0235-OS</t>
  </si>
  <si>
    <t xml:space="preserve">P0236</t>
  </si>
  <si>
    <t xml:space="preserve">P0236-OD</t>
  </si>
  <si>
    <t xml:space="preserve">P0236-OS</t>
  </si>
  <si>
    <t xml:space="preserve">P0237</t>
  </si>
  <si>
    <t xml:space="preserve">P0237-OD</t>
  </si>
  <si>
    <t xml:space="preserve">P0238</t>
  </si>
  <si>
    <t xml:space="preserve">P0238-OD</t>
  </si>
  <si>
    <t xml:space="preserve">P0238-OS</t>
  </si>
  <si>
    <t xml:space="preserve">P0239</t>
  </si>
  <si>
    <t xml:space="preserve">P0239-OD</t>
  </si>
  <si>
    <t xml:space="preserve">P0239-OS</t>
  </si>
  <si>
    <t xml:space="preserve">P0240</t>
  </si>
  <si>
    <t xml:space="preserve">P0240-OD</t>
  </si>
  <si>
    <t xml:space="preserve">P0240-OS</t>
  </si>
  <si>
    <t xml:space="preserve">P0241</t>
  </si>
  <si>
    <t xml:space="preserve">P0241-OD</t>
  </si>
  <si>
    <t xml:space="preserve">P0241-OS</t>
  </si>
  <si>
    <t xml:space="preserve">P0242</t>
  </si>
  <si>
    <t xml:space="preserve">P0242-OD</t>
  </si>
  <si>
    <t xml:space="preserve">P0243</t>
  </si>
  <si>
    <t xml:space="preserve">P0243-OD</t>
  </si>
  <si>
    <t xml:space="preserve">P0244</t>
  </si>
  <si>
    <t xml:space="preserve">P0244-OD</t>
  </si>
  <si>
    <t xml:space="preserve">P0247</t>
  </si>
  <si>
    <t xml:space="preserve">P0247-OD</t>
  </si>
  <si>
    <t xml:space="preserve">P0247-OS</t>
  </si>
  <si>
    <t xml:space="preserve">P0248</t>
  </si>
  <si>
    <t xml:space="preserve">P0248-OD</t>
  </si>
  <si>
    <t xml:space="preserve">P0248-OS</t>
  </si>
  <si>
    <t xml:space="preserve">P0249</t>
  </si>
  <si>
    <t xml:space="preserve">P0249-OS</t>
  </si>
  <si>
    <t xml:space="preserve">P0250</t>
  </si>
  <si>
    <t xml:space="preserve">P0250-OD</t>
  </si>
  <si>
    <t xml:space="preserve">P0251</t>
  </si>
  <si>
    <t xml:space="preserve">P0251-OD</t>
  </si>
  <si>
    <t xml:space="preserve">P0251-OS</t>
  </si>
  <si>
    <t xml:space="preserve">P0252</t>
  </si>
  <si>
    <t xml:space="preserve">P0252-OD</t>
  </si>
  <si>
    <t xml:space="preserve">P0252-OS</t>
  </si>
  <si>
    <t xml:space="preserve">P0253</t>
  </si>
  <si>
    <t xml:space="preserve">P0253-OS</t>
  </si>
  <si>
    <t xml:space="preserve">P0254</t>
  </si>
  <si>
    <t xml:space="preserve">P0254-OD</t>
  </si>
  <si>
    <t xml:space="preserve">P0254-OS</t>
  </si>
  <si>
    <t xml:space="preserve">P0255</t>
  </si>
  <si>
    <t xml:space="preserve">P0255-OD</t>
  </si>
  <si>
    <t xml:space="preserve">P0256</t>
  </si>
  <si>
    <t xml:space="preserve">P0256-OD</t>
  </si>
  <si>
    <t xml:space="preserve">P0256-OS</t>
  </si>
  <si>
    <t xml:space="preserve">P0257</t>
  </si>
  <si>
    <t xml:space="preserve">P0257-OD</t>
  </si>
  <si>
    <t xml:space="preserve">P0257-OS</t>
  </si>
  <si>
    <t xml:space="preserve">P0258</t>
  </si>
  <si>
    <t xml:space="preserve">P0258-OD</t>
  </si>
  <si>
    <t xml:space="preserve">P0259</t>
  </si>
  <si>
    <t xml:space="preserve">P0259-OD</t>
  </si>
  <si>
    <t xml:space="preserve">P0259-OS</t>
  </si>
  <si>
    <t xml:space="preserve">P0260</t>
  </si>
  <si>
    <t xml:space="preserve">P0260-OD</t>
  </si>
  <si>
    <t xml:space="preserve">P0261</t>
  </si>
  <si>
    <t xml:space="preserve">P0261-OD</t>
  </si>
  <si>
    <t xml:space="preserve">P0261-OS</t>
  </si>
  <si>
    <t xml:space="preserve">P0262</t>
  </si>
  <si>
    <t xml:space="preserve">P0262-OS</t>
  </si>
  <si>
    <t xml:space="preserve">P0263</t>
  </si>
  <si>
    <t xml:space="preserve">P0263-OD</t>
  </si>
  <si>
    <t xml:space="preserve">P0263-OS</t>
  </si>
  <si>
    <t xml:space="preserve">P0264</t>
  </si>
  <si>
    <t xml:space="preserve">P0264-OD</t>
  </si>
  <si>
    <t xml:space="preserve">P0265</t>
  </si>
  <si>
    <t xml:space="preserve">P0265-OD</t>
  </si>
  <si>
    <t xml:space="preserve">P0266</t>
  </si>
  <si>
    <t xml:space="preserve">P0266-OD</t>
  </si>
  <si>
    <t xml:space="preserve">P0266-OS</t>
  </si>
  <si>
    <t xml:space="preserve">P0267</t>
  </si>
  <si>
    <t xml:space="preserve">P0267-OD</t>
  </si>
  <si>
    <t xml:space="preserve">P0267-OS</t>
  </si>
  <si>
    <t xml:space="preserve">P0269</t>
  </si>
  <si>
    <t xml:space="preserve">P0269-OD</t>
  </si>
  <si>
    <t xml:space="preserve">P0269-OS</t>
  </si>
  <si>
    <t xml:space="preserve">P0270</t>
  </si>
  <si>
    <t xml:space="preserve">P0270-OD</t>
  </si>
  <si>
    <t xml:space="preserve">P0270-OS</t>
  </si>
  <si>
    <t xml:space="preserve">P0271</t>
  </si>
  <si>
    <t xml:space="preserve">P0271-OD</t>
  </si>
  <si>
    <t xml:space="preserve">P0271-OS</t>
  </si>
  <si>
    <t xml:space="preserve">P0272</t>
  </si>
  <si>
    <t xml:space="preserve">P0272-OD</t>
  </si>
  <si>
    <t xml:space="preserve">P0272-OS</t>
  </si>
  <si>
    <t xml:space="preserve">P0273</t>
  </si>
  <si>
    <t xml:space="preserve">P0273-OD</t>
  </si>
  <si>
    <t xml:space="preserve">P0273-OS</t>
  </si>
  <si>
    <t xml:space="preserve">P0274</t>
  </si>
  <si>
    <t xml:space="preserve">P0274-OD</t>
  </si>
  <si>
    <t xml:space="preserve">P0274-OS</t>
  </si>
  <si>
    <t xml:space="preserve">P0275</t>
  </si>
  <si>
    <t xml:space="preserve">P0275-OD</t>
  </si>
  <si>
    <t xml:space="preserve">P0275-OS</t>
  </si>
  <si>
    <t xml:space="preserve">P0276</t>
  </si>
  <si>
    <t xml:space="preserve">P0276-OD</t>
  </si>
  <si>
    <t xml:space="preserve">P0276-OS</t>
  </si>
  <si>
    <t xml:space="preserve">P0277</t>
  </si>
  <si>
    <t xml:space="preserve">P0277-OD</t>
  </si>
  <si>
    <t xml:space="preserve">P0278</t>
  </si>
  <si>
    <t xml:space="preserve">P0278-OD</t>
  </si>
  <si>
    <t xml:space="preserve">P0278-OS</t>
  </si>
  <si>
    <t xml:space="preserve">P0279</t>
  </si>
  <si>
    <t xml:space="preserve">P0279-OD</t>
  </si>
  <si>
    <t xml:space="preserve">P0280</t>
  </si>
  <si>
    <t xml:space="preserve">P0280-OD</t>
  </si>
  <si>
    <t xml:space="preserve">P0280-OS</t>
  </si>
  <si>
    <t xml:space="preserve">P0281</t>
  </si>
  <si>
    <t xml:space="preserve">P0281-OD</t>
  </si>
  <si>
    <t xml:space="preserve">P0281-OS</t>
  </si>
  <si>
    <t xml:space="preserve">P0282</t>
  </si>
  <si>
    <t xml:space="preserve">P0282-OD</t>
  </si>
  <si>
    <t xml:space="preserve">P0282-OS</t>
  </si>
  <si>
    <t xml:space="preserve">P0283</t>
  </si>
  <si>
    <t xml:space="preserve">P0283-OD</t>
  </si>
  <si>
    <t xml:space="preserve">P0283-OS</t>
  </si>
  <si>
    <t xml:space="preserve">P0284</t>
  </si>
  <si>
    <t xml:space="preserve">P0284-OD</t>
  </si>
  <si>
    <t xml:space="preserve">P0284-OS</t>
  </si>
  <si>
    <t xml:space="preserve">P0285</t>
  </si>
  <si>
    <t xml:space="preserve">P0285-OD</t>
  </si>
  <si>
    <t xml:space="preserve">P0285-OS</t>
  </si>
  <si>
    <t xml:space="preserve">P0287</t>
  </si>
  <si>
    <t xml:space="preserve">P0287-OD</t>
  </si>
  <si>
    <t xml:space="preserve">P0287-OS</t>
  </si>
  <si>
    <t xml:space="preserve">P0288</t>
  </si>
  <si>
    <t xml:space="preserve">P0288-OS</t>
  </si>
  <si>
    <t xml:space="preserve">P0290</t>
  </si>
  <si>
    <t xml:space="preserve">P0290-OD</t>
  </si>
  <si>
    <t xml:space="preserve">P0291</t>
  </si>
  <si>
    <t xml:space="preserve">P0291-OD</t>
  </si>
  <si>
    <t xml:space="preserve">P0291-OS</t>
  </si>
  <si>
    <t xml:space="preserve">P0292</t>
  </si>
  <si>
    <t xml:space="preserve">P0292-OD</t>
  </si>
  <si>
    <t xml:space="preserve">P0292-OS</t>
  </si>
  <si>
    <t xml:space="preserve">P0293</t>
  </si>
  <si>
    <t xml:space="preserve">P0293-OD</t>
  </si>
  <si>
    <t xml:space="preserve">P0293-OS</t>
  </si>
  <si>
    <t xml:space="preserve">P0294</t>
  </si>
  <si>
    <t xml:space="preserve">P0294-OD</t>
  </si>
  <si>
    <t xml:space="preserve">P0295</t>
  </si>
  <si>
    <t xml:space="preserve">P0295-OD</t>
  </si>
  <si>
    <t xml:space="preserve">P0295-OS</t>
  </si>
  <si>
    <t xml:space="preserve">P0296</t>
  </si>
  <si>
    <t xml:space="preserve">P0296-OD</t>
  </si>
  <si>
    <t xml:space="preserve">P0296-OS</t>
  </si>
  <si>
    <t xml:space="preserve">P0297</t>
  </si>
  <si>
    <t xml:space="preserve">P0297-OD</t>
  </si>
  <si>
    <t xml:space="preserve">P0298</t>
  </si>
  <si>
    <t xml:space="preserve">P0298-OD</t>
  </si>
  <si>
    <t xml:space="preserve">P0299</t>
  </si>
  <si>
    <t xml:space="preserve">P0299-OD</t>
  </si>
  <si>
    <t xml:space="preserve">P0299-OS</t>
  </si>
  <si>
    <t xml:space="preserve">P0300</t>
  </si>
  <si>
    <t xml:space="preserve">P0300-OD</t>
  </si>
  <si>
    <t xml:space="preserve">P0300-OS</t>
  </si>
  <si>
    <t xml:space="preserve">P0301</t>
  </si>
  <si>
    <t xml:space="preserve">P0301-OS</t>
  </si>
  <si>
    <t xml:space="preserve">P0302</t>
  </si>
  <si>
    <t xml:space="preserve">P0302-OD</t>
  </si>
  <si>
    <t xml:space="preserve">P0302-OS</t>
  </si>
  <si>
    <t xml:space="preserve">P0303</t>
  </si>
  <si>
    <t xml:space="preserve">P0303-OD</t>
  </si>
  <si>
    <t xml:space="preserve">P0303-OS</t>
  </si>
  <si>
    <t xml:space="preserve">P0304</t>
  </si>
  <si>
    <t xml:space="preserve">P0304-OD</t>
  </si>
  <si>
    <t xml:space="preserve">P0305</t>
  </si>
  <si>
    <t xml:space="preserve">P0305-OD</t>
  </si>
  <si>
    <t xml:space="preserve">P0305-OS</t>
  </si>
  <si>
    <t xml:space="preserve">P0306</t>
  </si>
  <si>
    <t xml:space="preserve">P0306-OD</t>
  </si>
  <si>
    <t xml:space="preserve">P0306-OS</t>
  </si>
  <si>
    <t xml:space="preserve">P0307</t>
  </si>
  <si>
    <t xml:space="preserve">P0307-OD</t>
  </si>
  <si>
    <t xml:space="preserve">P0307-OS</t>
  </si>
  <si>
    <t xml:space="preserve">P0308</t>
  </si>
  <si>
    <t xml:space="preserve">P0308-OD</t>
  </si>
  <si>
    <t xml:space="preserve">P0308-OS</t>
  </si>
  <si>
    <t xml:space="preserve">P0309</t>
  </si>
  <si>
    <t xml:space="preserve">P0309-OD</t>
  </si>
  <si>
    <t xml:space="preserve">P0309-OS</t>
  </si>
  <si>
    <t xml:space="preserve">P0310</t>
  </si>
  <si>
    <t xml:space="preserve">P0310-OD</t>
  </si>
  <si>
    <t xml:space="preserve">P0310-OS</t>
  </si>
  <si>
    <t xml:space="preserve">P0311</t>
  </si>
  <si>
    <t xml:space="preserve">P0311-OD</t>
  </si>
  <si>
    <t xml:space="preserve">P0311-OS</t>
  </si>
  <si>
    <t xml:space="preserve">P0313</t>
  </si>
  <si>
    <t xml:space="preserve">P0313-OD</t>
  </si>
  <si>
    <t xml:space="preserve">P0314</t>
  </si>
  <si>
    <t xml:space="preserve">P0314-OD</t>
  </si>
  <si>
    <t xml:space="preserve">P0314-OS</t>
  </si>
  <si>
    <t xml:space="preserve">P0315</t>
  </si>
  <si>
    <t xml:space="preserve">P0315-OS</t>
  </si>
  <si>
    <t xml:space="preserve">P0317</t>
  </si>
  <si>
    <t xml:space="preserve">P0317-OD</t>
  </si>
  <si>
    <t xml:space="preserve">P0318</t>
  </si>
  <si>
    <t xml:space="preserve">P0318-OD</t>
  </si>
  <si>
    <t xml:space="preserve">P0318-OS</t>
  </si>
  <si>
    <t xml:space="preserve">P0319</t>
  </si>
  <si>
    <t xml:space="preserve">P0319-OD</t>
  </si>
  <si>
    <t xml:space="preserve">P0319-OS</t>
  </si>
  <si>
    <t xml:space="preserve">P0320</t>
  </si>
  <si>
    <t xml:space="preserve">P0320-OD</t>
  </si>
  <si>
    <t xml:space="preserve">SIA</t>
  </si>
  <si>
    <t xml:space="preserve">PRE</t>
  </si>
  <si>
    <t xml:space="preserve">P0003</t>
  </si>
  <si>
    <t xml:space="preserve">P0003-OD</t>
  </si>
  <si>
    <t xml:space="preserve">P0003-OS</t>
  </si>
  <si>
    <t xml:space="preserve">P0029</t>
  </si>
  <si>
    <t xml:space="preserve">P0029-OD</t>
  </si>
  <si>
    <t xml:space="preserve">P0029-OS</t>
  </si>
  <si>
    <t xml:space="preserve">P0031</t>
  </si>
  <si>
    <t xml:space="preserve">P0031-OD</t>
  </si>
  <si>
    <t xml:space="preserve">P0031-OS</t>
  </si>
  <si>
    <t xml:space="preserve">P0032</t>
  </si>
  <si>
    <t xml:space="preserve">P0032-OD</t>
  </si>
  <si>
    <t xml:space="preserve">P0032-OS</t>
  </si>
  <si>
    <t xml:space="preserve">P0034</t>
  </si>
  <si>
    <t xml:space="preserve">P0034-OD</t>
  </si>
  <si>
    <t xml:space="preserve">P0034-OS</t>
  </si>
  <si>
    <t xml:space="preserve">P0038</t>
  </si>
  <si>
    <t xml:space="preserve">P0038-OD</t>
  </si>
  <si>
    <t xml:space="preserve">P0038-OS</t>
  </si>
  <si>
    <t xml:space="preserve">P0048</t>
  </si>
  <si>
    <t xml:space="preserve">P0048-OD</t>
  </si>
  <si>
    <t xml:space="preserve">P0048-OS</t>
  </si>
  <si>
    <t xml:space="preserve">P0068</t>
  </si>
  <si>
    <t xml:space="preserve">P0068-OS</t>
  </si>
  <si>
    <t xml:space="preserve">P0072</t>
  </si>
  <si>
    <t xml:space="preserve">P0072-OS</t>
  </si>
  <si>
    <t xml:space="preserve">P0087</t>
  </si>
  <si>
    <t xml:space="preserve">P0087-OD</t>
  </si>
  <si>
    <t xml:space="preserve">P0087-OS</t>
  </si>
  <si>
    <t xml:space="preserve">P0093</t>
  </si>
  <si>
    <t xml:space="preserve">P0093-OD</t>
  </si>
  <si>
    <t xml:space="preserve">P0093-OS</t>
  </si>
  <si>
    <t xml:space="preserve">P0100</t>
  </si>
  <si>
    <t xml:space="preserve">P0100-OD</t>
  </si>
  <si>
    <t xml:space="preserve">P0100-OS</t>
  </si>
  <si>
    <t xml:space="preserve">P0103</t>
  </si>
  <si>
    <t xml:space="preserve">P0103-OD</t>
  </si>
  <si>
    <t xml:space="preserve">P0103-OS</t>
  </si>
  <si>
    <t xml:space="preserve">P0114</t>
  </si>
  <si>
    <t xml:space="preserve">P0114-OS</t>
  </si>
  <si>
    <t xml:space="preserve">P0115</t>
  </si>
  <si>
    <t xml:space="preserve">P0115-OS</t>
  </si>
  <si>
    <t xml:space="preserve">P0124</t>
  </si>
  <si>
    <t xml:space="preserve">P0124-OD</t>
  </si>
  <si>
    <t xml:space="preserve">P0124-OS</t>
  </si>
  <si>
    <t xml:space="preserve">P0146</t>
  </si>
  <si>
    <t xml:space="preserve">P0146-OD</t>
  </si>
  <si>
    <t xml:space="preserve">P0146-OS</t>
  </si>
  <si>
    <t xml:space="preserve">P0147</t>
  </si>
  <si>
    <t xml:space="preserve">P0147-OD</t>
  </si>
  <si>
    <t xml:space="preserve">P0147-OS</t>
  </si>
  <si>
    <t xml:space="preserve">P0188</t>
  </si>
  <si>
    <t xml:space="preserve">P0188-OD</t>
  </si>
  <si>
    <t xml:space="preserve">P0188-OS</t>
  </si>
  <si>
    <t xml:space="preserve">P0199</t>
  </si>
  <si>
    <t xml:space="preserve">P0199-OD</t>
  </si>
  <si>
    <t xml:space="preserve">P0199-OS</t>
  </si>
  <si>
    <t xml:space="preserve">P0245</t>
  </si>
  <si>
    <t xml:space="preserve">P0245-OD</t>
  </si>
  <si>
    <t xml:space="preserve">P0245-OS</t>
  </si>
  <si>
    <t xml:space="preserve">P0246</t>
  </si>
  <si>
    <t xml:space="preserve">P0246-OD</t>
  </si>
  <si>
    <t xml:space="preserve">P0268</t>
  </si>
  <si>
    <t xml:space="preserve">P0268-OD</t>
  </si>
  <si>
    <t xml:space="preserve">P0268-OS</t>
  </si>
  <si>
    <t xml:space="preserve">P0286</t>
  </si>
  <si>
    <t xml:space="preserve">P0286-OD</t>
  </si>
  <si>
    <t xml:space="preserve">P0289</t>
  </si>
  <si>
    <t xml:space="preserve">P0289-OS</t>
  </si>
  <si>
    <t xml:space="preserve">P0312</t>
  </si>
  <si>
    <t xml:space="preserve">P0312-OD</t>
  </si>
  <si>
    <t xml:space="preserve">P0312-OS</t>
  </si>
  <si>
    <t xml:space="preserve">POST</t>
  </si>
  <si>
    <t xml:space="preserve">TIA (Alpins)</t>
  </si>
  <si>
    <t xml:space="preserve">DV (Alpins)</t>
  </si>
  <si>
    <t xml:space="preserve">NOTE: 3 outcome(s) are per-patient variables: modeled on one row per patient by an ordinary linear or logistic model (model-based SE), never by an eye-level GEE - see the 'Model' column. 1 outcome(s) were refitted with an independence working correlation: the exchangeable fit was not accepted (working correlation 0.95 or more, no convergence, or not at its solution - the outcome is almost constant within patients); the robust SE stay clustered by patient - see the 'Model' column.</t>
  </si>
  <si>
    <t xml:space="preserve">GEE results (P = unadjusted, per term; the summary tables print the comparisons with the reference Holm-adjusted, tagged [Holm], as there are more than two groups)</t>
  </si>
  <si>
    <t xml:space="preserve">Outcome</t>
  </si>
  <si>
    <t xml:space="preserve">Term</t>
  </si>
  <si>
    <t xml:space="preserve">Estimate</t>
  </si>
  <si>
    <t xml:space="preserve">SE</t>
  </si>
  <si>
    <t xml:space="preserve">Statistic (t or z)</t>
  </si>
  <si>
    <t xml:space="preserve">P (exact)</t>
  </si>
  <si>
    <t xml:space="preserve">df</t>
  </si>
  <si>
    <t xml:space="preserve">Effect type</t>
  </si>
  <si>
    <t xml:space="preserve">Effect</t>
  </si>
  <si>
    <t xml:space="preserve">95% CI lower</t>
  </si>
  <si>
    <t xml:space="preserve">95% CI upper</t>
  </si>
  <si>
    <t xml:space="preserve">Effect (95% CI)</t>
  </si>
  <si>
    <t xml:space="preserve">Inference</t>
  </si>
  <si>
    <t xml:space="preserve">Model</t>
  </si>
  <si>
    <t xml:space="preserve">Covariates</t>
  </si>
  <si>
    <t xml:space="preserve">Age_Years</t>
  </si>
  <si>
    <t xml:space="preserve">Intercept (Reference)</t>
  </si>
  <si>
    <t xml:space="preserve">Mean (Reference)</t>
  </si>
  <si>
    <t xml:space="preserve">Mean = 34.28 (95% CI, 32.96 to 35.59)</t>
  </si>
  <si>
    <t xml:space="preserve">model-based SE, t reference</t>
  </si>
  <si>
    <t xml:space="preserve">Linear regression, per patient (one row per patient), 317 patients</t>
  </si>
  <si>
    <t xml:space="preserve">none</t>
  </si>
  <si>
    <t xml:space="preserve">β</t>
  </si>
  <si>
    <t xml:space="preserve">β = 3.95 (95% CI, 1.91 to 5.99)</t>
  </si>
  <si>
    <t xml:space="preserve">β = -2.07 (95% CI, -4.19 to 0.06)</t>
  </si>
  <si>
    <t xml:space="preserve">Mean = -3.68 (95% CI, -3.96 to -3.39)</t>
  </si>
  <si>
    <t xml:space="preserve">robust SE (Mancl-DeRouen), t reference</t>
  </si>
  <si>
    <t xml:space="preserve">GEE Gaussian (exchangeable)</t>
  </si>
  <si>
    <t xml:space="preserve">β = -1.36 (95% CI, -1.83 to -0.90)</t>
  </si>
  <si>
    <t xml:space="preserve">β = 0.31 (95% CI, -0.16 to 0.77)</t>
  </si>
  <si>
    <t xml:space="preserve">Mean = -3.22 (95% CI, -3.52 to -2.93)</t>
  </si>
  <si>
    <t xml:space="preserve">β = -1.43 (95% CI, -1.91 to -0.96)</t>
  </si>
  <si>
    <t xml:space="preserve">β = 0.29 (95% CI, -0.18 to 0.76)</t>
  </si>
  <si>
    <t xml:space="preserve">Mean = -0.91 (95% CI, -1.00 to -0.82)</t>
  </si>
  <si>
    <t xml:space="preserve">β = 0.14 (95% CI, 0.02 to 0.27)</t>
  </si>
  <si>
    <t xml:space="preserve">β = 0.03 (95% CI, -0.13 to 0.18)</t>
  </si>
  <si>
    <t xml:space="preserve">Mean = 1.01 (95% CI, 0.93 to 1.08)</t>
  </si>
  <si>
    <t xml:space="preserve">β = 0.29 (95% CI, 0.17 to 0.40)</t>
  </si>
  <si>
    <t xml:space="preserve">β = -0.10 (95% CI, -0.23 to 0.03)</t>
  </si>
  <si>
    <t xml:space="preserve">Mean = -0.03 (95% CI, -0.04 to -0.02)</t>
  </si>
  <si>
    <t xml:space="preserve">β = 0.00 (95% CI, -0.02 to 0.01)</t>
  </si>
  <si>
    <t xml:space="preserve">β = -0.02 (95% CI, -0.03 to 0.00)</t>
  </si>
  <si>
    <t xml:space="preserve">Mean = 547.65 (95% CI, 543.19 to 552.12)</t>
  </si>
  <si>
    <t xml:space="preserve">β = -16.16 (95% CI, -22.56 to -9.75)</t>
  </si>
  <si>
    <t xml:space="preserve">β = 8.82 (95% CI, 1.54 to 16.10)</t>
  </si>
  <si>
    <t xml:space="preserve">Mean = 43.44 (95% CI, 43.18 to 43.70)</t>
  </si>
  <si>
    <t xml:space="preserve">GEE Gaussian, independence working correlation (the outcome is almost constant within patients) - exchangeable fit not accepted: estimated working correlation 0.982 (0.95 or more)</t>
  </si>
  <si>
    <t xml:space="preserve">β = -0.07 (95% CI, -0.49 to 0.35)</t>
  </si>
  <si>
    <t xml:space="preserve">.75</t>
  </si>
  <si>
    <t xml:space="preserve">β = 0.14 (95% CI, -0.26 to 0.55)</t>
  </si>
  <si>
    <t xml:space="preserve">Skipped: ordinal outcome not modeled in GEE (no effect estimate); its P value in the summary tables, if any, comes from the test named in their Test column (a GEE on ranks clustered by patient, a permutation test over patients where that GEE cannot be fitted, or the Wilcoxon / Kruskal-Wallis test with one eye per patient, for a per-patient variable (one row per patient) or with the classical table tests)</t>
  </si>
  <si>
    <t xml:space="preserve">Odds (Reference)</t>
  </si>
  <si>
    <t xml:space="preserve">Odds = 1.16 (95% CI, 0.83 to 1.62)</t>
  </si>
  <si>
    <t xml:space="preserve">model-based SE, Wald z reference</t>
  </si>
  <si>
    <t xml:space="preserve">Logistic regression, per patient (one row per patient), 317 patients</t>
  </si>
  <si>
    <t xml:space="preserve">OR</t>
  </si>
  <si>
    <t xml:space="preserve">OR = 1.53 (95% CI, 0.90 to 2.61)</t>
  </si>
  <si>
    <t xml:space="preserve">OR = 1.15 (95% CI, 0.67 to 1.99)</t>
  </si>
  <si>
    <t xml:space="preserve">.62</t>
  </si>
  <si>
    <t xml:space="preserve">Smoker</t>
  </si>
  <si>
    <t xml:space="preserve">Odds = 0.17 (95% CI, 0.11 to 0.28)</t>
  </si>
  <si>
    <t xml:space="preserve">Logistic regression, per patient (one row per patient), 302 patients</t>
  </si>
  <si>
    <t xml:space="preserve">OR = 0.41 (95% CI, 0.16 to 1.06)</t>
  </si>
  <si>
    <t xml:space="preserve">OR = 1.24 (95% CI, 0.58 to 2.64)</t>
  </si>
  <si>
    <t xml:space="preserve">Surgeon</t>
  </si>
  <si>
    <t xml:space="preserve">Skipped: categorical outcome not modeled in GEE (no effect estimate); its P value in the summary tables, if any, comes from the test named in their Test column (a joint clustered Wald test on its level indicators, a permutation test over patients where that GEE cannot be fitted, or the chi-squared / Fisher's exact test with one eye per patient, for a per-patient variable (one row per patient) or with the classical table tests)</t>
  </si>
  <si>
    <t xml:space="preserve">NOTE: 1 outcome(s) are per-patient variables: modeled on one row per patient by an ordinary linear or logistic model (model-based SE), never by an eye-level GEE - see the 'Model' column.</t>
  </si>
  <si>
    <t xml:space="preserve">Optical_Zone_mm</t>
  </si>
  <si>
    <t xml:space="preserve">Mean = 6.53 (95% CI, 6.50 to 6.55)</t>
  </si>
  <si>
    <t xml:space="preserve">β = -0.09 (95% CI, -0.13 to -0.05)</t>
  </si>
  <si>
    <t xml:space="preserve">β = 0.02 (95% CI, -0.02 to 0.07)</t>
  </si>
  <si>
    <t xml:space="preserve">Mean = 60.48 (95% CI, 56.53 to 64.43)</t>
  </si>
  <si>
    <t xml:space="preserve">β = 15.28 (95% CI, 9.02 to 21.55)</t>
  </si>
  <si>
    <t xml:space="preserve">β = -3.89 (95% CI, -10.58 to 2.81)</t>
  </si>
  <si>
    <t xml:space="preserve">Procedure</t>
  </si>
  <si>
    <t xml:space="preserve">Mean = 181.60 (95% CI, 179.69 to 183.52)</t>
  </si>
  <si>
    <t xml:space="preserve">β = -2.49 (95% CI, -5.43 to 0.45)</t>
  </si>
  <si>
    <t xml:space="preserve">β = -2.31 (95% CI, -5.49 to 0.87)</t>
  </si>
  <si>
    <t xml:space="preserve">Mean = 0.06 (95% CI, 0.00 to 0.12)</t>
  </si>
  <si>
    <t xml:space="preserve">.046</t>
  </si>
  <si>
    <t xml:space="preserve">β = -0.35 (95% CI, -0.44 to -0.26)</t>
  </si>
  <si>
    <t xml:space="preserve">β = -0.02 (95% CI, -0.12 to 0.07)</t>
  </si>
  <si>
    <t xml:space="preserve">Mean = -0.27 (95% CI, -0.31 to -0.24)</t>
  </si>
  <si>
    <t xml:space="preserve">β = 0.04 (95% CI, 0.00 to 0.08)</t>
  </si>
  <si>
    <t xml:space="preserve">β = 0.01 (95% CI, -0.05 to 0.06)</t>
  </si>
  <si>
    <t xml:space="preserve">Mean = -0.04 (95% CI, -0.05 to -0.02)</t>
  </si>
  <si>
    <t xml:space="preserve">β = 0.03 (95% CI, 0.00 to 0.06)</t>
  </si>
  <si>
    <t xml:space="preserve">β = 0.00 (95% CI, -0.03 to 0.02)</t>
  </si>
  <si>
    <t xml:space="preserve">Mean = -0.06 (95% CI, -0.08 to -0.05)</t>
  </si>
  <si>
    <t xml:space="preserve">β = 0.01 (95% CI, -0.01 to 0.03)</t>
  </si>
  <si>
    <t xml:space="preserve">β = 0.01 (95% CI, -0.02 to 0.03)</t>
  </si>
  <si>
    <t xml:space="preserve">DryEye_Symptoms</t>
  </si>
  <si>
    <t xml:space="preserve">Odds = 0.14 (95% CI, 0.09 to 0.23)</t>
  </si>
  <si>
    <t xml:space="preserve">GEE Binomial (exchangeable)</t>
  </si>
  <si>
    <t xml:space="preserve">OR = 4.72 (95% CI, 2.57 to 8.66)</t>
  </si>
  <si>
    <t xml:space="preserve">OR = 1.78 (95% CI, 0.90 to 3.53)</t>
  </si>
  <si>
    <t xml:space="preserve">Retreatment_Required</t>
  </si>
  <si>
    <t xml:space="preserve">Odds = 0.08 (95% CI, 0.04 to 0.15)</t>
  </si>
  <si>
    <t xml:space="preserve">OR = 1.25 (95% CI, 0.54 to 2.90)</t>
  </si>
  <si>
    <t xml:space="preserve">.60</t>
  </si>
  <si>
    <t xml:space="preserve">OR = 1.01 (95% CI, 0.42 to 2.42)</t>
  </si>
  <si>
    <t xml:space="preserve">.99</t>
  </si>
  <si>
    <t xml:space="preserve">Complication_Type</t>
  </si>
  <si>
    <t xml:space="preserve">Intercept (Reference, all covariates at 0)</t>
  </si>
  <si>
    <t xml:space="preserve">Not adjusted for itself (own value omitted from the covariates). Linear regression, per patient (one row per patient), 317 patients; Preop_SEQ_D, Preop_Pachymetry_um averaged over each patient's eyes</t>
  </si>
  <si>
    <t xml:space="preserve">Preop_SEQ_D, Preop_Pachymetry_um</t>
  </si>
  <si>
    <t xml:space="preserve">β = 5.64 (95% CI, 3.44 to 7.85)</t>
  </si>
  <si>
    <t xml:space="preserve">β = -2.67 (95% CI, -4.79 to -0.55)</t>
  </si>
  <si>
    <t xml:space="preserve">β = 0.79 (95% CI, 0.29 to 1.28)</t>
  </si>
  <si>
    <t xml:space="preserve">β = 0.039 (95% CI, 0.005 to 0.073)</t>
  </si>
  <si>
    <t xml:space="preserve">Not adjusted for itself (own value omitted from the covariates). GEE Gaussian (exchangeable)</t>
  </si>
  <si>
    <t xml:space="preserve">Age_Years, Preop_Pachymetry_um</t>
  </si>
  <si>
    <t xml:space="preserve">β = -1.63 (95% CI, -2.11 to -1.16)</t>
  </si>
  <si>
    <t xml:space="preserve">β = 0.45 (95% CI, -0.01 to 0.91)</t>
  </si>
  <si>
    <t xml:space="preserve">β = 0.038 (95% CI, 0.014 to 0.061)</t>
  </si>
  <si>
    <t xml:space="preserve">β = -0.0083 (95% CI, -0.0149 to -0.0017)</t>
  </si>
  <si>
    <t xml:space="preserve">Age_Years, Preop_SEQ_D, Preop_Pachymetry_um</t>
  </si>
  <si>
    <t xml:space="preserve">β = -0.08 (95% CI, -0.15 to 0.00)</t>
  </si>
  <si>
    <t xml:space="preserve">β = -0.01 (95% CI, -0.10 to 0.07)</t>
  </si>
  <si>
    <t xml:space="preserve">β = 0.0024 (95% CI, -0.0014 to 0.0063)</t>
  </si>
  <si>
    <t xml:space="preserve">β = 1.00 (95% CI, 0.99 to 1.02)</t>
  </si>
  <si>
    <t xml:space="preserve">β = 0.0001 (95% CI, -0.0011 to 0.0012)</t>
  </si>
  <si>
    <t xml:space="preserve">β = 0.15 (95% CI, 0.01 to 0.30)</t>
  </si>
  <si>
    <t xml:space="preserve">β = 0.03 (95% CI, -0.14 to 0.20)</t>
  </si>
  <si>
    <t xml:space="preserve">β = -0.0048 (95% CI, -0.0126 to 0.0029)</t>
  </si>
  <si>
    <t xml:space="preserve">β = -0.003 (95% CI, -0.031 to 0.025)</t>
  </si>
  <si>
    <t xml:space="preserve">β = -0.0002 (95% CI, -0.0025 to 0.0021)</t>
  </si>
  <si>
    <t xml:space="preserve">β = -0.05 (95% CI, -0.09 to -0.01)</t>
  </si>
  <si>
    <t xml:space="preserve">.007</t>
  </si>
  <si>
    <t xml:space="preserve">β = -0.02 (95% CI, -0.05 to 0.01)</t>
  </si>
  <si>
    <t xml:space="preserve">β = 0.0003 (95% CI, -0.0017 to 0.0022)</t>
  </si>
  <si>
    <t xml:space="preserve">β = -0.25 (95% CI, -0.26 to -0.24)</t>
  </si>
  <si>
    <t xml:space="preserve">β = -0.0003 (95% CI, -0.0008 to 0.0003)</t>
  </si>
  <si>
    <t xml:space="preserve">.54</t>
  </si>
  <si>
    <t xml:space="preserve">β = -0.01 (95% CI, -0.03 to 0.01)</t>
  </si>
  <si>
    <t xml:space="preserve">β = -0.01 (95% CI, -0.03 to 0.00)</t>
  </si>
  <si>
    <t xml:space="preserve">β = -0.0005 (95% CI, -0.0013 to 0.0004)</t>
  </si>
  <si>
    <t xml:space="preserve">β = -0.0087 (95% CI, -0.0121 to -0.0054)</t>
  </si>
  <si>
    <t xml:space="preserve">β = 0.0000 (95% CI, -0.0002 to 0.0002)</t>
  </si>
  <si>
    <t xml:space="preserve">Age_Years, Preop_SEQ_D</t>
  </si>
  <si>
    <t xml:space="preserve">β = -17.64 (95% CI, -24.22 to -11.06)</t>
  </si>
  <si>
    <t xml:space="preserve">β = 9.53 (95% CI, 2.17 to 16.89)</t>
  </si>
  <si>
    <t xml:space="preserve">β = 0.33 (95% CI, -0.01 to 0.68)</t>
  </si>
  <si>
    <t xml:space="preserve">β = -0.13 (95% CI, -1.18 to 0.92)</t>
  </si>
  <si>
    <t xml:space="preserve">GEE Gaussian, independence working correlation (the outcome is almost constant within patients) - exchangeable fit not accepted: estimated working correlation 0.961 (0.95 or more)</t>
  </si>
  <si>
    <t xml:space="preserve">β = -0.08 (95% CI, -0.54 to 0.37)</t>
  </si>
  <si>
    <t xml:space="preserve">β = 0.15 (95% CI, -0.26 to 0.57)</t>
  </si>
  <si>
    <t xml:space="preserve">β = -0.001 (95% CI, -0.021 to 0.020)</t>
  </si>
  <si>
    <t xml:space="preserve">β = -0.003 (95% CI, -0.088 to 0.083)</t>
  </si>
  <si>
    <t xml:space="preserve">β = -0.0013 (95% CI, -0.0078 to 0.0052)</t>
  </si>
  <si>
    <t xml:space="preserve">.41</t>
  </si>
  <si>
    <t xml:space="preserve">Logistic regression, per patient (one row per patient), 317 patients; Preop_SEQ_D, Preop_Pachymetry_um averaged over each patient's eyes</t>
  </si>
  <si>
    <t xml:space="preserve">OR = 1.45 (95% CI, 0.79 to 2.68)</t>
  </si>
  <si>
    <t xml:space="preserve">OR = 1.17 (95% CI, 0.66 to 2.05)</t>
  </si>
  <si>
    <t xml:space="preserve">OR = 1.013 (95% CI, 0.983 to 1.043)</t>
  </si>
  <si>
    <t xml:space="preserve">.40</t>
  </si>
  <si>
    <t xml:space="preserve">OR = 0.96 (95% CI, 0.84 to 1.10)</t>
  </si>
  <si>
    <t xml:space="preserve">OR = 1.0030 (95% CI, 0.9939 to 1.0121)</t>
  </si>
  <si>
    <t xml:space="preserve">.52</t>
  </si>
  <si>
    <t xml:space="preserve">.55</t>
  </si>
  <si>
    <t xml:space="preserve">Logistic regression, per patient (one row per patient), 302 patients; Preop_SEQ_D, Preop_Pachymetry_um averaged over each patient's eyes</t>
  </si>
  <si>
    <t xml:space="preserve">OR = 0.42 (95% CI, 0.15 to 1.20)</t>
  </si>
  <si>
    <t xml:space="preserve">OR = 1.26 (95% CI, 0.58 to 2.76)</t>
  </si>
  <si>
    <t xml:space="preserve">OR = 1.021 (95% CI, 0.975 to 1.068)</t>
  </si>
  <si>
    <t xml:space="preserve">.38</t>
  </si>
  <si>
    <t xml:space="preserve">OR = 1.09 (95% CI, 0.89 to 1.33)</t>
  </si>
  <si>
    <t xml:space="preserve">OR = 1.000 (95% CI, 0.986 to 1.014)</t>
  </si>
  <si>
    <t xml:space="preserve">Linear regression, per patient (one row per patient), 317 patients; Preop_SEQ_D, Preop_Pachymetry_um averaged over each patient's eyes</t>
  </si>
  <si>
    <t xml:space="preserve">β = -0.02 (95% CI, -0.06 to 0.01)</t>
  </si>
  <si>
    <t xml:space="preserve">β = 0.01 (95% CI, -0.03 to 0.04)</t>
  </si>
  <si>
    <t xml:space="preserve">β = -0.0001 (95% CI, -0.0019 to 0.0017)</t>
  </si>
  <si>
    <t xml:space="preserve">β = 0.051 (95% CI, 0.043 to 0.059)</t>
  </si>
  <si>
    <t xml:space="preserve">β = 0.0000 (95% CI, -0.0005 to 0.0006)</t>
  </si>
  <si>
    <t xml:space="preserve">β = -2.06 (95% CI, -4.05 to -0.06)</t>
  </si>
  <si>
    <t xml:space="preserve">β = -0.32 (95% CI, -2.54 to 1.89)</t>
  </si>
  <si>
    <t xml:space="preserve">β = 0.00 (95% CI, -0.10 to 0.11)</t>
  </si>
  <si>
    <t xml:space="preserve">β = -13.39 (95% CI, -13.78 to -12.99)</t>
  </si>
  <si>
    <t xml:space="preserve">β = 0.053 (95% CI, 0.020 to 0.086)</t>
  </si>
  <si>
    <t xml:space="preserve">β = -2.15 (95% CI, -5.74 to 1.43)</t>
  </si>
  <si>
    <t xml:space="preserve">β = -2.49 (95% CI, -5.66 to 0.67)</t>
  </si>
  <si>
    <t xml:space="preserve">β = -0.04 (95% CI, -0.21 to 0.13)</t>
  </si>
  <si>
    <t xml:space="preserve">β = 0.34 (95% CI, -0.40 to 1.09)</t>
  </si>
  <si>
    <t xml:space="preserve">β = 0.016 (95% CI, -0.031 to 0.062)</t>
  </si>
  <si>
    <t xml:space="preserve">.85</t>
  </si>
  <si>
    <t xml:space="preserve">β = -0.22 (95% CI, -0.32 to -0.12)</t>
  </si>
  <si>
    <t xml:space="preserve">β = -0.07 (95% CI, -0.16 to 0.02)</t>
  </si>
  <si>
    <t xml:space="preserve">β = -0.013 (95% CI, -0.017 to -0.008)</t>
  </si>
  <si>
    <t xml:space="preserve">β = 0.046 (95% CI, 0.024 to 0.068)</t>
  </si>
  <si>
    <t xml:space="preserve">β = 0.0013 (95% CI, 0.0000 to 0.0026)</t>
  </si>
  <si>
    <t xml:space="preserve">.47</t>
  </si>
  <si>
    <t xml:space="preserve">β = 0.04 (95% CI, -0.01 to 0.09)</t>
  </si>
  <si>
    <t xml:space="preserve">β = 0.01 (95% CI, -0.04 to 0.07)</t>
  </si>
  <si>
    <t xml:space="preserve">.70</t>
  </si>
  <si>
    <t xml:space="preserve">β = -0.0015 (95% CI, -0.0044 to 0.0013)</t>
  </si>
  <si>
    <t xml:space="preserve">β = -0.003 (95% CI, -0.014 to 0.008)</t>
  </si>
  <si>
    <t xml:space="preserve">β = -0.0001 (95% CI, -0.0009 to 0.0006)</t>
  </si>
  <si>
    <t xml:space="preserve">β = 0.02 (95% CI, -0.01 to 0.05)</t>
  </si>
  <si>
    <t xml:space="preserve">β = 0.00 (95% CI, -0.03 to 0.03)</t>
  </si>
  <si>
    <t xml:space="preserve">β = 0.0005 (95% CI, -0.0009 to 0.0020)</t>
  </si>
  <si>
    <t xml:space="preserve">β = -0.0037 (95% CI, -0.0098 to 0.0023)</t>
  </si>
  <si>
    <t xml:space="preserve">β = -0.0001 (95% CI, -0.0005 to 0.0003)</t>
  </si>
  <si>
    <t xml:space="preserve">β = 0.01 (95% CI, -0.01 to 0.04)</t>
  </si>
  <si>
    <t xml:space="preserve">.34</t>
  </si>
  <si>
    <t xml:space="preserve">β = -0.0007 (95% CI, -0.0021 to 0.0007)</t>
  </si>
  <si>
    <t xml:space="preserve">β = -0.0020 (95% CI, -0.0075 to 0.0036)</t>
  </si>
  <si>
    <t xml:space="preserve">β = 0.0001 (95% CI, -0.0003 to 0.0005)</t>
  </si>
  <si>
    <t xml:space="preserve">.65</t>
  </si>
  <si>
    <t xml:space="preserve">OR = 3.27 (95% CI, 1.56 to 6.86)</t>
  </si>
  <si>
    <t xml:space="preserve">OR = 2.05 (95% CI, 1.02 to 4.10)</t>
  </si>
  <si>
    <t xml:space="preserve">OR = 1.032 (95% CI, 0.996 to 1.068)</t>
  </si>
  <si>
    <t xml:space="preserve">OR = 0.90 (95% CI, 0.77 to 1.06)</t>
  </si>
  <si>
    <t xml:space="preserve">OR = 0.987 (95% CI, 0.977 to 0.998)</t>
  </si>
  <si>
    <t xml:space="preserve">OR = 0.99 (95% CI, 0.39 to 2.52)</t>
  </si>
  <si>
    <t xml:space="preserve">OR = 1.11 (95% CI, 0.44 to 2.75)</t>
  </si>
  <si>
    <t xml:space="preserve">OR = 0.994 (95% CI, 0.941 to 1.049)</t>
  </si>
  <si>
    <t xml:space="preserve">OR = 0.88 (95% CI, 0.70 to 1.10)</t>
  </si>
  <si>
    <t xml:space="preserve">OR = 0.992 (95% CI, 0.980 to 1.005)</t>
  </si>
  <si>
    <t xml:space="preserve">NOTE: 1 model(s) carry a small-sample caution or failed - see the Note column. Interpret flagged estimates cautiously.</t>
  </si>
  <si>
    <t xml:space="preserve">Adjusted regression - unmatched cohort (covariates: Age_Years, Preop_SEQ_D, Preop_Pachymetry_um; robust SE (Mancl-DeRouen), t reference; working correlation: exchangeable unless the Model column of the full models below names another; crude columns: the group alone, fitted on the same eyes)</t>
  </si>
  <si>
    <t xml:space="preserve">P (Holm)</t>
  </si>
  <si>
    <t xml:space="preserve">Crude effect, same eyes (95% CI)</t>
  </si>
  <si>
    <t xml:space="preserve">Crude P, same eyes</t>
  </si>
  <si>
    <t xml:space="preserve">Crude P (Holm), same eyes</t>
  </si>
  <si>
    <t xml:space="preserve">n</t>
  </si>
  <si>
    <t xml:space="preserve">β = -3.02 (95% CI, -5.98 to -0.06)</t>
  </si>
  <si>
    <t xml:space="preserve">.045</t>
  </si>
  <si>
    <t xml:space="preserve">β = -2.25 (95% CI, -5.44 to 0.94)</t>
  </si>
  <si>
    <t xml:space="preserve">β = -0.36 (95% CI, -0.45 to -0.26)</t>
  </si>
  <si>
    <t xml:space="preserve">β = -0.03 (95% CI, -0.12 to 0.07)</t>
  </si>
  <si>
    <t xml:space="preserve">.33</t>
  </si>
  <si>
    <t xml:space="preserve">Skipped: ordinal outcome</t>
  </si>
  <si>
    <t xml:space="preserve">OR = 4.86 (95% CI, 2.64 to 8.96)</t>
  </si>
  <si>
    <t xml:space="preserve">OR = 1.68 (95% CI, 0.84 to 3.35)</t>
  </si>
  <si>
    <t xml:space="preserve">.14</t>
  </si>
  <si>
    <t xml:space="preserve">OR = 1.28 (95% CI, 0.55 to 2.97)</t>
  </si>
  <si>
    <t xml:space="preserve">CAUTION: only 38 eyes in the smaller outcome class for 5 parameters (&lt;10 per parameter) - possible overfitting</t>
  </si>
  <si>
    <t xml:space="preserve">OR = 1.02 (95% CI, 0.42 to 2.46)</t>
  </si>
  <si>
    <t xml:space="preserve">Skipped: categorical outcome</t>
  </si>
  <si>
    <t xml:space="preserve">Full models (every term; P unadjusted per term - the Holm-adjusted comparisons are in the 'P (Holm)' column above)</t>
  </si>
  <si>
    <t xml:space="preserve">Linear GEE (β), working correlation: exchangeable</t>
  </si>
  <si>
    <t xml:space="preserve">Logistic GEE (OR), working correlation: exchangeable</t>
  </si>
  <si>
    <t xml:space="preserve">PSM settings</t>
  </si>
  <si>
    <t xml:space="preserve">Setting</t>
  </si>
  <si>
    <t xml:space="preserve">Matching method</t>
  </si>
  <si>
    <t xml:space="preserve">nearest</t>
  </si>
  <si>
    <t xml:space="preserve">Distance</t>
  </si>
  <si>
    <t xml:space="preserve">propensity score, logit scale (MatchIt link linear.logit)</t>
  </si>
  <si>
    <t xml:space="preserve">Propensity score scale</t>
  </si>
  <si>
    <t xml:space="preserve">logit of the propensity score</t>
  </si>
  <si>
    <t xml:space="preserve">Ratio</t>
  </si>
  <si>
    <t xml:space="preserve">2</t>
  </si>
  <si>
    <t xml:space="preserve">Replacement</t>
  </si>
  <si>
    <t xml:space="preserve">no</t>
  </si>
  <si>
    <t xml:space="preserve">Caliper</t>
  </si>
  <si>
    <t xml:space="preserve">0.2 SD of the logit of the propensity score (= 0.321 on that scale)</t>
  </si>
  <si>
    <t xml:space="preserve">Standardized caliper</t>
  </si>
  <si>
    <t xml:space="preserve">yes</t>
  </si>
  <si>
    <t xml:space="preserve">Matching order</t>
  </si>
  <si>
    <t xml:space="preserve">largest</t>
  </si>
  <si>
    <t xml:space="preserve">Random seed (matching)</t>
  </si>
  <si>
    <t xml:space="preserve">20250601</t>
  </si>
  <si>
    <t xml:space="preserve">Reference group</t>
  </si>
  <si>
    <t xml:space="preserve">Patient ID (clustering for GEE only; not used in matching)</t>
  </si>
  <si>
    <t xml:space="preserve">PatientID</t>
  </si>
  <si>
    <t xml:space="preserve">Matched analyses</t>
  </si>
  <si>
    <t xml:space="preserve">Matched analyses use an independence working correlation with robust standard errors clustered by patient; matched sets (pairs) are not used as clusters.</t>
  </si>
  <si>
    <t xml:space="preserve">Matching covariates</t>
  </si>
  <si>
    <t xml:space="preserve">Matching covariate</t>
  </si>
  <si>
    <t xml:space="preserve">Covariate balance (cobalt; standardized differences for every covariate)</t>
  </si>
  <si>
    <t xml:space="preserve">Variable</t>
  </si>
  <si>
    <t xml:space="preserve">Type</t>
  </si>
  <si>
    <t xml:space="preserve">Standardized difference before matching</t>
  </si>
  <si>
    <t xml:space="preserve">Standardized difference after matching</t>
  </si>
  <si>
    <t xml:space="preserve">Balanced (|SMD| &lt; 0.1)</t>
  </si>
  <si>
    <t xml:space="preserve">Propensity score (logit)</t>
  </si>
  <si>
    <t xml:space="preserve">Continuous</t>
  </si>
  <si>
    <t xml:space="preserve">Propensity-score distribution (logit of the propensity score; matched rows)</t>
  </si>
  <si>
    <t xml:space="preserve">Matching weight</t>
  </si>
  <si>
    <t xml:space="preserve">NOTE: Models weighted by the matching weights - working correlation: independence (weighted), robust SE (Mancl-DeRouen), t reference. Matched analyses use an independence working correlation with robust standard errors clustered by patient; matched sets (pairs) are not used as clusters. 4 outcome(s) are per-patient variables: modeled on one row per patient by a GEE with an independence working correlation and the robust SE clustered by patient (robust SE (Mancl-DeRouen), t reference; matched cohort), never by an eye-level GEE - see the 'Model' column.</t>
  </si>
  <si>
    <t xml:space="preserve">GEE - baseline</t>
  </si>
  <si>
    <t xml:space="preserve">Mean = 36.31 (95% CI, 34.68 to 37.95)</t>
  </si>
  <si>
    <t xml:space="preserve">GEE Gaussian, per patient (one row per patient), working correlation: independence (weighted), 163 patients</t>
  </si>
  <si>
    <t xml:space="preserve">β = 0.86 (95% CI, -1.76 to 3.48)</t>
  </si>
  <si>
    <t xml:space="preserve">Mean = -4.28 (95% CI, -4.66 to -3.91)</t>
  </si>
  <si>
    <t xml:space="preserve">GEE Gaussian, working correlation: independence (weighted)</t>
  </si>
  <si>
    <t xml:space="preserve">β = -0.12 (95% CI, -0.68 to 0.43)</t>
  </si>
  <si>
    <t xml:space="preserve">Mean = -3.85 (95% CI, -4.22 to -3.48)</t>
  </si>
  <si>
    <t xml:space="preserve">β = -0.14 (95% CI, -0.70 to 0.42)</t>
  </si>
  <si>
    <t xml:space="preserve">Mean = -0.86 (95% CI, -0.96 to -0.76)</t>
  </si>
  <si>
    <t xml:space="preserve">β = 0.04 (95% CI, -0.11 to 0.18)</t>
  </si>
  <si>
    <t xml:space="preserve">Mean = 1.14 (95% CI, 1.05 to 1.24)</t>
  </si>
  <si>
    <t xml:space="preserve">β = 0.04 (95% CI, -0.10 to 0.19)</t>
  </si>
  <si>
    <t xml:space="preserve">Mean = -0.02 (95% CI, -0.04 to -0.01)</t>
  </si>
  <si>
    <t xml:space="preserve">β = 0.00 (95% CI, -0.02 to 0.02)</t>
  </si>
  <si>
    <t xml:space="preserve">Mean = 536.66 (95% CI, 531.74 to 541.58)</t>
  </si>
  <si>
    <t xml:space="preserve">β = -2.56 (95% CI, -10.69 to 5.58)</t>
  </si>
  <si>
    <t xml:space="preserve">Mean = 43.62 (95% CI, 43.31 to 43.93)</t>
  </si>
  <si>
    <t xml:space="preserve">β = -0.24 (95% CI, -0.73 to 0.25)</t>
  </si>
  <si>
    <t xml:space="preserve">Odds = 1.47 (95% CI, 0.95 to 2.28)</t>
  </si>
  <si>
    <t xml:space="preserve">GEE Binomial, per patient (one row per patient), working correlation: independence (weighted), 163 patients</t>
  </si>
  <si>
    <t xml:space="preserve">OR = 1.12 (95% CI, 0.58 to 2.18)</t>
  </si>
  <si>
    <t xml:space="preserve">.73</t>
  </si>
  <si>
    <t xml:space="preserve">Odds = 0.20 (95% CI, 0.11 to 0.37)</t>
  </si>
  <si>
    <t xml:space="preserve">GEE Binomial, per patient (one row per patient), working correlation: independence (weighted), 156 patients</t>
  </si>
  <si>
    <t xml:space="preserve">OR = 0.32 (95% CI, 0.10 to 1.08)</t>
  </si>
  <si>
    <t xml:space="preserve">GEE - preop/intraop</t>
  </si>
  <si>
    <t xml:space="preserve">Mean = 6.49 (95% CI, 6.45 to 6.52)</t>
  </si>
  <si>
    <t xml:space="preserve">β = -0.04 (95% CI, -0.08 to 0.01)</t>
  </si>
  <si>
    <t xml:space="preserve">Mean = 67.13 (95% CI, 62.15 to 72.12)</t>
  </si>
  <si>
    <t xml:space="preserve">β = 1.14 (95% CI, -6.31 to 8.60)</t>
  </si>
  <si>
    <t xml:space="preserve">GEE - outcomes</t>
  </si>
  <si>
    <t xml:space="preserve">Mean = 181.60 (95% CI, 178.64 to 184.55)</t>
  </si>
  <si>
    <t xml:space="preserve">β = -4.20 (95% CI, -8.47 to 0.06)</t>
  </si>
  <si>
    <t xml:space="preserve">Mean = -0.04 (95% CI, -0.12 to 0.05)</t>
  </si>
  <si>
    <t xml:space="preserve">β = -0.20 (95% CI, -0.32 to -0.08)</t>
  </si>
  <si>
    <t xml:space="preserve">Mean = -0.24 (95% CI, -0.27 to -0.20)</t>
  </si>
  <si>
    <t xml:space="preserve">β = 0.00 (95% CI, -0.05 to 0.05)</t>
  </si>
  <si>
    <t xml:space="preserve">Mean = -0.04 (95% CI, -0.06 to -0.02)</t>
  </si>
  <si>
    <t xml:space="preserve">β = 0.03 (95% CI, 0.00 to 0.07)</t>
  </si>
  <si>
    <t xml:space="preserve">Mean = -0.07 (95% CI, -0.09 to -0.05)</t>
  </si>
  <si>
    <t xml:space="preserve">Odds = 0.25 (95% CI, 0.14 to 0.45)</t>
  </si>
  <si>
    <t xml:space="preserve">GEE Binomial, working correlation: independence (weighted)</t>
  </si>
  <si>
    <t xml:space="preserve">OR = 2.05 (95% CI, 0.94 to 4.46)</t>
  </si>
  <si>
    <t xml:space="preserve">Odds = 0.06 (95% CI, 0.02 to 0.18)</t>
  </si>
  <si>
    <t xml:space="preserve">OR = 0.92 (95% CI, 0.23 to 3.73)</t>
  </si>
  <si>
    <t xml:space="preserve">Adjusted GEE - baseline</t>
  </si>
  <si>
    <t xml:space="preserve">Not adjusted for itself (own value omitted from the covariates). GEE Gaussian, per patient (one row per patient), working correlation: independence (weighted), 163 patients; Preop_SEQ_D, Preop_Pachymetry_um averaged over each patient's eyes</t>
  </si>
  <si>
    <t xml:space="preserve">β = 1.68 (95% CI, -0.83 to 4.20)</t>
  </si>
  <si>
    <t xml:space="preserve">β = 1.69 (95% CI, 0.94 to 2.44)</t>
  </si>
  <si>
    <t xml:space="preserve">β = 0.091 (95% CI, 0.043 to 0.139)</t>
  </si>
  <si>
    <t xml:space="preserve">Not adjusted for itself (own value omitted from the covariates). GEE Gaussian, working correlation: independence (weighted)</t>
  </si>
  <si>
    <t xml:space="preserve">β = -0.20 (95% CI, -0.71 to 0.32)</t>
  </si>
  <si>
    <t xml:space="preserve">.45</t>
  </si>
  <si>
    <t xml:space="preserve">β = 0.075 (95% CI, 0.041 to 0.109)</t>
  </si>
  <si>
    <t xml:space="preserve">β = -0.017 (95% CI, -0.027 to -0.008)</t>
  </si>
  <si>
    <t xml:space="preserve">β = -0.02 (95% CI, -0.09 to 0.06)</t>
  </si>
  <si>
    <t xml:space="preserve">β = 0.0021 (95% CI, -0.0022 to 0.0064)</t>
  </si>
  <si>
    <t xml:space="preserve">β = 1.00 (95% CI, 0.98 to 1.02)</t>
  </si>
  <si>
    <t xml:space="preserve">β = 0.0000 (95% CI, -0.0014 to 0.0015)</t>
  </si>
  <si>
    <t xml:space="preserve">.98</t>
  </si>
  <si>
    <t xml:space="preserve">β = 0.04 (95% CI, -0.11 to 0.19)</t>
  </si>
  <si>
    <t xml:space="preserve">β = -0.0042 (95% CI, -0.0128 to 0.0044)</t>
  </si>
  <si>
    <t xml:space="preserve">β = 0.000 (95% CI, -0.040 to 0.040)</t>
  </si>
  <si>
    <t xml:space="preserve">β = 0.0000 (95% CI, -0.0029 to 0.0029)</t>
  </si>
  <si>
    <t xml:space="preserve">.97</t>
  </si>
  <si>
    <t xml:space="preserve">β = 0.01 (95% CI, -0.03 to 0.05)</t>
  </si>
  <si>
    <t xml:space="preserve">β = 0.0012 (95% CI, -0.0019 to 0.0043)</t>
  </si>
  <si>
    <t xml:space="preserve">β = -0.25 (95% CI, -0.28 to -0.23)</t>
  </si>
  <si>
    <t xml:space="preserve">β = 0.0000 (95% CI, -0.0007 to 0.0007)</t>
  </si>
  <si>
    <t xml:space="preserve">β = -0.01 (95% CI, -0.02 to 0.01)</t>
  </si>
  <si>
    <t xml:space="preserve">β = 0.0001 (95% CI, -0.0011 to 0.0013)</t>
  </si>
  <si>
    <t xml:space="preserve">β = -0.013 (95% CI, -0.019 to -0.007)</t>
  </si>
  <si>
    <t xml:space="preserve">β = 0.0000 (95% CI, -0.0004 to 0.0004)</t>
  </si>
  <si>
    <t xml:space="preserve">β = -3.31 (95% CI, -11.06 to 4.44)</t>
  </si>
  <si>
    <t xml:space="preserve">β = 0.84 (95% CI, 0.40 to 1.29)</t>
  </si>
  <si>
    <t xml:space="preserve">β = -3.40 (95% CI, -5.24 to -1.56)</t>
  </si>
  <si>
    <t xml:space="preserve">β = -0.27 (95% CI, -0.77 to 0.23)</t>
  </si>
  <si>
    <t xml:space="preserve">β = 0.010 (95% CI, -0.020 to 0.040)</t>
  </si>
  <si>
    <t xml:space="preserve">β = -0.07 (95% CI, -0.21 to 0.07)</t>
  </si>
  <si>
    <t xml:space="preserve">β = -0.005 (95% CI, -0.016 to 0.006)</t>
  </si>
  <si>
    <t xml:space="preserve">GEE Binomial, per patient (one row per patient), working correlation: independence (weighted), 163 patients; Preop_SEQ_D, Preop_Pachymetry_um averaged over each patient's eyes</t>
  </si>
  <si>
    <t xml:space="preserve">OR = 1.08 (95% CI, 0.54 to 2.19)</t>
  </si>
  <si>
    <t xml:space="preserve">OR = 1.012 (95% CI, 0.967 to 1.060)</t>
  </si>
  <si>
    <t xml:space="preserve">OR = 0.99 (95% CI, 0.80 to 1.23)</t>
  </si>
  <si>
    <t xml:space="preserve">OR = 0.996 (95% CI, 0.980 to 1.012)</t>
  </si>
  <si>
    <t xml:space="preserve">.90</t>
  </si>
  <si>
    <t xml:space="preserve">GEE Binomial, per patient (one row per patient), working correlation: independence (weighted), 156 patients; Preop_SEQ_D, Preop_Pachymetry_um averaged over each patient's eyes</t>
  </si>
  <si>
    <t xml:space="preserve">OR = 0.32 (95% CI, 0.09 to 1.15)</t>
  </si>
  <si>
    <t xml:space="preserve">OR = 1.005 (95% CI, 0.915 to 1.104)</t>
  </si>
  <si>
    <t xml:space="preserve">OR = 1.12 (95% CI, 0.78 to 1.61)</t>
  </si>
  <si>
    <t xml:space="preserve">OR = 0.996 (95% CI, 0.972 to 1.020)</t>
  </si>
  <si>
    <t xml:space="preserve">Adjusted GEE - preop/intraop</t>
  </si>
  <si>
    <t xml:space="preserve">GEE Gaussian, per patient (one row per patient), working correlation: independence (weighted), 163 patients; Preop_SEQ_D, Preop_Pachymetry_um averaged over each patient's eyes</t>
  </si>
  <si>
    <t xml:space="preserve">β = -0.03 (95% CI, -0.07 to 0.01)</t>
  </si>
  <si>
    <t xml:space="preserve">β = -0.0005 (95% CI, -0.0033 to 0.0024)</t>
  </si>
  <si>
    <t xml:space="preserve">β = 0.052 (95% CI, 0.040 to 0.065)</t>
  </si>
  <si>
    <t xml:space="preserve">β = -0.0001 (95% CI, -0.0010 to 0.0009)</t>
  </si>
  <si>
    <t xml:space="preserve">β = -0.29 (95% CI, -2.43 to 1.85)</t>
  </si>
  <si>
    <t xml:space="preserve">.79</t>
  </si>
  <si>
    <t xml:space="preserve">β = 0.00 (95% CI, -0.14 to 0.14)</t>
  </si>
  <si>
    <t xml:space="preserve">β = -12.81 (95% CI, -13.48 to -12.14)</t>
  </si>
  <si>
    <t xml:space="preserve">β = 0.061 (95% CI, 0.015 to 0.107)</t>
  </si>
  <si>
    <t xml:space="preserve">.010</t>
  </si>
  <si>
    <t xml:space="preserve">Adjusted GEE - outcomes</t>
  </si>
  <si>
    <t xml:space="preserve">β = -4.07 (95% CI, -8.48 to 0.34)</t>
  </si>
  <si>
    <t xml:space="preserve">β = 0.01 (95% CI, -0.28 to 0.30)</t>
  </si>
  <si>
    <t xml:space="preserve">β = 0.65 (95% CI, -0.64 to 1.94)</t>
  </si>
  <si>
    <t xml:space="preserve">β = 0.035 (95% CI, -0.063 to 0.132)</t>
  </si>
  <si>
    <t xml:space="preserve">.61</t>
  </si>
  <si>
    <t xml:space="preserve">β = -0.19 (95% CI, -0.31 to -0.07)</t>
  </si>
  <si>
    <t xml:space="preserve">β = -0.014 (95% CI, -0.022 to -0.005)</t>
  </si>
  <si>
    <t xml:space="preserve">β = 0.043 (95% CI, 0.002 to 0.083)</t>
  </si>
  <si>
    <t xml:space="preserve">β = 0.0007 (95% CI, -0.0015 to 0.0029)</t>
  </si>
  <si>
    <t xml:space="preserve">β = -0.0017 (95% CI, -0.0051 to 0.0017)</t>
  </si>
  <si>
    <t xml:space="preserve">β = 0.008 (95% CI, -0.007 to 0.023)</t>
  </si>
  <si>
    <t xml:space="preserve">β = 0.0005 (95% CI, -0.0007 to 0.0017)</t>
  </si>
  <si>
    <t xml:space="preserve">β = 0.03 (95% CI, -0.01 to 0.06)</t>
  </si>
  <si>
    <t xml:space="preserve">β = 0.0028 (95% CI, 0.0008 to 0.0048)</t>
  </si>
  <si>
    <t xml:space="preserve">β = -0.011 (95% CI, -0.020 to -0.002)</t>
  </si>
  <si>
    <t xml:space="preserve">β = 0.0000 (95% CI, -0.0007 to 0.0008)</t>
  </si>
  <si>
    <t xml:space="preserve">β = 0.0003 (95% CI, -0.0020 to 0.0026)</t>
  </si>
  <si>
    <t xml:space="preserve">β = -0.008 (95% CI, -0.018 to 0.002)</t>
  </si>
  <si>
    <t xml:space="preserve">β = 0.0004 (95% CI, -0.0004 to 0.0011)</t>
  </si>
  <si>
    <t xml:space="preserve">OR = 2.05 (95% CI, 0.92 to 4.61)</t>
  </si>
  <si>
    <t xml:space="preserve">OR = 0.976 (95% CI, 0.928 to 1.027)</t>
  </si>
  <si>
    <t xml:space="preserve">OR = 0.96 (95% CI, 0.77 to 1.21)</t>
  </si>
  <si>
    <t xml:space="preserve">OR = 0.997 (95% CI, 0.979 to 1.015)</t>
  </si>
  <si>
    <t xml:space="preserve">OR = 0.88 (95% CI, 0.19 to 4.12)</t>
  </si>
  <si>
    <t xml:space="preserve">OR = 1.02 (95% CI, 0.89 to 1.18)</t>
  </si>
  <si>
    <t xml:space="preserve">OR = 0.78 (95% CI, 0.52 to 1.15)</t>
  </si>
  <si>
    <t xml:space="preserve">OR = 0.999 (95% CI, 0.972 to 1.027)</t>
  </si>
  <si>
    <t xml:space="preserve">Adjusted regression - matched cohort (Cohort A_vs_Reference) (covariates: Age_Years, Preop_SEQ_D, Preop_Pachymetry_um; robust SE (Mancl-DeRouen), t reference; working correlation: independence; crude columns: the group alone, fitted on the same eyes)</t>
  </si>
  <si>
    <t xml:space="preserve">210</t>
  </si>
  <si>
    <t xml:space="preserve">206</t>
  </si>
  <si>
    <t xml:space="preserve">210 (51 events)</t>
  </si>
  <si>
    <t xml:space="preserve">210 (11 events)</t>
  </si>
  <si>
    <t xml:space="preserve">CAUTION: only 11 eyes in the smaller outcome class for 4 parameters (&lt;10 per parameter) - possible overfitting</t>
  </si>
  <si>
    <t xml:space="preserve">Full models (every term)</t>
  </si>
  <si>
    <t xml:space="preserve">Linear GEE (β), working correlation: independence (weighted)</t>
  </si>
  <si>
    <t xml:space="preserve">Logistic GEE (OR), working correlation: independence (weighted)</t>
  </si>
  <si>
    <t xml:space="preserve">NOTE: the matched cohort carries non-unit matching weights (0.706-1.41). Descriptives and the table tests are weighted by the MatchIt weights (weighted Wald test, GEE robust SE); n = matched rows, ESS = effective sample size. The GEE / adjusted-regression columns are weighted too. Within-group sections and the mEYEstro / AstigMATIC tabs list the matched rows unweighted. Matched analyses use an independence working correlation with robust standard errors clustered by patient; matched sets (pairs) are not used as clusters.</t>
  </si>
  <si>
    <t xml:space="preserve">Baseline (matched)</t>
  </si>
  <si>
    <t xml:space="preserve">Reference (n = 137 eyes; 94 patients, ESS = 122)</t>
  </si>
  <si>
    <t xml:space="preserve">Cohort A (n = 97 eyes; 69 patients, ESS = 97)</t>
  </si>
  <si>
    <t xml:space="preserve">36.31 ± 7.49</t>
  </si>
  <si>
    <t xml:space="preserve">37.17 ± 8.55</t>
  </si>
  <si>
    <t xml:space="preserve">Weighted Wald test (GEE, robust SE (Mancl-DeRouen), t reference)</t>
  </si>
  <si>
    <t xml:space="preserve">Not statistically significant (between groups).</t>
  </si>
  <si>
    <t xml:space="preserve">.52 [one row per patient]</t>
  </si>
  <si>
    <t xml:space="preserve">-4.28 ± 1.72</t>
  </si>
  <si>
    <t xml:space="preserve">-4.41 ± 1.66</t>
  </si>
  <si>
    <t xml:space="preserve">-3.85 ± 1.74</t>
  </si>
  <si>
    <t xml:space="preserve">-3.99 ± 1.70</t>
  </si>
  <si>
    <t xml:space="preserve">-0.86 ± 0.47</t>
  </si>
  <si>
    <t xml:space="preserve">-0.82 ± 0.46</t>
  </si>
  <si>
    <t xml:space="preserve">20/278 (1.14 ± 0.45 logMAR); range 20/16 to 20/1000</t>
  </si>
  <si>
    <t xml:space="preserve">20/306 (1.18 ± 0.45 logMAR); range 20/20 to 20/1000</t>
  </si>
  <si>
    <t xml:space="preserve">20/19 (-0.02 ± 0.07 logMAR); range 20/12.5 to 20/25</t>
  </si>
  <si>
    <t xml:space="preserve">536.66 ± 22.63</t>
  </si>
  <si>
    <t xml:space="preserve">534.10 ± 24.47</t>
  </si>
  <si>
    <t xml:space="preserve">43.62 ± 1.37 (n = 134)</t>
  </si>
  <si>
    <t xml:space="preserve">43.38 ± 1.49 (n = 96)</t>
  </si>
  <si>
    <t xml:space="preserve">0 [0–1] (n = 136)</t>
  </si>
  <si>
    <t xml:space="preserve">Weighted Wald test on ranks (GEE, robust SE (Mancl-DeRouen), t reference)</t>
  </si>
  <si>
    <t xml:space="preserve">55.1/92.5 (59.5%)</t>
  </si>
  <si>
    <t xml:space="preserve">43/69 (62.3%)</t>
  </si>
  <si>
    <t xml:space="preserve">.73 [one row per patient]</t>
  </si>
  <si>
    <t xml:space="preserve">14.8/89.3 (16.6%)</t>
  </si>
  <si>
    <t xml:space="preserve">4/66 (6.1%)</t>
  </si>
  <si>
    <t xml:space="preserve">.07 [one row per patient]</t>
  </si>
  <si>
    <t xml:space="preserve">36.4/92.5 (39.3%)</t>
  </si>
  <si>
    <t xml:space="preserve">30/69 (43.5%)</t>
  </si>
  <si>
    <t xml:space="preserve">Weighted Wald test on level indicators (GEE, robust SE (Mancl-DeRouen), F reference)</t>
  </si>
  <si>
    <t xml:space="preserve">26.1/92.5 (28.2%)</t>
  </si>
  <si>
    <t xml:space="preserve">22/69 (31.9%)</t>
  </si>
  <si>
    <t xml:space="preserve">30.0/92.5 (32.4%)</t>
  </si>
  <si>
    <t xml:space="preserve">17/69 (24.6%)</t>
  </si>
  <si>
    <t xml:space="preserve">Preoperative / intraoperative (matched)</t>
  </si>
  <si>
    <t xml:space="preserve">6.49 ± 0.16</t>
  </si>
  <si>
    <t xml:space="preserve">6.45 ± 0.14</t>
  </si>
  <si>
    <t xml:space="preserve">.14 [one row per patient]</t>
  </si>
  <si>
    <t xml:space="preserve">67.13 ± 23.31</t>
  </si>
  <si>
    <t xml:space="preserve">68.28 ± 22.57</t>
  </si>
  <si>
    <t xml:space="preserve">14.1/137 (10.3%)</t>
  </si>
  <si>
    <t xml:space="preserve">14/97 (14.4%)</t>
  </si>
  <si>
    <t xml:space="preserve">54.4/137 (39.7%)</t>
  </si>
  <si>
    <t xml:space="preserve">37/97 (38.1%)</t>
  </si>
  <si>
    <t xml:space="preserve">68.5/137 (50.0%)</t>
  </si>
  <si>
    <t xml:space="preserve">46/97 (47.4%)</t>
  </si>
  <si>
    <t xml:space="preserve">181.60 ± 15.21 (n = 119)</t>
  </si>
  <si>
    <t xml:space="preserve">177.40 ± 15.09 (n = 91)</t>
  </si>
  <si>
    <t xml:space="preserve">-0.04 ± 0.36 (n = 119)</t>
  </si>
  <si>
    <t xml:space="preserve">-0.24 ± 0.33 (n = 91)</t>
  </si>
  <si>
    <t xml:space="preserve">Statistically significant (between groups).</t>
  </si>
  <si>
    <t xml:space="preserve">-0.24 ± 0.18 (n = 119)</t>
  </si>
  <si>
    <t xml:space="preserve">-0.24 ± 0.14 (n = 91)</t>
  </si>
  <si>
    <t xml:space="preserve">20/18 (-0.04 ± 0.10 logMAR); range 20/12.5 to 20/32 (n = 117)</t>
  </si>
  <si>
    <t xml:space="preserve">20/20 (-0.01 ± 0.11 logMAR); range 20/12.5 to 20/40 (n = 89)</t>
  </si>
  <si>
    <t xml:space="preserve">20/17 (-0.07 ± 0.09 logMAR); range 20/12.5 to 20/32 (n = 119)</t>
  </si>
  <si>
    <t xml:space="preserve">20/18 (-0.04 ± 0.08 logMAR); range 20/12.5 to 20/32 (n = 91)</t>
  </si>
  <si>
    <t xml:space="preserve">0 [0–0] (n = 119)</t>
  </si>
  <si>
    <t xml:space="preserve">0 [0–0] (n = 91)</t>
  </si>
  <si>
    <t xml:space="preserve">5 [4–5] (n = 111)</t>
  </si>
  <si>
    <t xml:space="preserve">4 [3–5] (n = 84)</t>
  </si>
  <si>
    <t xml:space="preserve">24.0/119.3 (20.1%)</t>
  </si>
  <si>
    <t xml:space="preserve">31/91 (34.1%)</t>
  </si>
  <si>
    <t xml:space="preserve">7.1/119.3 (5.9%)</t>
  </si>
  <si>
    <t xml:space="preserve">5/91 (5.5%)</t>
  </si>
  <si>
    <t xml:space="preserve">7.1/137 (5.2%)</t>
  </si>
  <si>
    <t xml:space="preserve">1/97 (1.0%)</t>
  </si>
  <si>
    <t xml:space="preserve">1.4/137 (1.0%)</t>
  </si>
  <si>
    <t xml:space="preserve">0.7/137 (0.5%)</t>
  </si>
  <si>
    <t xml:space="preserve">2/97 (2.1%)</t>
  </si>
  <si>
    <t xml:space="preserve">127.8/137 (93.3%)</t>
  </si>
  <si>
    <t xml:space="preserve">93/97 (95.9%)</t>
  </si>
  <si>
    <t xml:space="preserve">- Weighted by the matching weights: counts are sums of weights (hence decimals), and ESS = effective sample size, (sum of weights)² / sum of squared weights.</t>
  </si>
  <si>
    <t xml:space="preserve">- Weighted Wald test (GEE, robust SE (Mancl-DeRouen), t reference): Age_Years; Preop_SEQ_D; Preop_Sphere_D; Preop_Cylinder_D; Preop_UDVA; Preop_CDVA; Preop_Pachymetry_um; Preop_Mean_K_D; Sex; Smoker; Optical_Zone_mm; Ablation_or_Lenticule_Depth_um; FollowUp_Days; Postop_SEQ_D; Postop_Cylinder_D; Postop_UDVA; Postop_CDVA; DryEye_Symptoms; Retreatment_Required.</t>
  </si>
  <si>
    <t xml:space="preserve">- Weighted Wald test on ranks (GEE, robust SE (Mancl-DeRouen), t reference): Preop_DryEye_Grade; Postop_Haze_Grade; Patient_Satisfaction_1to5.</t>
  </si>
  <si>
    <t xml:space="preserve">- Weighted Wald test on level indicators (GEE, robust SE (Mancl-DeRouen), F reference): Surgeon; Procedure; Complication_Type.</t>
  </si>
  <si>
    <t xml:space="preserve">Astigmatism per the JCRS 2025 standard (Koch et al., Part II), matched cohort Cohort A vs Reference: plus-cylinder format, with-the-rule astigmatism on the left of the double-angle plots. Cohorts: Reference, Cohort A (reference: Reference). Tests clustered by patient. Matched rows, unweighted: the matching weights (0.706-1.41) are not applied to the astigmatism statistics or tests; the weighted matched tables (Out_M_) can therefore differ.</t>
  </si>
  <si>
    <t xml:space="preserve">0.42 D @ 90°</t>
  </si>
  <si>
    <t xml:space="preserve">depth-based convex polygon (as in the WHWK functions): 137 of 137 eyes (the depth rule removed no eye: the region is the convex hull of all eyes)</t>
  </si>
  <si>
    <t xml:space="preserve">bootstrap convex polygon of the centroid (as in the WHWK functions): 954 of 999 bootstrap centroids (bootstrap over patients, 94 patients)</t>
  </si>
  <si>
    <t xml:space="preserve">0.32 D @ 93°</t>
  </si>
  <si>
    <t xml:space="preserve">depth-based convex polygon (as in the WHWK functions): 97 of 97 eyes (the depth rule removed no eye: the region is the convex hull of all eyes)</t>
  </si>
  <si>
    <t xml:space="preserve">bootstrap convex polygon of the centroid (as in the WHWK functions): 959 of 999 bootstrap centroids (bootstrap over patients, 69 patients)</t>
  </si>
  <si>
    <t xml:space="preserve">0.45 D @ 1°</t>
  </si>
  <si>
    <t xml:space="preserve">depth-based convex polygon (as in the WHWK functions): 119 of 119 eyes (the depth rule removed no eye: the region is the convex hull of all eyes)</t>
  </si>
  <si>
    <t xml:space="preserve">bootstrap convex polygon of the centroid (as in the WHWK functions): 954 of 999 bootstrap centroids (bootstrap over patients, 83 patients)</t>
  </si>
  <si>
    <t xml:space="preserve">0.28 D @ 6°</t>
  </si>
  <si>
    <t xml:space="preserve">depth-based convex polygon (as in the WHWK functions): 91 of 91 eyes (the depth rule removed no eye: the region is the convex hull of all eyes)</t>
  </si>
  <si>
    <t xml:space="preserve">bootstrap convex polygon of the centroid (as in the WHWK functions): 959 of 999 bootstrap centroids (bootstrap over patients, 64 patients)</t>
  </si>
  <si>
    <t xml:space="preserve">0.04 D @ 80°</t>
  </si>
  <si>
    <t xml:space="preserve">0.02 D @ 88°</t>
  </si>
  <si>
    <t xml:space="preserve">Reference 0.42 D @ 90°; Cohort A 0.32 D @ 93°</t>
  </si>
  <si>
    <t xml:space="preserve">20%-trimmed mean: Reference 0.67 D; Cohort A 0.71 D</t>
  </si>
  <si>
    <t xml:space="preserve">20%-trimmed mean: Reference 0.76 D; Cohort A 0.77 D</t>
  </si>
  <si>
    <t xml:space="preserve">Reference 11.7%; Cohort A 16.5%</t>
  </si>
  <si>
    <t xml:space="preserve">Reference 37.2%; Cohort A 38.1%</t>
  </si>
  <si>
    <t xml:space="preserve">Reference 62.0%; Cohort A 61.9%</t>
  </si>
  <si>
    <t xml:space="preserve">Reference 78.1%; Cohort A 76.3%</t>
  </si>
  <si>
    <t xml:space="preserve">Reference 85.4%; Cohort A 85.6%</t>
  </si>
  <si>
    <t xml:space="preserve">Reference 92.0%; Cohort A 95.9%</t>
  </si>
  <si>
    <t xml:space="preserve">Reference 95.6%; Cohort A 99.0%</t>
  </si>
  <si>
    <t xml:space="preserve">Reference 98.5%; Cohort A 99.0%</t>
  </si>
  <si>
    <t xml:space="preserve">.78</t>
  </si>
  <si>
    <t xml:space="preserve">Reference 0.45 D @ 1°; Cohort A 0.28 D @ 6°</t>
  </si>
  <si>
    <t xml:space="preserve">20%-trimmed mean: Reference 0.66 D; Cohort A 0.67 D</t>
  </si>
  <si>
    <t xml:space="preserve">20%-trimmed mean: Reference 0.78 D; Cohort A 0.71 D</t>
  </si>
  <si>
    <t xml:space="preserve">Reference 6.7%; Cohort A 6.6%</t>
  </si>
  <si>
    <t xml:space="preserve">Reference 31.1%; Cohort A 31.9%</t>
  </si>
  <si>
    <t xml:space="preserve">Reference 53.8%; Cohort A 57.1%</t>
  </si>
  <si>
    <t xml:space="preserve">Reference 68.1%; Cohort A 71.4%</t>
  </si>
  <si>
    <t xml:space="preserve">Reference 82.4%; Cohort A 84.6%</t>
  </si>
  <si>
    <t xml:space="preserve">Reference 90.8%; Cohort A 94.5%</t>
  </si>
  <si>
    <t xml:space="preserve">Reference 93.3%; Cohort A 97.8%</t>
  </si>
  <si>
    <t xml:space="preserve">Reference 95.8%; Cohort A 100.0%</t>
  </si>
  <si>
    <t xml:space="preserve">Reference 0.04 D @ 80°; Cohort A 0.02 D @ 88°</t>
  </si>
  <si>
    <t xml:space="preserve">20%-trimmed mean: Reference 0.23 D; Cohort A 0.25 D</t>
  </si>
  <si>
    <t xml:space="preserve">mean: Reference 0.23 D; Cohort A 0.24 D</t>
  </si>
  <si>
    <t xml:space="preserve">Reference 84.9%; Cohort A 89.0%</t>
  </si>
  <si>
    <t xml:space="preserve">Reference 97.5%; Cohort A 98.9%</t>
  </si>
  <si>
    <t xml:space="preserve">Not estimable - every eye is within 0.75 D</t>
  </si>
  <si>
    <t xml:space="preserve">Not estimable - every eye is within 1.00 D</t>
  </si>
  <si>
    <t xml:space="preserve">Not estimable - every eye is within 1.25 D</t>
  </si>
  <si>
    <t xml:space="preserve">.50</t>
  </si>
  <si>
    <t xml:space="preserve">0.37 D @ 90°</t>
  </si>
  <si>
    <t xml:space="preserve">0.47 D @ 90°</t>
  </si>
  <si>
    <t xml:space="preserve">0.30 D @ 93°</t>
  </si>
  <si>
    <t xml:space="preserve">0.35 D @ 93°</t>
  </si>
  <si>
    <t xml:space="preserve">0.41 D @ 5°</t>
  </si>
  <si>
    <t xml:space="preserve">0.49 D @ 178°</t>
  </si>
  <si>
    <t xml:space="preserve">0.26 D @ 11°</t>
  </si>
  <si>
    <t xml:space="preserve">0.30 D @ 3°</t>
  </si>
  <si>
    <t xml:space="preserve">0.06 D @ 60°</t>
  </si>
  <si>
    <t xml:space="preserve">0.05 D @ 108°</t>
  </si>
  <si>
    <t xml:space="preserve">0.02 D @ 53°</t>
  </si>
  <si>
    <t xml:space="preserve">0.03 D @ 105°</t>
  </si>
  <si>
    <t xml:space="preserve">Tests: robust - centroid against zero by the bootstrap projection-distance test (as in the WHWK functions): 999 bootstrap centroids (seed 20250602, the resamples of the bootstrap convex polygon of the centroid) and the null point (0, 0) form one cloud, and P is the share of the bootstrap centroids whose projection distance from the centroid is greater than that of the null point (smallest P 1/B: P = .001 with B = 999 is the bootstrap floor); between cohorts, centroids by a 20%-trimmed Hotelling-type T² (pooled winsorized covariance), precision and mean magnitude by 20%-trimmed means (Yuen / Welch-type), each calibrated by 999 bootstrap resamples with patients resampled within each cohort (seed 20250601). Trimming and winsorizing by order statistics: g = floor(0.2 n) values at each end (Wilcox). A trimmed test is used only when its statistic exists in the data and in at least 95% of the resamples; otherwise the same bootstrap test runs untrimmed (ordinary means and covariance) and is labeled 'untrimmed bootstrap test (the trimmed statistic is not defined for these data)'. Resampling continues until exactly 999 usable resamples (at most 2997 drawn), else the test is not computed; each test is named with the variant that ran; cumulative intervals between cohorts by a binomial GEE clustered by patient (exchangeable working correlation; independence on a matched cohort or where a test is labeled so; robust SE (Mancl-DeRouen), t reference; Fisher's exact test with one eye per patient; when the GEE cannot be fitted - typically a cohort at 0% or 100% - a permutation test over patients: the cohort labels permuted across patients, the eyes of a patient kept together, 999 permutations, seed 20250601).</t>
  </si>
  <si>
    <t xml:space="preserve">0.2 SD of the logit of the propensity score (= 0.0887 on that scale)</t>
  </si>
  <si>
    <t xml:space="preserve">Mean = 33.60 (95% CI, 32.18 to 35.01)</t>
  </si>
  <si>
    <t xml:space="preserve">GEE Gaussian, per patient (one row per patient), working correlation: independence (weighted), 214 patients</t>
  </si>
  <si>
    <t xml:space="preserve">β = -1.23 (95% CI, -3.35 to 0.88)</t>
  </si>
  <si>
    <t xml:space="preserve">Mean = -3.49 (95% CI, -3.82 to -3.16)</t>
  </si>
  <si>
    <t xml:space="preserve">β = 0.07 (95% CI, -0.43 to 0.57)</t>
  </si>
  <si>
    <t xml:space="preserve">Mean = -3.05 (95% CI, -3.39 to -2.71)</t>
  </si>
  <si>
    <t xml:space="preserve">β = 0.08 (95% CI, -0.42 to 0.59)</t>
  </si>
  <si>
    <t xml:space="preserve">Mean = -0.89 (95% CI, -0.99 to -0.78)</t>
  </si>
  <si>
    <t xml:space="preserve">β = -0.03 (95% CI, -0.20 to 0.15)</t>
  </si>
  <si>
    <t xml:space="preserve">Mean = 0.94 (95% CI, 0.86 to 1.03)</t>
  </si>
  <si>
    <t xml:space="preserve">β = -0.02 (95% CI, -0.16 to 0.11)</t>
  </si>
  <si>
    <t xml:space="preserve">Mean = 554.10 (95% CI, 549.10 to 559.10)</t>
  </si>
  <si>
    <t xml:space="preserve">β = 1.03 (95% CI, -7.00 to 9.06)</t>
  </si>
  <si>
    <t xml:space="preserve">Mean = 43.32 (95% CI, 43.04 to 43.60)</t>
  </si>
  <si>
    <t xml:space="preserve">β = 0.25 (95% CI, -0.16 to 0.67)</t>
  </si>
  <si>
    <t xml:space="preserve">Odds = 1.14 (95% CI, 0.80 to 1.64)</t>
  </si>
  <si>
    <t xml:space="preserve">GEE Binomial, per patient (one row per patient), working correlation: independence (weighted), 214 patients</t>
  </si>
  <si>
    <t xml:space="preserve">OR = 1.17 (95% CI, 0.66 to 2.09)</t>
  </si>
  <si>
    <t xml:space="preserve">Odds = 0.18 (95% CI, 0.11 to 0.31)</t>
  </si>
  <si>
    <t xml:space="preserve">GEE Binomial, per patient (one row per patient), working correlation: independence (weighted), 204 patients</t>
  </si>
  <si>
    <t xml:space="preserve">OR = 1.21 (95% CI, 0.55 to 2.68)</t>
  </si>
  <si>
    <t xml:space="preserve">Mean = 6.54 (95% CI, 6.51 to 6.56)</t>
  </si>
  <si>
    <t xml:space="preserve">β = 0.02 (95% CI, -0.03 to 0.06)</t>
  </si>
  <si>
    <t xml:space="preserve">Mean = 58.31 (95% CI, 53.60 to 63.02)</t>
  </si>
  <si>
    <t xml:space="preserve">β = -0.76 (95% CI, -8.07 to 6.55)</t>
  </si>
  <si>
    <t xml:space="preserve">Mean = 181.92 (95% CI, 179.93 to 183.91)</t>
  </si>
  <si>
    <t xml:space="preserve">β = -2.75 (95% CI, -6.00 to 0.50)</t>
  </si>
  <si>
    <t xml:space="preserve">Mean = 0.09 (95% CI, 0.03 to 0.16)</t>
  </si>
  <si>
    <t xml:space="preserve">β = -0.05 (95% CI, -0.15 to 0.05)</t>
  </si>
  <si>
    <t xml:space="preserve">Mean = -0.28 (95% CI, -0.32 to -0.24)</t>
  </si>
  <si>
    <t xml:space="preserve">β = 0.01 (95% CI, -0.05 to 0.07)</t>
  </si>
  <si>
    <t xml:space="preserve">Mean = -0.03 (95% CI, -0.05 to -0.01)</t>
  </si>
  <si>
    <t xml:space="preserve">β = -0.01 (95% CI, -0.04 to 0.02)</t>
  </si>
  <si>
    <t xml:space="preserve">Mean = -0.06 (95% CI, -0.08 to -0.04)</t>
  </si>
  <si>
    <t xml:space="preserve">Odds = 0.11 (95% CI, 0.06 to 0.18)</t>
  </si>
  <si>
    <t xml:space="preserve">OR = 2.35 (95% CI, 1.12 to 4.92)</t>
  </si>
  <si>
    <t xml:space="preserve">Odds = 0.08 (95% CI, 0.04 to 0.16)</t>
  </si>
  <si>
    <t xml:space="preserve">OR = 1.01 (95% CI, 0.42 to 2.45)</t>
  </si>
  <si>
    <t xml:space="preserve">Not adjusted for itself (own value omitted from the covariates). GEE Gaussian, per patient (one row per patient), working correlation: independence (weighted), 214 patients; Preop_SEQ_D, Preop_Pachymetry_um averaged over each patient's eyes</t>
  </si>
  <si>
    <t xml:space="preserve">β = -1.46 (95% CI, -3.57 to 0.65)</t>
  </si>
  <si>
    <t xml:space="preserve">β = 0.74 (95% CI, 0.14 to 1.34)</t>
  </si>
  <si>
    <t xml:space="preserve">β = 0.035 (95% CI, -0.003 to 0.073)</t>
  </si>
  <si>
    <t xml:space="preserve">β = 0.09 (95% CI, -0.39 to 0.58)</t>
  </si>
  <si>
    <t xml:space="preserve">β = 0.038 (95% CI, 0.007 to 0.070)</t>
  </si>
  <si>
    <t xml:space="preserve">β = -0.014 (95% CI, -0.024 to -0.005)</t>
  </si>
  <si>
    <t xml:space="preserve">β = 0.01 (95% CI, -0.08 to 0.10)</t>
  </si>
  <si>
    <t xml:space="preserve">β = 0.0044 (95% CI, -0.0014 to 0.0101)</t>
  </si>
  <si>
    <t xml:space="preserve">β = 1.00 (95% CI, 0.97 to 1.02)</t>
  </si>
  <si>
    <t xml:space="preserve">β = -0.0003 (95% CI, -0.0019 to 0.0013)</t>
  </si>
  <si>
    <t xml:space="preserve">β = -0.03 (95% CI, -0.21 to 0.15)</t>
  </si>
  <si>
    <t xml:space="preserve">β = -0.009 (95% CI, -0.020 to 0.003)</t>
  </si>
  <si>
    <t xml:space="preserve">β = 0.005 (95% CI, -0.041 to 0.052)</t>
  </si>
  <si>
    <t xml:space="preserve">β = 0.0006 (95% CI, -0.0026 to 0.0038)</t>
  </si>
  <si>
    <t xml:space="preserve">β = 0.00 (95% CI, -0.04 to 0.03)</t>
  </si>
  <si>
    <t xml:space="preserve">β = -0.0006 (95% CI, -0.0032 to 0.0019)</t>
  </si>
  <si>
    <t xml:space="preserve">β = -0.26 (95% CI, -0.27 to -0.25)</t>
  </si>
  <si>
    <t xml:space="preserve">β = -0.0010 (95% CI, -0.0024 to 0.0004)</t>
  </si>
  <si>
    <t xml:space="preserve">β = -0.0077 (95% CI, -0.0133 to -0.0020)</t>
  </si>
  <si>
    <t xml:space="preserve">β = 0.0001 (95% CI, -0.0002 to 0.0005)</t>
  </si>
  <si>
    <t xml:space="preserve">β = 1.37 (95% CI, -6.35 to 9.09)</t>
  </si>
  <si>
    <t xml:space="preserve">β = 0.55 (95% CI, 0.07 to 1.02)</t>
  </si>
  <si>
    <t xml:space="preserve">β = -3.38 (95% CI, -5.67 to -1.08)</t>
  </si>
  <si>
    <t xml:space="preserve">β = 0.25 (95% CI, -0.17 to 0.67)</t>
  </si>
  <si>
    <t xml:space="preserve">β = -0.001 (95% CI, -0.027 to 0.025)</t>
  </si>
  <si>
    <t xml:space="preserve">β = 0.06 (95% CI, -0.05 to 0.17)</t>
  </si>
  <si>
    <t xml:space="preserve">β = -0.0037 (95% CI, -0.0115 to 0.0040)</t>
  </si>
  <si>
    <t xml:space="preserve">GEE Binomial, per patient (one row per patient), working correlation: independence (weighted), 214 patients; Preop_SEQ_D, Preop_Pachymetry_um averaged over each patient's eyes</t>
  </si>
  <si>
    <t xml:space="preserve">OR = 1.17 (95% CI, 0.64 to 2.13)</t>
  </si>
  <si>
    <t xml:space="preserve">OR = 0.992 (95% CI, 0.954 to 1.032)</t>
  </si>
  <si>
    <t xml:space="preserve">OR = 0.91 (95% CI, 0.77 to 1.09)</t>
  </si>
  <si>
    <t xml:space="preserve">OR = 1.007 (95% CI, 0.995 to 1.018)</t>
  </si>
  <si>
    <t xml:space="preserve">GEE Binomial, per patient (one row per patient), working correlation: independence (weighted), 204 patients; Preop_SEQ_D, Preop_Pachymetry_um averaged over each patient's eyes</t>
  </si>
  <si>
    <t xml:space="preserve">OR = 1.22 (95% CI, 0.54 to 2.76)</t>
  </si>
  <si>
    <t xml:space="preserve">OR = 1.018 (95% CI, 0.965 to 1.074)</t>
  </si>
  <si>
    <t xml:space="preserve">OR = 1.08 (95% CI, 0.83 to 1.40)</t>
  </si>
  <si>
    <t xml:space="preserve">OR = 1.002 (95% CI, 0.985 to 1.020)</t>
  </si>
  <si>
    <t xml:space="preserve">GEE Gaussian, per patient (one row per patient), working correlation: independence (weighted), 214 patients; Preop_SEQ_D, Preop_Pachymetry_um averaged over each patient's eyes</t>
  </si>
  <si>
    <t xml:space="preserve">β = 0.0004 (95% CI, -0.0019 to 0.0026)</t>
  </si>
  <si>
    <t xml:space="preserve">β = 0.056 (95% CI, 0.047 to 0.066)</t>
  </si>
  <si>
    <t xml:space="preserve">β = 0.0004 (95% CI, -0.0002 to 0.0009)</t>
  </si>
  <si>
    <t xml:space="preserve">β = 0.09 (95% CI, -2.32 to 2.50)</t>
  </si>
  <si>
    <t xml:space="preserve">β = -0.01 (95% CI, -0.16 to 0.15)</t>
  </si>
  <si>
    <t xml:space="preserve">β = -13.35 (95% CI, -13.96 to -12.74)</t>
  </si>
  <si>
    <t xml:space="preserve">β = 0.079 (95% CI, 0.031 to 0.127)</t>
  </si>
  <si>
    <t xml:space="preserve">β = -2.87 (95% CI, -6.14 to 0.40)</t>
  </si>
  <si>
    <t xml:space="preserve">β = -0.13 (95% CI, -0.36 to 0.11)</t>
  </si>
  <si>
    <t xml:space="preserve">β = 0.75 (95% CI, -0.21 to 1.71)</t>
  </si>
  <si>
    <t xml:space="preserve">β = 0.030 (95% CI, -0.027 to 0.087)</t>
  </si>
  <si>
    <t xml:space="preserve">β = -0.06 (95% CI, -0.16 to 0.04)</t>
  </si>
  <si>
    <t xml:space="preserve">β = -0.012 (95% CI, -0.018 to -0.006)</t>
  </si>
  <si>
    <t xml:space="preserve">β = 0.037 (95% CI, 0.005 to 0.069)</t>
  </si>
  <si>
    <t xml:space="preserve">β = 0.0015 (95% CI, -0.0001 to 0.0032)</t>
  </si>
  <si>
    <t xml:space="preserve">β = 0.0002 (95% CI, -0.0043 to 0.0047)</t>
  </si>
  <si>
    <t xml:space="preserve">β = -0.005 (95% CI, -0.021 to 0.011)</t>
  </si>
  <si>
    <t xml:space="preserve">β = 0.0001 (95% CI, -0.0009 to 0.0010)</t>
  </si>
  <si>
    <t xml:space="preserve">β = -0.0007 (95% CI, -0.0029 to 0.0015)</t>
  </si>
  <si>
    <t xml:space="preserve">β = 0.0016 (95% CI, -0.0076 to 0.0108)</t>
  </si>
  <si>
    <t xml:space="preserve">β = 0.0002 (95% CI, -0.0004 to 0.0007)</t>
  </si>
  <si>
    <t xml:space="preserve">β = -0.0008 (95% CI, -0.0029 to 0.0013)</t>
  </si>
  <si>
    <t xml:space="preserve">β = 0.0011 (95% CI, -0.0074 to 0.0095)</t>
  </si>
  <si>
    <t xml:space="preserve">β = 0.0005 (95% CI, 0.0000 to 0.0010)</t>
  </si>
  <si>
    <t xml:space="preserve">OR = 2.52 (95% CI, 1.18 to 5.41)</t>
  </si>
  <si>
    <t xml:space="preserve">OR = 1.058 (95% CI, 1.008 to 1.110)</t>
  </si>
  <si>
    <t xml:space="preserve">OR = 0.90 (95% CI, 0.71 to 1.15)</t>
  </si>
  <si>
    <t xml:space="preserve">OR = 0.986 (95% CI, 0.971 to 1.001)</t>
  </si>
  <si>
    <t xml:space="preserve">OR = 1.00 (95% CI, 0.40 to 2.49)</t>
  </si>
  <si>
    <t xml:space="preserve">OR = 0.989 (95% CI, 0.913 to 1.070)</t>
  </si>
  <si>
    <t xml:space="preserve">OR = 1.01 (95% CI, 0.73 to 1.39)</t>
  </si>
  <si>
    <t xml:space="preserve">OR = 0.995 (95% CI, 0.979 to 1.011)</t>
  </si>
  <si>
    <t xml:space="preserve">Adjusted regression - matched cohort (Cohort B_vs_Reference) (covariates: Age_Years, Preop_SEQ_D, Preop_Pachymetry_um; robust SE (Mancl-DeRouen), t reference; working correlation: independence; crude columns: the group alone, fitted on the same eyes)</t>
  </si>
  <si>
    <t xml:space="preserve">316</t>
  </si>
  <si>
    <t xml:space="preserve">311</t>
  </si>
  <si>
    <t xml:space="preserve">316 (46 events)</t>
  </si>
  <si>
    <t xml:space="preserve">316 (25 events)</t>
  </si>
  <si>
    <t xml:space="preserve">CAUTION: only 25 eyes in the smaller outcome class for 4 parameters (&lt;10 per parameter) - possible overfitting</t>
  </si>
  <si>
    <t xml:space="preserve">NOTE: the matched cohort carries non-unit matching weights (0.759-1.52). Descriptives and the table tests are weighted by the MatchIt weights (weighted Wald test, GEE robust SE); n = matched rows, ESS = effective sample size. The GEE / adjusted-regression columns are weighted too. Within-group sections and the mEYEstro / AstigMATIC tabs list the matched rows unweighted. Matched analyses use an independence working correlation with robust standard errors clustered by patient; matched sets (pairs) are not used as clusters.</t>
  </si>
  <si>
    <t xml:space="preserve">Reference (n = 208 eyes; 132 patients, ESS = 185)</t>
  </si>
  <si>
    <t xml:space="preserve">Cohort B (n = 137 eyes; 82 patients, ESS = 137)</t>
  </si>
  <si>
    <t xml:space="preserve">33.60 ± 7.80</t>
  </si>
  <si>
    <t xml:space="preserve">32.37 ± 7.18</t>
  </si>
  <si>
    <t xml:space="preserve">.25 [one row per patient]</t>
  </si>
  <si>
    <t xml:space="preserve">-3.49 ± 1.76</t>
  </si>
  <si>
    <t xml:space="preserve">-3.42 ± 1.73</t>
  </si>
  <si>
    <t xml:space="preserve">-3.05 ± 1.81</t>
  </si>
  <si>
    <t xml:space="preserve">-2.97 ± 1.73</t>
  </si>
  <si>
    <t xml:space="preserve">-0.89 ± 0.61</t>
  </si>
  <si>
    <t xml:space="preserve">20/176 (0.94 ± 0.47 logMAR); range 20/16 to 20/1000</t>
  </si>
  <si>
    <t xml:space="preserve">554.10 ± 26.33</t>
  </si>
  <si>
    <t xml:space="preserve">555.13 ± 27.48</t>
  </si>
  <si>
    <t xml:space="preserve">43.32 ± 1.50 (n = 203)</t>
  </si>
  <si>
    <t xml:space="preserve">43.57 ± 1.35 (n = 132)</t>
  </si>
  <si>
    <t xml:space="preserve">0 [0–1] (n = 207)</t>
  </si>
  <si>
    <t xml:space="preserve">0 [0–1] (n = 135)</t>
  </si>
  <si>
    <t xml:space="preserve">69.5/130.2 (53.4%)</t>
  </si>
  <si>
    <t xml:space="preserve">47/82 (57.3%)</t>
  </si>
  <si>
    <t xml:space="preserve">.58 [one row per patient]</t>
  </si>
  <si>
    <t xml:space="preserve">19.0/124.1 (15.3%)</t>
  </si>
  <si>
    <t xml:space="preserve">14/78 (17.9%)</t>
  </si>
  <si>
    <t xml:space="preserve">.63 [one row per patient]</t>
  </si>
  <si>
    <t xml:space="preserve">47.8/130.2 (36.7%)</t>
  </si>
  <si>
    <t xml:space="preserve">33/82 (40.2%)</t>
  </si>
  <si>
    <t xml:space="preserve">45.5/130.2 (35.0%)</t>
  </si>
  <si>
    <t xml:space="preserve">36.8/130.2 (28.3%)</t>
  </si>
  <si>
    <t xml:space="preserve">16/82 (19.5%)</t>
  </si>
  <si>
    <t xml:space="preserve">6.54 ± 0.16</t>
  </si>
  <si>
    <t xml:space="preserve">.43 [one row per patient]</t>
  </si>
  <si>
    <t xml:space="preserve">58.31 ± 24.97</t>
  </si>
  <si>
    <t xml:space="preserve">57.55 ± 25.61</t>
  </si>
  <si>
    <t xml:space="preserve">34.9/208 (16.8%)</t>
  </si>
  <si>
    <t xml:space="preserve">23/137 (16.8%)</t>
  </si>
  <si>
    <t xml:space="preserve">100.2/208 (48.2%)</t>
  </si>
  <si>
    <t xml:space="preserve">76/137 (55.5%)</t>
  </si>
  <si>
    <t xml:space="preserve">72.9/208 (35.0%)</t>
  </si>
  <si>
    <t xml:space="preserve">38/137 (27.7%)</t>
  </si>
  <si>
    <t xml:space="preserve">181.92 ± 13.77 (n = 187)</t>
  </si>
  <si>
    <t xml:space="preserve">179.17 ± 14.40 (n = 129)</t>
  </si>
  <si>
    <t xml:space="preserve">0.09 ± 0.36 (n = 187)</t>
  </si>
  <si>
    <t xml:space="preserve">0.04 ± 0.38 (n = 129)</t>
  </si>
  <si>
    <t xml:space="preserve">-0.28 ± 0.22 (n = 187)</t>
  </si>
  <si>
    <t xml:space="preserve">-0.27 ± 0.23 (n = 129)</t>
  </si>
  <si>
    <t xml:space="preserve">20/19 (-0.03 ± 0.11 logMAR); range 20/12.5 to 20/40 (n = 183)</t>
  </si>
  <si>
    <t xml:space="preserve">20/18 (-0.04 ± 0.10 logMAR); range 20/12.5 to 20/32 (n = 128)</t>
  </si>
  <si>
    <t xml:space="preserve">20/18 (-0.06 ± 0.10 logMAR); range 20/12.5 to 20/40 (n = 187)</t>
  </si>
  <si>
    <t xml:space="preserve">20/18 (-0.06 ± 0.09 logMAR); range 20/12.5 to 20/32 (n = 129)</t>
  </si>
  <si>
    <t xml:space="preserve">0 [0–0] (n = 187)</t>
  </si>
  <si>
    <t xml:space="preserve">0 [0–0] (n = 129)</t>
  </si>
  <si>
    <t xml:space="preserve">5 [4–5] (n = 176)</t>
  </si>
  <si>
    <t xml:space="preserve">4 [4–5] (n = 124)</t>
  </si>
  <si>
    <t xml:space="preserve">18.2/187.5 (9.7%)</t>
  </si>
  <si>
    <t xml:space="preserve">26/129 (20.2%)</t>
  </si>
  <si>
    <t xml:space="preserve">14.4/187.5 (7.7%)</t>
  </si>
  <si>
    <t xml:space="preserve">10/129 (7.8%)</t>
  </si>
  <si>
    <t xml:space="preserve">6.8/208 (3.3%)</t>
  </si>
  <si>
    <t xml:space="preserve">0/137 (0.0%)</t>
  </si>
  <si>
    <t xml:space="preserve">1.5/208 (0.7%)</t>
  </si>
  <si>
    <t xml:space="preserve">2/137 (1.5%)</t>
  </si>
  <si>
    <t xml:space="preserve">4.6/208 (2.2%)</t>
  </si>
  <si>
    <t xml:space="preserve">3/137 (2.2%)</t>
  </si>
  <si>
    <t xml:space="preserve">3.0/208 (1.5%)</t>
  </si>
  <si>
    <t xml:space="preserve">192.1/208 (92.3%)</t>
  </si>
  <si>
    <t xml:space="preserve">132/137 (96.4%)</t>
  </si>
  <si>
    <t xml:space="preserve">Astigmatism per the JCRS 2025 standard (Koch et al., Part II), matched cohort Cohort B vs Reference: plus-cylinder format, with-the-rule astigmatism on the left of the double-angle plots. Cohorts: Reference, Cohort B (reference: Reference). Tests clustered by patient. Matched rows, unweighted: the matching weights (0.759-1.52) are not applied to the astigmatism statistics or tests; the weighted matched tables (Out_M_) can therefore differ.</t>
  </si>
  <si>
    <t xml:space="preserve">depth-based convex polygon (as in the WHWK functions): 200 of 208 eyes</t>
  </si>
  <si>
    <t xml:space="preserve">bootstrap convex polygon of the centroid (as in the WHWK functions): 949 of 999 bootstrap centroids (bootstrap over patients, 132 patients)</t>
  </si>
  <si>
    <t xml:space="preserve">0.34 D @ 91°</t>
  </si>
  <si>
    <t xml:space="preserve">bootstrap convex polygon of the centroid (as in the WHWK functions): 954 of 999 bootstrap centroids (bootstrap over patients, 82 patients)</t>
  </si>
  <si>
    <t xml:space="preserve">0.43 D @ 180°</t>
  </si>
  <si>
    <t xml:space="preserve">depth-based convex polygon (as in the WHWK functions): 180 of 187 eyes</t>
  </si>
  <si>
    <t xml:space="preserve">bootstrap convex polygon of the centroid (as in the WHWK functions): 954 of 999 bootstrap centroids (bootstrap over patients, 119 patients)</t>
  </si>
  <si>
    <t xml:space="preserve">0.29 D @ 1°</t>
  </si>
  <si>
    <t xml:space="preserve">depth-based convex polygon (as in the WHWK functions): 129 of 129 eyes (the depth rule removed no eye: the region is the convex hull of all eyes)</t>
  </si>
  <si>
    <t xml:space="preserve">bootstrap convex polygon of the centroid (as in the WHWK functions): 959 of 999 bootstrap centroids (bootstrap over patients, 77 patients)</t>
  </si>
  <si>
    <t xml:space="preserve">0.04 D @ 91°</t>
  </si>
  <si>
    <t xml:space="preserve">depth-based convex polygon (as in the WHWK functions): 124 of 129 eyes</t>
  </si>
  <si>
    <t xml:space="preserve">Reference 0.44 D @ 90°; Cohort B 0.34 D @ 91°</t>
  </si>
  <si>
    <t xml:space="preserve">20%-trimmed mean: Reference 0.69 D; Cohort B 0.72 D</t>
  </si>
  <si>
    <t xml:space="preserve">20%-trimmed mean: Reference 0.77 D; Cohort B 0.78 D</t>
  </si>
  <si>
    <t xml:space="preserve">Reference 13.9%; Cohort B 19.0%</t>
  </si>
  <si>
    <t xml:space="preserve">Reference 39.4%; Cohort B 43.1%</t>
  </si>
  <si>
    <t xml:space="preserve">Reference 62.0%; Cohort B 59.9%</t>
  </si>
  <si>
    <t xml:space="preserve">Reference 73.6%; Cohort B 70.8%</t>
  </si>
  <si>
    <t xml:space="preserve">Reference 82.2%; Cohort B 81.0%</t>
  </si>
  <si>
    <t xml:space="preserve">Reference 88.0%; Cohort B 86.1%</t>
  </si>
  <si>
    <t xml:space="preserve">Reference 92.8%; Cohort B 89.8%</t>
  </si>
  <si>
    <t xml:space="preserve">Reference 95.2%; Cohort B 93.4%</t>
  </si>
  <si>
    <t xml:space="preserve">Reference 0.43 D @ 180°; Cohort B 0.29 D @ 1°</t>
  </si>
  <si>
    <t xml:space="preserve">20%-trimmed mean: Reference 0.67 D; Cohort B 0.71 D</t>
  </si>
  <si>
    <t xml:space="preserve">20%-trimmed mean: Reference 0.77 D; Cohort B 0.74 D</t>
  </si>
  <si>
    <t xml:space="preserve">Reference 9.1%; Cohort B 12.4%</t>
  </si>
  <si>
    <t xml:space="preserve">Reference 31.0%; Cohort B 34.9%</t>
  </si>
  <si>
    <t xml:space="preserve">Reference 54.0%; Cohort B 57.4%</t>
  </si>
  <si>
    <t xml:space="preserve">Reference 70.1%; Cohort B 69.8%</t>
  </si>
  <si>
    <t xml:space="preserve">Reference 80.7%; Cohort B 81.4%</t>
  </si>
  <si>
    <t xml:space="preserve">Reference 87.7%; Cohort B 86.8%</t>
  </si>
  <si>
    <t xml:space="preserve">Reference 92.5%; Cohort B 89.9%</t>
  </si>
  <si>
    <t xml:space="preserve">Reference 94.1%; Cohort B 93.0%</t>
  </si>
  <si>
    <t xml:space="preserve">Reference 0.04 D @ 91°; Cohort B 0.05 D @ 90°</t>
  </si>
  <si>
    <t xml:space="preserve">20%-trimmed mean: Reference 0.26 D; Cohort B 0.25 D</t>
  </si>
  <si>
    <t xml:space="preserve">mean: Reference 0.28 D; Cohort B 0.27 D</t>
  </si>
  <si>
    <t xml:space="preserve">Reference 77.0%; Cohort B 82.9%</t>
  </si>
  <si>
    <t xml:space="preserve">Reference 94.7%; Cohort B 94.6%</t>
  </si>
  <si>
    <t xml:space="preserve">Reference 98.4%; Cohort B 97.7%</t>
  </si>
  <si>
    <t xml:space="preserve">Reference 99.5%; Cohort B 98.4%</t>
  </si>
  <si>
    <t xml:space="preserve">0.43 D @ 88°</t>
  </si>
  <si>
    <t xml:space="preserve">0.25 D @ 97°</t>
  </si>
  <si>
    <t xml:space="preserve">0.42 D @ 2°</t>
  </si>
  <si>
    <t xml:space="preserve">0.44 D @ 178°</t>
  </si>
  <si>
    <t xml:space="preserve">0.37 D @ 2°</t>
  </si>
  <si>
    <t xml:space="preserve">0.21 D @ 178°</t>
  </si>
  <si>
    <t xml:space="preserve">0.04 D @ 76°</t>
  </si>
  <si>
    <t xml:space="preserve">0.05 D @ 104°</t>
  </si>
  <si>
    <t xml:space="preserve">0.05 D @ 83°</t>
  </si>
  <si>
    <t xml:space="preserve">0.05 D @ 99°</t>
  </si>
  <si>
    <t xml:space="preserve">StandardEyes version</t>
  </si>
  <si>
    <t xml:space="preserve">1.1.0</t>
  </si>
  <si>
    <t xml:space="preserve">Build</t>
  </si>
  <si>
    <t xml:space="preserve">2026-10-04-se.10</t>
  </si>
  <si>
    <t xml:space="preserve">Run duration (s)</t>
  </si>
  <si>
    <t xml:space="preserve">124.4 (seconds, the whole run: tables, workbooks and figures)</t>
  </si>
  <si>
    <t xml:space="preserve">R version</t>
  </si>
  <si>
    <t xml:space="preserve">R version 4.5.2 (2025-10-31 ucrt)</t>
  </si>
  <si>
    <t xml:space="preserve">MatchIt</t>
  </si>
  <si>
    <t xml:space="preserve">4.7.2</t>
  </si>
  <si>
    <t xml:space="preserve">cobalt</t>
  </si>
  <si>
    <t xml:space="preserve">4.6.1</t>
  </si>
  <si>
    <t xml:space="preserve">geepack</t>
  </si>
  <si>
    <t xml:space="preserve">1.3.13</t>
  </si>
  <si>
    <t xml:space="preserve">ggplot2</t>
  </si>
  <si>
    <t xml:space="preserve">4.0.1</t>
  </si>
  <si>
    <t xml:space="preserve">openxlsx</t>
  </si>
  <si>
    <t xml:space="preserve">4.2.8.1</t>
  </si>
  <si>
    <t xml:space="preserve">Run time</t>
  </si>
  <si>
    <t xml:space="preserve">2026-10-14 02:48:25</t>
  </si>
  <si>
    <t xml:space="preserve">Input file</t>
  </si>
  <si>
    <t xml:space="preserve">Example_Refractive_Dataset.xlsx</t>
  </si>
  <si>
    <t xml:space="preserve">Sheet</t>
  </si>
  <si>
    <t xml:space="preserve">sheet 1 ('Surgeries')</t>
  </si>
  <si>
    <t xml:space="preserve">Input MD5 checksum</t>
  </si>
  <si>
    <t xml:space="preserve">3af4f7a64806cc95d503cf6567ddd3a0</t>
  </si>
  <si>
    <t xml:space="preserve">Run / subset</t>
  </si>
  <si>
    <t xml:space="preserve">All (all rows)</t>
  </si>
  <si>
    <t xml:space="preserve">Rows analyzed</t>
  </si>
  <si>
    <t xml:space="preserve">'PatientID'</t>
  </si>
  <si>
    <t xml:space="preserve">Reference = 226; Cohort A = 163; Cohort B = 142</t>
  </si>
  <si>
    <t xml:space="preserve">Filter rules</t>
  </si>
  <si>
    <t xml:space="preserve">Age_Years &gt;= 18; FollowUp_Days between 150 and 210; SurgeryNumber == 1; |Preop_Cylinder_D| &lt;= 5 (a row with a missing value is kept by every rule except 'is missing' / 'is not missing')</t>
  </si>
  <si>
    <t xml:space="preserve">Variables</t>
  </si>
  <si>
    <t xml:space="preserve">Baseline - continuous: Age_Years, Preop_SEQ_D, Preop_Sphere_D, Preop_Cylinder_D, Preop_UDVA, Preop_CDVA, Preop_Pachymetry_um, Preop_Mean_K_D; ordinal: Preop_DryEye_Grade; dichotomous: Sex, Smoker; categorical: Surgeon | Preoperative - continuous: Optical_Zone_mm, Ablation_or_Lenticule_Depth_um; categorical: Procedure | Outcome - continuous: FollowUp_Days, Postop_SEQ_D, Postop_Cylinder_D, Postop_UDVA, Postop_CDVA; ordinal: Postop_Haze_Grade, Patient_Satisfaction_1to5; dichotomous: DryEye_Symptoms, Retreatment_Required; categorical: Complication_Type | preferred levels: Sex = 'F', Smoker = 'Yes', DryEye_Symptoms = 'Yes', Retreatment_Required = 'Yes' | per-patient variables: Age_Years, Sex, Smoker, Optical_Zone_mm, Surgeon</t>
  </si>
  <si>
    <t xml:space="preserve">VA notation</t>
  </si>
  <si>
    <t xml:space="preserve">decimal (1.0 = 20/20)</t>
  </si>
  <si>
    <t xml:space="preserve">logMAR conversion</t>
  </si>
  <si>
    <t xml:space="preserve">on: Preop_UDVA, Preop_CDVA, Postop_UDVA, Postop_CDVA; acuity cells and figure headers read the Snellen geometric mean (logMAR mean ± SD), the table range in Snellen</t>
  </si>
  <si>
    <t xml:space="preserve">Matching</t>
  </si>
  <si>
    <t xml:space="preserve">nearest-neighbor on the propensity score (MatchIt)</t>
  </si>
  <si>
    <t xml:space="preserve">Matching settings</t>
  </si>
  <si>
    <t xml:space="preserve">method nearest, distance: propensity score, logit scale (MatchIt link linear.logit), ratio 2, replacement off, caliper 0.2 SD of the logit of the propensity score, order largest, seed 20250601</t>
  </si>
  <si>
    <t xml:space="preserve">Age_Years, Preop_SEQ_D, Preop_Pachymetry_um, Preop_UDVA</t>
  </si>
  <si>
    <t xml:space="preserve">Matching weights</t>
  </si>
  <si>
    <t xml:space="preserve">non-unit (0.706-1.52); used in the matched tables and in the matched GEE / regression (working correlation: independence (weighted))</t>
  </si>
  <si>
    <t xml:space="preserve">GEE small-sample inference</t>
  </si>
  <si>
    <t xml:space="preserve">md - Mancl-DeRouen bias-corrected robust standard errors with a t reference for single comparisons and intervals and an F reference for joint tests (df = patients - model coefficients)</t>
  </si>
  <si>
    <t xml:space="preserve">GEE working correlation</t>
  </si>
  <si>
    <t xml:space="preserve">exchangeable, kept only if the fit converged, its working correlation is below 0.95 and one further scoring step moves no coefficient by more than 0.01 SE - otherwise refitted with an independence working correlation and labeled so (sheets, tables, figures, run log); independence on matched cohorts; variables marked per patient are modeled on one row per patient by an ordinary linear or logistic model (on matched cohorts by an independence GEE with the robust SE clustered by patient), never by an eye-level GEE</t>
  </si>
  <si>
    <t xml:space="preserve">Table tests</t>
  </si>
  <si>
    <t xml:space="preserve">auto - patient-clustered GEE (continuous: Gaussian; ordinal: on ranks; dichotomous: binomial; categorical: stacked level indicators; more than two groups: joint test; exchangeable working correlation, independence for the stacked level indicators, on matched cohorts and where a refit is labeled) for every per-eye row in which a patient has two analyzed eyes, a permutation test over patients where that GEE cannot be fitted; classical (Welch t-test / Welch ANOVA, Wilcoxon / Kruskal-Wallis, chi-squared / Fisher's exact) for one eye per patient and for per-patient rows (on a matched cohort the per-patient rows get the independence GEE on one row per patient, weighted when the matching weights are unequal); a matched cohort with unequal weights: weighted Wald tests (GEE) on every row</t>
  </si>
  <si>
    <t xml:space="preserve">Multiplicity</t>
  </si>
  <si>
    <t xml:space="preserve">Holm within each variable across the comparisons of each group with the reference (summary-table GEE and adjusted columns, tagged [Holm]; regression 'P (Holm)' and 'Crude P (Holm), same eyes'; figure 'vs reference' lines, from the same GEE of all groups as the GEE column when the figure's test is a GEE); omnibus P values and single comparisons unadjusted; the 95% CIs are not adjusted, so a CI can exclude the null while the adjusted P is .05 or more</t>
  </si>
  <si>
    <t xml:space="preserve">GEE stage</t>
  </si>
  <si>
    <t xml:space="preserve">both</t>
  </si>
  <si>
    <t xml:space="preserve">GEE adjustment covariates</t>
  </si>
  <si>
    <t xml:space="preserve">GEE columns in summary tables</t>
  </si>
  <si>
    <t xml:space="preserve">main GEE, in the unmatched and matched summary tables</t>
  </si>
  <si>
    <t xml:space="preserve">Regression</t>
  </si>
  <si>
    <t xml:space="preserve">on</t>
  </si>
  <si>
    <t xml:space="preserve">Crude vs adjusted</t>
  </si>
  <si>
    <t xml:space="preserve">the crude GEE (group alone) is refitted on the adjusted model's complete-case eyes; the outcome tables give the adjusted model's number of eyes</t>
  </si>
  <si>
    <t xml:space="preserve">Regression covariates</t>
  </si>
  <si>
    <t xml:space="preserve">Minus-cyl standardization</t>
  </si>
  <si>
    <t xml:space="preserve">Astigmatism vectors</t>
  </si>
  <si>
    <t xml:space="preserve">plus-cylinder format (JCRS 2025), converted by the sign of each cylinder whatever the minus-cylinder switch; with-the-rule on the left of the double-angle plots; SIA = postoperative - preoperative, PE = postoperative - target; total SD with the N denominator</t>
  </si>
  <si>
    <t xml:space="preserve">Astigmatism test</t>
  </si>
  <si>
    <t xml:space="preserve">robust - centroid against zero by the bootstrap projection-distance test (as in the WHWK functions; 999 bootstrap centroids, patients resampled, seed 20250602; untrimmed; P = .001 is the bootstrap floor 1/B); between cohorts 20%-trimmed mean vectors with the pooled winsorized covariance, precision and mean magnitude by trimmed means (trimming and winsorizing by order statistics, g = floor(0.2 n), Wilcox), bootstrap resampling patients within each cohort B = 999 usable resamples, seed 20250601; a trimmed test whose statistic does not exist in the data or in more than 5% of the resamples is run untrimmed - ordinary means and covariance, same bootstrap - and labeled so on the astigmatism sheet and the figure legends</t>
  </si>
  <si>
    <t xml:space="preserve">Astigmatism regions</t>
  </si>
  <si>
    <t xml:space="preserve">data: 95% depth-based convex polygon (as in the WHWK functions) (eyes of depth at least that of rank floor(0.05 n + 0.5); the convex hull of all eyes below 10 eyes); centroid: bootstrap convex polygon of the centroid (as in the WHWK functions) (999 bootstrap centroids, projection distance, 95% to 98% kept by the number of resampling units; seed 20250602); input files for the WHWK functions in the 'WHWK input' sub-folder of the run's figure folder (Graphs_...)</t>
  </si>
  <si>
    <t xml:space="preserve">mEYEstro intended refraction</t>
  </si>
  <si>
    <t xml:space="preserve">SEQ from 'Target_SEQ_D'; no cylinder (no astigmatism target mapped); vertex distance 12 mm assumed</t>
  </si>
  <si>
    <t xml:space="preserve">mEYEstro refraction notation</t>
  </si>
  <si>
    <t xml:space="preserve">minus cylinder (plus-cylinder rows transposed in the tab only)</t>
  </si>
  <si>
    <t xml:space="preserve">Random seeds</t>
  </si>
  <si>
    <t xml:space="preserve">bootstrap and Monte-Carlo exact tests 20250601; astigmatism centroid confidence regions and centroid-against-zero tests 20250602; matching 20250601 (fixed, set locally; identical settings give identical results)</t>
  </si>
  <si>
    <t xml:space="preserve">P value style</t>
  </si>
  <si>
    <t xml:space="preserve">ama - two decimals, three below .01 (more only where needed to stay below .05), an exact half rounded up, no leading zero, &lt;.001 and &gt;.99</t>
  </si>
  <si>
    <t xml:space="preserve">Figures</t>
  </si>
  <si>
    <t xml:space="preserve">journal style (no frames, section bands, captions or shaded wedges; titles, method text and abbreviations in &lt;figure&gt;_legend.txt); width as designed; TIFF at 600 dpi; RGB color</t>
  </si>
  <si>
    <t xml:space="preserve">Figure P values</t>
  </si>
  <si>
    <t xml:space="preserve">clustered by patient (GEE, exchangeable working correlation - independence on matched cohorts and where a test is labeled so; robust SE (Mancl-DeRouen), t reference; F for joint tests) wherever a patient has two analyzed eyes; classical tests for one eye per patient; a GEE that cannot be fitted: a permutation test over patients, labeled 'GEE not fitted'</t>
  </si>
  <si>
    <t xml:space="preserve">Settings (JSON)</t>
  </si>
  <si>
    <t xml:space="preserve">{"file_path":"Example_Refractive_Dataset.xlsx","sheet_name":1,"guess_max":120000,"patient_id_raw":"PatientID","eye_id_raw":"EyeID","group_source_var":"Cohort","patient_level_params_raw":["Age_Years","Sex","Smoker","Optical_Zone_mm","Surgeon"],"exclude_params_raw":[],"age_var":"Age_Years","fu_var":"FollowUp_Days","sex_var":"Sex","baseline":{"continuous":["Age_Years","Preop_SEQ_D","Preop_Sphere_D","Preop_Cylinder_D","Preop_UDVA","Preop_CDVA","Preop_Pachymetry_um","Preop_Mean_K_D"],"ordinal":["Preop_DryEye_Grade"],"dichotomous":["Sex","Smoker"],"categorical":["Surgeon"]},"preop":{"continuous":["Optical_Zone_mm","Ablation_or_Lenticule_Depth_um"],"ordinal":[],"dichotomous":[],"categorical":["Procedure"]},"outcome":{"continuous":["FollowUp_Days","Postop_SEQ_D","Postop_Cylinder_D","Postop_UDVA","Postop_CDVA"],"ordinal":["Postop_Haze_Grade","Patient_Satisfaction_1to5"],"dichotomous":["DryEye_Symptoms","Retreatment_Required"],"categorical":["Complication_Type"]},"within_group":{"continuous":[],"ordinal":[],"dichotomous":[],"categorical":[]},"within_group_levels":{},"filter_rules":[{"var":"Age_Years","op":"&gt;=","value":[18]},{"var":"FollowUp_Days","op":"between","value":[150,210]},{"var":"SurgeryNumber","op":"==","value":[1]},{"var":"Preop_Cylinder_D","op":"abs_le","value":[5]}],"groups":{"Reference":["Reference"],"Cohort A":["Cohort A"],"Cohort B":["Cohort B"]},"reference_group":"Reference","group_colors":{"Reference":"#5B2C86","Cohort A":"#F26522","Cohort B":"#1B9E4B"},"group_labels":{},"do_matching":true,"psm_covariates_raw":["Age_Years","Preop_SEQ_D","Preop_Pachymetry_um","Preop_UDVA"],"psm_method":"nearest","psm_distance":"linear.logit","psm_ratio":2,"psm_replace":false,"psm_caliper":0.2,"psm_std_caliper":true,"psm_m_order":"largest","run_gee_stage":"both","run_main_gee":true,"run_adjusted_gee":true,"gee_adjust_covariates_raw":["Age_Years","Preop_SEQ_D","Preop_Pachymetry_um"],"use_matching_weights_in_gee":true,"add_gee_columns":true,"gee_source_for_tables":"main","do_regression":true,"regression_stage":"both","regression_covariates_raw":["Age_Years","Preop_SEQ_D","Preop_Pachymetry_um"],"subset_col_raw":"","subsets":{},"subset_mode":"separate","do_standardize_minus_cyl":true,"std_triples":[{"sph":"Preop_Sphere_D","cyl":"Preop_Cylinder_D","axis":"Preop_Axis_Deg"},{"sph":"Postop_Sphere_D","cyl":"Postop_Cylinder_D","axis":"Postop_Axis_Deg"}],"std_sph_raw":"Preop_Sphere_D","std_cyl_raw":"Preop_Cylinder_D","std_axis_raw":"Preop_Axis_Deg","do_logmar":true,"logmar_cols_raw":["Preop_UDVA","Preop_CDVA","Postop_UDVA","Postop_CDVA"],"make_meyestro":true,"make_alpins":true,"make_pub_table":true,"make_graphs":true,"graph_set":"nine","graph_formats":["tiff"],"graph_dpi":600,"astig_panels":true,"double_angle_figs":true,"semicircle_figs":true,"astig_region":"polygon","astig_jcrs_standard":true,"astig_test_method":"robust","cluster_by_patient":true,"stability_figs":true,"stability_visits":[{"label":"1","time":"Visit1_Days_PostOp","sph":"Visit1_Sphere_D","cyl":"Visit1_Cylinder_D","seq":"Visit1_SEQ_D"},{"label":"3","time":"Visit2_Days_PostOp","sph":"Visit2_Sphere_D","cyl":"Visit2_Cylinder_D","seq":""},{"label":"6","time":"Visit3_Days_PostOp","sph":"Visit3_Sphere_D","cyl":"Visit3_Cylinder_D","seq":"Visit3_SEQ_D"},{"label":"12","time":"Visit4_Days_PostOp","sph":"Visit4_Sphere_D","cyl":"Visit4_Cylinder_D","seq":""},{"label":"24","time":"Visit5_Days_PostOp","sph":"Visit5_Sphere_D","cyl":"Visit5_Cylinder_D","seq":""}],"roles":{"pre_ucva":"Preop_UDVA","pre_bcva":"Preop_CDVA","post_ucva":"Postop_UDVA","post_bcva":"Postop_CDVA","pre_sph":"Preop_Sphere_D","pre_cyl":"Preop_Cylinder_D","pre_axis":"Preop_Axis_Deg","post_sph":"Postop_Sphere_D","post_cyl":"Postop_Cylinder_D","post_axis":"Postop_Axis_Deg","pre_seq":"Preop_SEQ_D","post_seq":"Postop_SEQ_D","target_seq":"Target_SEQ_D","eye":"Eye"},"dichotomous_preferred_level":{"Sex":"F","Smoker":"Yes","DryEye_Symptoms":"Yes","Retreatment_Required":"Yes"},"export_filtered_csv":true,"output_prefix":"Ex03_Three","stability_include_preop":true,"stability_change_from":"6","stability_change_to":"24","stability_change_threshold":0.5,"num_groups":3,"num_filters":4,"num_subsets":0,"_title":"Three groups","_description":"Three groups: an overall test for each variable, and one adjusted estimate for each group against the reference group.","_demonstrates":"Shows the omnibus tests with three groups (patient-clustered GEE; Welch ANOVA or the chi-squared test for the per-patient variables), each group against the reference Holm-adjusted, the adjusted effect of each comparison, and all three groups on every figure in their own colors.","figure_style":"journal"}</t>
  </si>
  <si>
    <t xml:space="preserve">Full name</t>
  </si>
  <si>
    <t xml:space="preserve">Manifest</t>
  </si>
  <si>
    <t xml:space="preserve">Versions, input checksum and settings of this run.</t>
  </si>
  <si>
    <t xml:space="preserve">Overview</t>
  </si>
  <si>
    <t xml:space="preserve">Initial data summary, notes and quality checks.</t>
  </si>
  <si>
    <t xml:space="preserve">Baseline &amp; Preop Summary</t>
  </si>
  <si>
    <t xml:space="preserve">Baseline and preoperative tables, with within-group sections.</t>
  </si>
  <si>
    <t xml:space="preserve">Outcome Summary</t>
  </si>
  <si>
    <t xml:space="preserve">Outcome comparisons (GEE / adjusted columns merged in when requested).</t>
  </si>
  <si>
    <t xml:space="preserve">Publication Table</t>
  </si>
  <si>
    <t xml:space="preserve">Manuscript-ready stacked table.</t>
  </si>
  <si>
    <t xml:space="preserve">mEYEstro_Reference</t>
  </si>
  <si>
    <t xml:space="preserve">mEYEstro-format export of one group (all rows): copy columns E-S (15 columns, template order) into the mEYEstro template - yellow E-I preop refraction, vertex (12 mm), preop CDVA; green J-M intended refraction; red N-S postop refraction, vertex, postop CDVA, postop UDVA. Gray A-D (group, decimal acuities) and blue T (postop SEQ) are for reference only.</t>
  </si>
  <si>
    <t xml:space="preserve">mEYEstro_Cohort A</t>
  </si>
  <si>
    <t xml:space="preserve">mEYEstro_Cohort B</t>
  </si>
  <si>
    <t xml:space="preserve">AstigMATIC_Reference</t>
  </si>
  <si>
    <t xml:space="preserve">AstigMATIC input for one group (all rows): columns A-E (eye OD/OS, preop cylinder, preop axis, postop cylinder, postop axis) load directly into AstigMATIC; written in minus-cylinder notation.</t>
  </si>
  <si>
    <t xml:space="preserve">AstigMATIC_Cohort A</t>
  </si>
  <si>
    <t xml:space="preserve">AstigMATIC_Cohort B</t>
  </si>
  <si>
    <t xml:space="preserve">Astigmatism (JCRS 2025)</t>
  </si>
  <si>
    <t xml:space="preserve">Astigmatism per the JCRS 2025 standard (all analyzed eyes; a CSV copy is written beside the workbook), plus-cylinder format: per vector (PRE, SIA, PE, and POST with a target that is not plano) and cohort the centroid, total SD, magnitudes and cumulative intervals; the tests (centroid against zero; centroid, precision, mean magnitude and intervals between cohorts; McNemar preop vs postop) with nominal and Holm-adjusted P; the vertices of the depth-based convex polygon and of the bootstrap convex polygon of the centroid (as in the WHWK functions); method notes.</t>
  </si>
  <si>
    <t xml:space="preserve">Per eye: the astigmatism vectors PE, SIA, PRE, POST and the Alpins TIA and DV - magnitude, plus axis and doubled-angle x, y - input for external tools.</t>
  </si>
  <si>
    <t xml:space="preserve">GEE_Main_Unmatched_Base</t>
  </si>
  <si>
    <t xml:space="preserve">Clustered GEE with the group as the only predictor; per-patient variables by an ordinary model on one row per patient.</t>
  </si>
  <si>
    <t xml:space="preserve">GEE_Main_Unmatched_Preop</t>
  </si>
  <si>
    <t xml:space="preserve">GEE_Main_Unmatched_Out</t>
  </si>
  <si>
    <t xml:space="preserve">GEE_Adj_Unmatched_Base</t>
  </si>
  <si>
    <t xml:space="preserve">Clustered GEE adjusted for the covariates listed per row and in the Manifest (a variable is never adjusted for itself).</t>
  </si>
  <si>
    <t xml:space="preserve">GEE_Adj_Unmatched_Preop</t>
  </si>
  <si>
    <t xml:space="preserve">GEE_Adj_Unmatched_Out</t>
  </si>
  <si>
    <t xml:space="preserve">Regression (adjusted)</t>
  </si>
  <si>
    <t xml:space="preserve">Covariate-adjusted models, the crude estimate on the same eyes, and a full-model appendix.</t>
  </si>
  <si>
    <t xml:space="preserve">PSM_Cohort A_vs_Reference</t>
  </si>
  <si>
    <t xml:space="preserve">Matching (MatchIt): settings, covariates, balance and the matched rows.</t>
  </si>
  <si>
    <t xml:space="preserve">GEE_M_Cohort A_vs_Reference</t>
  </si>
  <si>
    <t xml:space="preserve">Clustered GEE on the matched cohort (independence working correlation); per-patient variables by an independence GEE on one row per patient.</t>
  </si>
  <si>
    <t xml:space="preserve">GEE_Adj_M_Cohort A_vs_Reference</t>
  </si>
  <si>
    <t xml:space="preserve">Adjusted clustered GEE on the matched cohort (covariates listed per row and in the Manifest).</t>
  </si>
  <si>
    <t xml:space="preserve">Reg_M_Cohort A_vs_Reference</t>
  </si>
  <si>
    <t xml:space="preserve">Covariate-adjusted models on the matched cohort, with the crude estimate on the same eyes.</t>
  </si>
  <si>
    <t xml:space="preserve">BasePreop_M_Cohort A_vs_Referen</t>
  </si>
  <si>
    <t xml:space="preserve">BasePreop_M_Cohort A_vs_Reference</t>
  </si>
  <si>
    <t xml:space="preserve">Baseline and preop tables after matching.</t>
  </si>
  <si>
    <t xml:space="preserve">Out_M_Cohort A_vs_Reference</t>
  </si>
  <si>
    <t xml:space="preserve">Outcome comparisons after matching.</t>
  </si>
  <si>
    <t xml:space="preserve">Pub_M_Cohort A_vs_Reference</t>
  </si>
  <si>
    <t xml:space="preserve">Publication-style table for the matched cohort.</t>
  </si>
  <si>
    <t xml:space="preserve">mEYEstro_M1_Reference</t>
  </si>
  <si>
    <t xml:space="preserve">mEYEstro_M1_Reference (matched pairing Cohort A_vs_Reference)</t>
  </si>
  <si>
    <t xml:space="preserve">mEYEstro-format export of one group of a matched pairing (matched rows, unweighted): copy columns E-S (15 columns, template order) into the mEYEstro template - yellow E-I preop refraction, vertex (12 mm), preop CDVA; green J-M intended refraction; red N-S postop refraction, vertex, postop CDVA, postop UDVA. Gray A-D (group, decimal acuities) and blue T (postop SEQ) are for reference only.</t>
  </si>
  <si>
    <t xml:space="preserve">mEYEstro_M1_Cohort A</t>
  </si>
  <si>
    <t xml:space="preserve">mEYEstro_M1_Cohort A (matched pairing Cohort A_vs_Reference)</t>
  </si>
  <si>
    <t xml:space="preserve">AstigMATIC_M1_Reference</t>
  </si>
  <si>
    <t xml:space="preserve">AstigMATIC_M1_Reference (matched pairing Cohort A_vs_Reference)</t>
  </si>
  <si>
    <t xml:space="preserve">AstigMATIC input for one group of a matched pairing (matched rows, unweighted): columns A-E (eye OD/OS, preop cylinder, preop axis, postop cylinder, postop axis) load directly into AstigMATIC; written in minus-cylinder notation.</t>
  </si>
  <si>
    <t xml:space="preserve">AstigMATIC_M1_Cohort A</t>
  </si>
  <si>
    <t xml:space="preserve">AstigMATIC_M1_Cohort A (matched pairing Cohort A_vs_Reference)</t>
  </si>
  <si>
    <t xml:space="preserve">Astig_M_Cohort A_vs_Reference</t>
  </si>
  <si>
    <t xml:space="preserve">Astigmatism per the JCRS 2025 standard for the matched cohort of one pairing (matched rows), plus-cylinder format: per vector (PRE, SIA, PE, and POST with a target that is not plano) and cohort the centroid, total SD, magnitudes and cumulative intervals; the tests (centroid against zero; centroid, precision, mean magnitude and intervals between cohorts; McNemar preop vs postop) with nominal and Holm-adjusted P; the vertices of the depth-based convex polygon and of the bootstrap convex polygon of the centroid (as in the WHWK functions); method notes.</t>
  </si>
  <si>
    <t xml:space="preserve">PSM_Cohort B_vs_Reference</t>
  </si>
  <si>
    <t xml:space="preserve">GEE_M_Cohort B_vs_Reference</t>
  </si>
  <si>
    <t xml:space="preserve">GEE_Adj_M_Cohort B_vs_Reference</t>
  </si>
  <si>
    <t xml:space="preserve">Reg_M_Cohort B_vs_Reference</t>
  </si>
  <si>
    <t xml:space="preserve">BasePreop_M_Cohort B_vs_Referen</t>
  </si>
  <si>
    <t xml:space="preserve">BasePreop_M_Cohort B_vs_Reference</t>
  </si>
  <si>
    <t xml:space="preserve">Out_M_Cohort B_vs_Reference</t>
  </si>
  <si>
    <t xml:space="preserve">Pub_M_Cohort B_vs_Reference</t>
  </si>
  <si>
    <t xml:space="preserve">mEYEstro_M2_Reference</t>
  </si>
  <si>
    <t xml:space="preserve">mEYEstro_M2_Reference (matched pairing Cohort B_vs_Reference)</t>
  </si>
  <si>
    <t xml:space="preserve">mEYEstro_M2_Cohort B</t>
  </si>
  <si>
    <t xml:space="preserve">mEYEstro_M2_Cohort B (matched pairing Cohort B_vs_Reference)</t>
  </si>
  <si>
    <t xml:space="preserve">AstigMATIC_M2_Reference</t>
  </si>
  <si>
    <t xml:space="preserve">AstigMATIC_M2_Reference (matched pairing Cohort B_vs_Reference)</t>
  </si>
  <si>
    <t xml:space="preserve">AstigMATIC_M2_Cohort B</t>
  </si>
  <si>
    <t xml:space="preserve">AstigMATIC_M2_Cohort B (matched pairing Cohort B_vs_Reference)</t>
  </si>
  <si>
    <t xml:space="preserve">Astig_M_Cohort B_vs_Reference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</si>
</sst>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166" formatCode="0.00"/>
    <numFmt numFmtId="167" formatCode="0"/>
    <numFmt numFmtId="168" formatCode="0.0"/>
    <numFmt numFmtId="169" formatCode="0.000"/>
    <numFmt numFmtId="170" formatCode="0.000"/>
    <numFmt numFmtId="171" formatCode="0.000"/>
    <numFmt numFmtId="172" formatCode="0.0"/>
    <numFmt numFmtId="173" formatCode="0.000"/>
    <numFmt numFmtId="174" formatCode="0.000"/>
    <numFmt numFmtId="175" formatCode="0.000"/>
    <numFmt numFmtId="176" formatCode="0.000"/>
    <numFmt numFmtId="177" formatCode="0.000"/>
    <numFmt numFmtId="178" formatCode="0.000"/>
    <numFmt numFmtId="179" formatCode="0.000"/>
    <numFmt numFmtId="180" formatCode="0.000"/>
    <numFmt numFmtId="181" formatCode="0.000"/>
    <numFmt numFmtId="182" formatCode="0.000"/>
    <numFmt numFmtId="183" formatCode="0.000"/>
    <numFmt numFmtId="184" formatCode="0.00"/>
    <numFmt numFmtId="185" formatCode="0"/>
    <numFmt numFmtId="186" formatCode="0.0"/>
    <numFmt numFmtId="187" formatCode="0.000"/>
    <numFmt numFmtId="188" formatCode="0.000"/>
    <numFmt numFmtId="189" formatCode="0.000"/>
    <numFmt numFmtId="190" formatCode="0.000"/>
    <numFmt numFmtId="191" formatCode="0.00"/>
    <numFmt numFmtId="192" formatCode="0"/>
    <numFmt numFmtId="193" formatCode="0.0"/>
  </numFmts>
  <fonts count="6">
    <font>
      <sz val="11"/>
      <color rgb="FF000000"/>
      <name val="Calibri"/>
      <family val="2"/>
      <scheme val="minor"/>
    </font>
    <font>
      <sz val="12"/>
      <color rgb="FF000000"/>
      <name val="Calibri"/>
      <b/>
    </font>
    <font>
      <sz val="11"/>
      <color rgb="FF000000"/>
      <name val="Calibri"/>
    </font>
    <font>
      <sz val="11"/>
      <color rgb="FF000000"/>
      <name val="Calibri"/>
      <b/>
    </font>
    <font>
      <sz val="11"/>
      <color rgb="FFC00000"/>
      <name val="Calibri"/>
      <b/>
    </font>
    <font>
      <sz val="11"/>
      <color theme="10"/>
      <name val="Calibri"/>
      <u val="single"/>
    </font>
  </fonts>
  <fills count="8">
    <fill>
      <patternFill patternType="none"/>
    </fill>
    <fill>
      <patternFill patternType="gray125"/>
    </fill>
    <fill>
      <patternFill patternType="solid">
        <fgColor rgb="FFF2F2F2"/>
      </patternFill>
    </fill>
    <fill>
      <patternFill patternType="solid">
        <fgColor rgb="FFD3D3D3"/>
      </patternFill>
    </fill>
    <fill>
      <patternFill patternType="solid">
        <fgColor rgb="FFFFFF99"/>
      </patternFill>
    </fill>
    <fill>
      <patternFill patternType="solid">
        <fgColor rgb="FFCCFFCC"/>
      </patternFill>
    </fill>
    <fill>
      <patternFill patternType="solid">
        <fgColor rgb="FFFF9999"/>
      </patternFill>
    </fill>
    <fill>
      <patternFill patternType="solid">
        <fgColor rgb="FF99CCFF"/>
      </patternFill>
    </fill>
  </fills>
  <borders count="2">
    <border>
      <left/>
      <right/>
      <top/>
      <bottom/>
      <diagonal/>
    </border>
    <border>
      <bottom style="thin">
        <color rgb="FF000000"/>
      </bottom>
    </border>
  </borders>
  <cellStyleXfs count="1">
    <xf numFmtId="0" fontId="0" fillId="0" borderId="0"/>
  </cellStyleXfs>
  <cellXfs count="40">
    <xf numFmtId="0" fontId="0" fillId="0" borderId="0" xfId="0"/>
    <xf numFmtId="0" fontId="1" fillId="0" borderId="0" xfId="0" applyFont="1"/>
    <xf numFmtId="0" fontId="2" fillId="0" borderId="0" xfId="0" applyFont="1" applyAlignment="1">
      <alignment vertical="top" wrapText="1"/>
    </xf>
    <xf numFmtId="0" fontId="3" fillId="0" borderId="1" xfId="0" applyFont="1" applyBorder="1"/>
    <xf numFmtId="0" fontId="3" fillId="2" borderId="0" xfId="0" applyFont="1" applyFill="1"/>
    <xf numFmtId="0" fontId="3" fillId="3" borderId="0" xfId="0" applyFont="1" applyFill="1" applyAlignment="1">
      <alignment horizontal="center"/>
    </xf>
    <xf numFmtId="0" fontId="3" fillId="4" borderId="0" xfId="0" applyFont="1" applyFill="1" applyAlignment="1">
      <alignment horizontal="center"/>
    </xf>
    <xf numFmtId="0" fontId="3" fillId="5" borderId="0" xfId="0" applyFont="1" applyFill="1" applyAlignment="1">
      <alignment horizontal="center"/>
    </xf>
    <xf numFmtId="0" fontId="3" fillId="6" borderId="0" xfId="0" applyFont="1" applyFill="1" applyAlignment="1">
      <alignment horizontal="center"/>
    </xf>
    <xf numFmtId="0" fontId="3" fillId="7" borderId="0" xfId="0" applyFont="1" applyFill="1" applyAlignment="1">
      <alignment horizontal="center"/>
    </xf>
    <xf numFmtId="0" fontId="4" fillId="0" borderId="0" xfId="0" applyFont="1"/>
    <xf numFmtId="166" fontId="2" fillId="0" borderId="0" xfId="0" applyFont="1" applyNumberFormat="1"/>
    <xf numFmtId="167" fontId="2" fillId="0" borderId="0" xfId="0" applyFont="1" applyNumberFormat="1"/>
    <xf numFmtId="168" fontId="2" fillId="0" borderId="0" xfId="0" applyFont="1" applyNumberFormat="1"/>
    <xf numFmtId="169" fontId="2" fillId="0" borderId="0" xfId="0" applyFont="1" applyNumberFormat="1"/>
    <xf numFmtId="170" fontId="2" fillId="0" borderId="0" xfId="0" applyFont="1" applyNumberFormat="1"/>
    <xf numFmtId="171" fontId="2" fillId="0" borderId="0" xfId="0" applyFont="1" applyNumberFormat="1"/>
    <xf numFmtId="172" fontId="2" fillId="0" borderId="0" xfId="0" applyFont="1" applyNumberFormat="1"/>
    <xf numFmtId="173" fontId="2" fillId="0" borderId="0" xfId="0" applyFont="1" applyNumberFormat="1"/>
    <xf numFmtId="174" fontId="2" fillId="0" borderId="0" xfId="0" applyFont="1" applyNumberFormat="1"/>
    <xf numFmtId="175" fontId="2" fillId="0" borderId="0" xfId="0" applyFont="1" applyNumberFormat="1"/>
    <xf numFmtId="176" fontId="2" fillId="0" borderId="0" xfId="0" applyFont="1" applyNumberFormat="1"/>
    <xf numFmtId="177" fontId="2" fillId="0" borderId="0" xfId="0" applyFont="1" applyNumberFormat="1"/>
    <xf numFmtId="178" fontId="2" fillId="0" borderId="0" xfId="0" applyFont="1" applyNumberFormat="1"/>
    <xf numFmtId="179" fontId="2" fillId="0" borderId="0" xfId="0" applyFont="1" applyNumberFormat="1"/>
    <xf numFmtId="180" fontId="2" fillId="0" borderId="0" xfId="0" applyFont="1" applyNumberFormat="1"/>
    <xf numFmtId="181" fontId="2" fillId="0" borderId="0" xfId="0" applyFont="1" applyNumberFormat="1"/>
    <xf numFmtId="182" fontId="2" fillId="0" borderId="0" xfId="0" applyFont="1" applyNumberFormat="1"/>
    <xf numFmtId="183" fontId="2" fillId="0" borderId="0" xfId="0" applyFont="1" applyNumberFormat="1"/>
    <xf numFmtId="184" fontId="2" fillId="0" borderId="0" xfId="0" applyFont="1" applyNumberFormat="1"/>
    <xf numFmtId="185" fontId="2" fillId="0" borderId="0" xfId="0" applyFont="1" applyNumberFormat="1"/>
    <xf numFmtId="186" fontId="2" fillId="0" borderId="0" xfId="0" applyFont="1" applyNumberFormat="1"/>
    <xf numFmtId="187" fontId="2" fillId="0" borderId="0" xfId="0" applyFont="1" applyNumberFormat="1"/>
    <xf numFmtId="188" fontId="2" fillId="0" borderId="0" xfId="0" applyFont="1" applyNumberFormat="1"/>
    <xf numFmtId="189" fontId="2" fillId="0" borderId="0" xfId="0" applyFont="1" applyNumberFormat="1"/>
    <xf numFmtId="190" fontId="2" fillId="0" borderId="0" xfId="0" applyFont="1" applyNumberFormat="1"/>
    <xf numFmtId="191" fontId="2" fillId="0" borderId="0" xfId="0" applyFont="1" applyNumberFormat="1"/>
    <xf numFmtId="192" fontId="2" fillId="0" borderId="0" xfId="0" applyFont="1" applyNumberFormat="1"/>
    <xf numFmtId="193" fontId="2" fillId="0" borderId="0" xfId="0" applyFont="1" applyNumberFormat="1"/>
    <xf numFmtId="0" fontId="5" fillId="0" borderId="0" xfId="0" applyFon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theme" Target="theme/theme1.xml"/><Relationship Id="rId47" Type="http://schemas.openxmlformats.org/officeDocument/2006/relationships/styles" Target="styles.xml"/><Relationship Id="rId48" Type="http://schemas.openxmlformats.org/officeDocument/2006/relationships/sharedStrings" Target="sharedStrings.xml"/></Relationships>
</file>

<file path=xl/tables/table3.xml><?xml version="1.0" encoding="utf-8"?>
<table xmlns="http://schemas.openxmlformats.org/spreadsheetml/2006/main" id="3" name="Table3" displayName="Table3" ref="A1:E227" totalsRowCount="0" totalsRowShown="0">
  <autoFilter ref="A1:E227"/>
  <tableColumns count="5">
    <tableColumn id="1" name="Eye"/>
    <tableColumn id="2" name="preoperative cylinder"/>
    <tableColumn id="3" name="preoperative axis"/>
    <tableColumn id="4" name="postoperative cylinder"/>
    <tableColumn id="5" name="postoperative axis"/>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E164" totalsRowCount="0" totalsRowShown="0">
  <autoFilter ref="A1:E164"/>
  <tableColumns count="5">
    <tableColumn id="1" name="Eye"/>
    <tableColumn id="2" name="preoperative cylinder"/>
    <tableColumn id="3" name="preoperative axis"/>
    <tableColumn id="4" name="postoperative cylinder"/>
    <tableColumn id="5" name="postoperative axis"/>
  </tableColumns>
  <tableStyleInfo name="TableStyleLight9" showFirstColumn="0" showLastColumn="0" showRowStripes="1" showColumnStripes="0"/>
</table>
</file>

<file path=xl/tables/table5.xml><?xml version="1.0" encoding="utf-8"?>
<table xmlns="http://schemas.openxmlformats.org/spreadsheetml/2006/main" id="5" name="Table5" displayName="Table5" ref="A1:E143" totalsRowCount="0" totalsRowShown="0">
  <autoFilter ref="A1:E143"/>
  <tableColumns count="5">
    <tableColumn id="1" name="Eye"/>
    <tableColumn id="2" name="preoperative cylinder"/>
    <tableColumn id="3" name="preoperative axis"/>
    <tableColumn id="4" name="postoperative cylinder"/>
    <tableColumn id="5" name="postoperative axis"/>
  </tableColumns>
  <tableStyleInfo name="TableStyleLight9" showFirstColumn="0" showLastColumn="0" showRowStripes="1" showColumnStripes="0"/>
</table>
</file>

<file path=xl/tables/table6.xml><?xml version="1.0" encoding="utf-8"?>
<table xmlns="http://schemas.openxmlformats.org/spreadsheetml/2006/main" id="6" name="Table6" displayName="Table6" ref="A1:H3007" totalsRowCount="0" totalsRowShown="0">
  <autoFilter ref="A1:H3007"/>
  <tableColumns count="8">
    <tableColumn id="1" name="Group"/>
    <tableColumn id="2" name="Patient ID"/>
    <tableColumn id="3" name="Row label"/>
    <tableColumn id="4" name="Vector"/>
    <tableColumn id="5" name="Magnitude (D)"/>
    <tableColumn id="6" name="Plus axis (°)"/>
    <tableColumn id="7" name="x (D)"/>
    <tableColumn id="8" name="y (D)"/>
  </tableColumns>
  <tableStyleInfo name="TableStyleLight9" showFirstColumn="0" showLastColumn="0" showRowStripes="1" showColumnStripes="0"/>
</table>
</file>

<file path=xl/tables/table7.xml><?xml version="1.0" encoding="utf-8"?>
<table xmlns="http://schemas.openxmlformats.org/spreadsheetml/2006/main" id="7" name="Table7" displayName="Table7" ref="A1:E138" totalsRowCount="0" totalsRowShown="0">
  <autoFilter ref="A1:E138"/>
  <tableColumns count="5">
    <tableColumn id="1" name="Eye"/>
    <tableColumn id="2" name="preoperative cylinder"/>
    <tableColumn id="3" name="preoperative axis"/>
    <tableColumn id="4" name="postoperative cylinder"/>
    <tableColumn id="5" name="postoperative axis"/>
  </tableColumns>
  <tableStyleInfo name="TableStyleLight9" showFirstColumn="0" showLastColumn="0" showRowStripes="1" showColumnStripes="0"/>
</table>
</file>

<file path=xl/tables/table8.xml><?xml version="1.0" encoding="utf-8"?>
<table xmlns="http://schemas.openxmlformats.org/spreadsheetml/2006/main" id="8" name="Table8" displayName="Table8" ref="A1:E98" totalsRowCount="0" totalsRowShown="0">
  <autoFilter ref="A1:E98"/>
  <tableColumns count="5">
    <tableColumn id="1" name="Eye"/>
    <tableColumn id="2" name="preoperative cylinder"/>
    <tableColumn id="3" name="preoperative axis"/>
    <tableColumn id="4" name="postoperative cylinder"/>
    <tableColumn id="5" name="postoperative axis"/>
  </tableColumns>
  <tableStyleInfo name="TableStyleLight9" showFirstColumn="0" showLastColumn="0" showRowStripes="1" showColumnStripes="0"/>
</table>
</file>

<file path=xl/tables/table9.xml><?xml version="1.0" encoding="utf-8"?>
<table xmlns="http://schemas.openxmlformats.org/spreadsheetml/2006/main" id="9" name="Table9" displayName="Table9" ref="A1:E209" totalsRowCount="0" totalsRowShown="0">
  <autoFilter ref="A1:E209"/>
  <tableColumns count="5">
    <tableColumn id="1" name="Eye"/>
    <tableColumn id="2" name="preoperative cylinder"/>
    <tableColumn id="3" name="preoperative axis"/>
    <tableColumn id="4" name="postoperative cylinder"/>
    <tableColumn id="5" name="postoperative axis"/>
  </tableColumns>
  <tableStyleInfo name="TableStyleLight9" showFirstColumn="0" showLastColumn="0" showRowStripes="1" showColumnStripes="0"/>
</table>
</file>

<file path=xl/tables/table10.xml><?xml version="1.0" encoding="utf-8"?>
<table xmlns="http://schemas.openxmlformats.org/spreadsheetml/2006/main" id="10" name="Table10" displayName="Table10" ref="A1:E138" totalsRowCount="0" totalsRowShown="0">
  <autoFilter ref="A1:E138"/>
  <tableColumns count="5">
    <tableColumn id="1" name="Eye"/>
    <tableColumn id="2" name="preoperative cylinder"/>
    <tableColumn id="3" name="preoperative axis"/>
    <tableColumn id="4" name="postoperative cylinder"/>
    <tableColumn id="5" name="postoperative axis"/>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printerSettings" Target="../printerSettings/printerSettings1.bin"/></Relationships>

</file>

<file path=xl/worksheets/_rels/sheet2.xml.rels><?xml version="1.0" encoding="UTF-8" standalone="yes"?><Relationships xmlns="http://schemas.openxmlformats.org/package/2006/relationships"><Relationship Id="rId2" Type="http://schemas.openxmlformats.org/officeDocument/2006/relationships/printerSettings" Target="../printerSettings/printerSettings2.bin"/></Relationships>

</file>

<file path=xl/worksheets/_rels/sheet3.xml.rels><?xml version="1.0" encoding="UTF-8" standalone="yes"?><Relationships xmlns="http://schemas.openxmlformats.org/package/2006/relationships"><Relationship Id="rId2" Type="http://schemas.openxmlformats.org/officeDocument/2006/relationships/printerSettings" Target="../printerSettings/printerSettings3.bin"/></Relationships>

</file>

<file path=xl/worksheets/_rels/sheet4.xml.rels><?xml version="1.0" encoding="UTF-8" standalone="yes"?><Relationships xmlns="http://schemas.openxmlformats.org/package/2006/relationships"><Relationship Id="rId2" Type="http://schemas.openxmlformats.org/officeDocument/2006/relationships/printerSettings" Target="../printerSettings/printerSettings4.bin"/></Relationships>

</file>

<file path=xl/worksheets/_rels/sheet5.xml.rels><?xml version="1.0" encoding="UTF-8" standalone="yes"?><Relationships xmlns="http://schemas.openxmlformats.org/package/2006/relationships"><Relationship Id="rId2" Type="http://schemas.openxmlformats.org/officeDocument/2006/relationships/printerSettings" Target="../printerSettings/printerSettings5.bin"/></Relationships>

</file>

<file path=xl/worksheets/_rels/sheet6.xml.rels><?xml version="1.0" encoding="UTF-8" standalone="yes"?><Relationships xmlns="http://schemas.openxmlformats.org/package/2006/relationships"><Relationship Id="rId2" Type="http://schemas.openxmlformats.org/officeDocument/2006/relationships/printerSettings" Target="../printerSettings/printerSettings6.bin"/></Relationships>

</file>

<file path=xl/worksheets/_rels/sheet7.xml.rels><?xml version="1.0" encoding="UTF-8" standalone="yes"?><Relationships xmlns="http://schemas.openxmlformats.org/package/2006/relationships"><Relationship Id="rId2" Type="http://schemas.openxmlformats.org/officeDocument/2006/relationships/printerSettings" Target="../printerSettings/printerSettings7.bin"/></Relationships>

</file>

<file path=xl/worksheets/_rels/sheet8.xml.rels><?xml version="1.0" encoding="UTF-8" standalone="yes"?><Relationships xmlns="http://schemas.openxmlformats.org/package/2006/relationships"><Relationship Id="rId2" Type="http://schemas.openxmlformats.org/officeDocument/2006/relationships/printerSettings" Target="../printerSettings/printerSettings8.bin"/><Relationship Id="rId3" Type="http://schemas.openxmlformats.org/officeDocument/2006/relationships/table" Target="../tables/table3.xml"/></Relationships>

</file>

<file path=xl/worksheets/_rels/sheet9.xml.rels><?xml version="1.0" encoding="UTF-8" standalone="yes"?><Relationships xmlns="http://schemas.openxmlformats.org/package/2006/relationships"><Relationship Id="rId2" Type="http://schemas.openxmlformats.org/officeDocument/2006/relationships/printerSettings" Target="../printerSettings/printerSettings9.bin"/><Relationship Id="rId4" Type="http://schemas.openxmlformats.org/officeDocument/2006/relationships/table" Target="../tables/table4.xml"/></Relationships>

</file>

<file path=xl/worksheets/_rels/sheet10.xml.rels><?xml version="1.0" encoding="UTF-8" standalone="yes"?><Relationships xmlns="http://schemas.openxmlformats.org/package/2006/relationships"><Relationship Id="rId2" Type="http://schemas.openxmlformats.org/officeDocument/2006/relationships/printerSettings" Target="../printerSettings/printerSettings10.bin"/><Relationship Id="rId5" Type="http://schemas.openxmlformats.org/officeDocument/2006/relationships/table" Target="../tables/table5.xml"/></Relationships>

</file>

<file path=xl/worksheets/_rels/sheet11.xml.rels><?xml version="1.0" encoding="UTF-8" standalone="yes"?><Relationships xmlns="http://schemas.openxmlformats.org/package/2006/relationships"><Relationship Id="rId2" Type="http://schemas.openxmlformats.org/officeDocument/2006/relationships/printerSettings" Target="../printerSettings/printerSettings11.bin"/></Relationships>

</file>

<file path=xl/worksheets/_rels/sheet12.xml.rels><?xml version="1.0" encoding="UTF-8" standalone="yes"?><Relationships xmlns="http://schemas.openxmlformats.org/package/2006/relationships"><Relationship Id="rId2" Type="http://schemas.openxmlformats.org/officeDocument/2006/relationships/printerSettings" Target="../printerSettings/printerSettings12.bin"/><Relationship Id="rId6" Type="http://schemas.openxmlformats.org/officeDocument/2006/relationships/table" Target="../tables/table6.xml"/></Relationships>

</file>

<file path=xl/worksheets/_rels/sheet13.xml.rels><?xml version="1.0" encoding="UTF-8" standalone="yes"?><Relationships xmlns="http://schemas.openxmlformats.org/package/2006/relationships"><Relationship Id="rId2" Type="http://schemas.openxmlformats.org/officeDocument/2006/relationships/printerSettings" Target="../printerSettings/printerSettings13.bin"/></Relationships>

</file>

<file path=xl/worksheets/_rels/sheet14.xml.rels><?xml version="1.0" encoding="UTF-8" standalone="yes"?><Relationships xmlns="http://schemas.openxmlformats.org/package/2006/relationships"><Relationship Id="rId2" Type="http://schemas.openxmlformats.org/officeDocument/2006/relationships/printerSettings" Target="../printerSettings/printerSettings14.bin"/></Relationships>

</file>

<file path=xl/worksheets/_rels/sheet15.xml.rels><?xml version="1.0" encoding="UTF-8" standalone="yes"?><Relationships xmlns="http://schemas.openxmlformats.org/package/2006/relationships"><Relationship Id="rId2" Type="http://schemas.openxmlformats.org/officeDocument/2006/relationships/printerSettings" Target="../printerSettings/printerSettings15.bin"/></Relationships>

</file>

<file path=xl/worksheets/_rels/sheet16.xml.rels><?xml version="1.0" encoding="UTF-8" standalone="yes"?><Relationships xmlns="http://schemas.openxmlformats.org/package/2006/relationships"><Relationship Id="rId2" Type="http://schemas.openxmlformats.org/officeDocument/2006/relationships/printerSettings" Target="../printerSettings/printerSettings16.bin"/></Relationships>

</file>

<file path=xl/worksheets/_rels/sheet17.xml.rels><?xml version="1.0" encoding="UTF-8" standalone="yes"?><Relationships xmlns="http://schemas.openxmlformats.org/package/2006/relationships"><Relationship Id="rId2" Type="http://schemas.openxmlformats.org/officeDocument/2006/relationships/printerSettings" Target="../printerSettings/printerSettings17.bin"/></Relationships>

</file>

<file path=xl/worksheets/_rels/sheet18.xml.rels><?xml version="1.0" encoding="UTF-8" standalone="yes"?><Relationships xmlns="http://schemas.openxmlformats.org/package/2006/relationships"><Relationship Id="rId2" Type="http://schemas.openxmlformats.org/officeDocument/2006/relationships/printerSettings" Target="../printerSettings/printerSettings18.bin"/></Relationships>

</file>

<file path=xl/worksheets/_rels/sheet19.xml.rels><?xml version="1.0" encoding="UTF-8" standalone="yes"?><Relationships xmlns="http://schemas.openxmlformats.org/package/2006/relationships"><Relationship Id="rId2" Type="http://schemas.openxmlformats.org/officeDocument/2006/relationships/printerSettings" Target="../printerSettings/printerSettings19.bin"/></Relationships>

</file>

<file path=xl/worksheets/_rels/sheet20.xml.rels><?xml version="1.0" encoding="UTF-8" standalone="yes"?><Relationships xmlns="http://schemas.openxmlformats.org/package/2006/relationships"><Relationship Id="rId2" Type="http://schemas.openxmlformats.org/officeDocument/2006/relationships/printerSettings" Target="../printerSettings/printerSettings20.bin"/></Relationships>

</file>

<file path=xl/worksheets/_rels/sheet21.xml.rels><?xml version="1.0" encoding="UTF-8" standalone="yes"?><Relationships xmlns="http://schemas.openxmlformats.org/package/2006/relationships"><Relationship Id="rId2" Type="http://schemas.openxmlformats.org/officeDocument/2006/relationships/printerSettings" Target="../printerSettings/printerSettings21.bin"/></Relationships>

</file>

<file path=xl/worksheets/_rels/sheet22.xml.rels><?xml version="1.0" encoding="UTF-8" standalone="yes"?><Relationships xmlns="http://schemas.openxmlformats.org/package/2006/relationships"><Relationship Id="rId2" Type="http://schemas.openxmlformats.org/officeDocument/2006/relationships/printerSettings" Target="../printerSettings/printerSettings22.bin"/></Relationships>

</file>

<file path=xl/worksheets/_rels/sheet23.xml.rels><?xml version="1.0" encoding="UTF-8" standalone="yes"?><Relationships xmlns="http://schemas.openxmlformats.org/package/2006/relationships"><Relationship Id="rId2" Type="http://schemas.openxmlformats.org/officeDocument/2006/relationships/printerSettings" Target="../printerSettings/printerSettings23.bin"/></Relationships>

</file>

<file path=xl/worksheets/_rels/sheet24.xml.rels><?xml version="1.0" encoding="UTF-8" standalone="yes"?><Relationships xmlns="http://schemas.openxmlformats.org/package/2006/relationships"><Relationship Id="rId2" Type="http://schemas.openxmlformats.org/officeDocument/2006/relationships/printerSettings" Target="../printerSettings/printerSettings24.bin"/></Relationships>

</file>

<file path=xl/worksheets/_rels/sheet25.xml.rels><?xml version="1.0" encoding="UTF-8" standalone="yes"?><Relationships xmlns="http://schemas.openxmlformats.org/package/2006/relationships"><Relationship Id="rId2" Type="http://schemas.openxmlformats.org/officeDocument/2006/relationships/printerSettings" Target="../printerSettings/printerSettings25.bin"/></Relationships>

</file>

<file path=xl/worksheets/_rels/sheet26.xml.rels><?xml version="1.0" encoding="UTF-8" standalone="yes"?><Relationships xmlns="http://schemas.openxmlformats.org/package/2006/relationships"><Relationship Id="rId2" Type="http://schemas.openxmlformats.org/officeDocument/2006/relationships/printerSettings" Target="../printerSettings/printerSettings26.bin"/></Relationships>

</file>

<file path=xl/worksheets/_rels/sheet27.xml.rels><?xml version="1.0" encoding="UTF-8" standalone="yes"?><Relationships xmlns="http://schemas.openxmlformats.org/package/2006/relationships"><Relationship Id="rId2" Type="http://schemas.openxmlformats.org/officeDocument/2006/relationships/printerSettings" Target="../printerSettings/printerSettings27.bin"/></Relationships>

</file>

<file path=xl/worksheets/_rels/sheet28.xml.rels><?xml version="1.0" encoding="UTF-8" standalone="yes"?><Relationships xmlns="http://schemas.openxmlformats.org/package/2006/relationships"><Relationship Id="rId2" Type="http://schemas.openxmlformats.org/officeDocument/2006/relationships/printerSettings" Target="../printerSettings/printerSettings28.bin"/></Relationships>

</file>

<file path=xl/worksheets/_rels/sheet29.xml.rels><?xml version="1.0" encoding="UTF-8" standalone="yes"?><Relationships xmlns="http://schemas.openxmlformats.org/package/2006/relationships"><Relationship Id="rId2" Type="http://schemas.openxmlformats.org/officeDocument/2006/relationships/printerSettings" Target="../printerSettings/printerSettings29.bin"/><Relationship Id="rId7" Type="http://schemas.openxmlformats.org/officeDocument/2006/relationships/table" Target="../tables/table7.xml"/></Relationships>

</file>

<file path=xl/worksheets/_rels/sheet30.xml.rels><?xml version="1.0" encoding="UTF-8" standalone="yes"?><Relationships xmlns="http://schemas.openxmlformats.org/package/2006/relationships"><Relationship Id="rId2" Type="http://schemas.openxmlformats.org/officeDocument/2006/relationships/printerSettings" Target="../printerSettings/printerSettings30.bin"/><Relationship Id="rId8" Type="http://schemas.openxmlformats.org/officeDocument/2006/relationships/table" Target="../tables/table8.xml"/></Relationships>

</file>

<file path=xl/worksheets/_rels/sheet31.xml.rels><?xml version="1.0" encoding="UTF-8" standalone="yes"?><Relationships xmlns="http://schemas.openxmlformats.org/package/2006/relationships"><Relationship Id="rId2" Type="http://schemas.openxmlformats.org/officeDocument/2006/relationships/printerSettings" Target="../printerSettings/printerSettings31.bin"/></Relationships>

</file>

<file path=xl/worksheets/_rels/sheet32.xml.rels><?xml version="1.0" encoding="UTF-8" standalone="yes"?><Relationships xmlns="http://schemas.openxmlformats.org/package/2006/relationships"><Relationship Id="rId2" Type="http://schemas.openxmlformats.org/officeDocument/2006/relationships/printerSettings" Target="../printerSettings/printerSettings32.bin"/></Relationships>

</file>

<file path=xl/worksheets/_rels/sheet33.xml.rels><?xml version="1.0" encoding="UTF-8" standalone="yes"?><Relationships xmlns="http://schemas.openxmlformats.org/package/2006/relationships"><Relationship Id="rId2" Type="http://schemas.openxmlformats.org/officeDocument/2006/relationships/printerSettings" Target="../printerSettings/printerSettings33.bin"/></Relationships>

</file>

<file path=xl/worksheets/_rels/sheet34.xml.rels><?xml version="1.0" encoding="UTF-8" standalone="yes"?><Relationships xmlns="http://schemas.openxmlformats.org/package/2006/relationships"><Relationship Id="rId2" Type="http://schemas.openxmlformats.org/officeDocument/2006/relationships/printerSettings" Target="../printerSettings/printerSettings34.bin"/></Relationships>

</file>

<file path=xl/worksheets/_rels/sheet35.xml.rels><?xml version="1.0" encoding="UTF-8" standalone="yes"?><Relationships xmlns="http://schemas.openxmlformats.org/package/2006/relationships"><Relationship Id="rId2" Type="http://schemas.openxmlformats.org/officeDocument/2006/relationships/printerSettings" Target="../printerSettings/printerSettings35.bin"/></Relationships>

</file>

<file path=xl/worksheets/_rels/sheet36.xml.rels><?xml version="1.0" encoding="UTF-8" standalone="yes"?><Relationships xmlns="http://schemas.openxmlformats.org/package/2006/relationships"><Relationship Id="rId2" Type="http://schemas.openxmlformats.org/officeDocument/2006/relationships/printerSettings" Target="../printerSettings/printerSettings36.bin"/></Relationships>

</file>

<file path=xl/worksheets/_rels/sheet37.xml.rels><?xml version="1.0" encoding="UTF-8" standalone="yes"?><Relationships xmlns="http://schemas.openxmlformats.org/package/2006/relationships"><Relationship Id="rId2" Type="http://schemas.openxmlformats.org/officeDocument/2006/relationships/printerSettings" Target="../printerSettings/printerSettings37.bin"/></Relationships>

</file>

<file path=xl/worksheets/_rels/sheet38.xml.rels><?xml version="1.0" encoding="UTF-8" standalone="yes"?><Relationships xmlns="http://schemas.openxmlformats.org/package/2006/relationships"><Relationship Id="rId2" Type="http://schemas.openxmlformats.org/officeDocument/2006/relationships/printerSettings" Target="../printerSettings/printerSettings38.bin"/></Relationships>

</file>

<file path=xl/worksheets/_rels/sheet39.xml.rels><?xml version="1.0" encoding="UTF-8" standalone="yes"?><Relationships xmlns="http://schemas.openxmlformats.org/package/2006/relationships"><Relationship Id="rId2" Type="http://schemas.openxmlformats.org/officeDocument/2006/relationships/printerSettings" Target="../printerSettings/printerSettings39.bin"/></Relationships>

</file>

<file path=xl/worksheets/_rels/sheet40.xml.rels><?xml version="1.0" encoding="UTF-8" standalone="yes"?><Relationships xmlns="http://schemas.openxmlformats.org/package/2006/relationships"><Relationship Id="rId2" Type="http://schemas.openxmlformats.org/officeDocument/2006/relationships/printerSettings" Target="../printerSettings/printerSettings40.bin"/></Relationships>

</file>

<file path=xl/worksheets/_rels/sheet41.xml.rels><?xml version="1.0" encoding="UTF-8" standalone="yes"?><Relationships xmlns="http://schemas.openxmlformats.org/package/2006/relationships"><Relationship Id="rId2" Type="http://schemas.openxmlformats.org/officeDocument/2006/relationships/printerSettings" Target="../printerSettings/printerSettings41.bin"/><Relationship Id="rId9" Type="http://schemas.openxmlformats.org/officeDocument/2006/relationships/table" Target="../tables/table9.xml"/></Relationships>

</file>

<file path=xl/worksheets/_rels/sheet42.xml.rels><?xml version="1.0" encoding="UTF-8" standalone="yes"?><Relationships xmlns="http://schemas.openxmlformats.org/package/2006/relationships"><Relationship Id="rId2" Type="http://schemas.openxmlformats.org/officeDocument/2006/relationships/printerSettings" Target="../printerSettings/printerSettings42.bin"/><Relationship Id="rId10" Type="http://schemas.openxmlformats.org/officeDocument/2006/relationships/table" Target="../tables/table10.xml"/></Relationships>

</file>

<file path=xl/worksheets/_rels/sheet43.xml.rels><?xml version="1.0" encoding="UTF-8" standalone="yes"?><Relationships xmlns="http://schemas.openxmlformats.org/package/2006/relationships"><Relationship Id="rId2" Type="http://schemas.openxmlformats.org/officeDocument/2006/relationships/printerSettings" Target="../printerSettings/printerSettings43.bin"/></Relationships>

</file>

<file path=xl/worksheets/_rels/sheet44.xml.rels><?xml version="1.0" encoding="UTF-8" standalone="yes"?><Relationships xmlns="http://schemas.openxmlformats.org/package/2006/relationships"><Relationship Id="rId2" Type="http://schemas.openxmlformats.org/officeDocument/2006/relationships/printerSettings" Target="../printerSettings/printerSettings44.bin"/></Relationships>

</file>

<file path=xl/worksheets/_rels/sheet45.xml.rels><?xml version="1.0" encoding="UTF-8" standalone="yes"?><Relationships xmlns="http://schemas.openxmlformats.org/package/2006/relationships"><Relationship Id="rId2" Type="http://schemas.openxmlformats.org/officeDocument/2006/relationships/printerSettings" Target="../printerSettings/printerSettings4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s="1" t="s">
        <v>0</v>
      </c>
    </row>
    <row r="2">
      <c r="A2" t="s">
        <v>1</v>
      </c>
    </row>
    <row r="3">
      <c r="A3" t="s">
        <v>2</v>
      </c>
    </row>
    <row r="5">
      <c r="A5" s="1" t="s">
        <v>3</v>
      </c>
    </row>
    <row r="6">
      <c r="A6" t="s">
        <v>4</v>
      </c>
      <c r="B6" t="s">
        <v>5</v>
      </c>
    </row>
    <row r="7">
      <c r="A7" t="s">
        <v>6</v>
      </c>
      <c r="B7" t="s">
        <v>7</v>
      </c>
    </row>
    <row r="8">
      <c r="A8" t="s">
        <v>8</v>
      </c>
      <c r="B8" t="s">
        <v>9</v>
      </c>
    </row>
    <row r="9">
      <c r="A9" t="s">
        <v>10</v>
      </c>
      <c r="B9" t="s">
        <v>11</v>
      </c>
    </row>
    <row r="10">
      <c r="A10" t="s">
        <v>12</v>
      </c>
      <c r="B10" t="s">
        <v>13</v>
      </c>
    </row>
    <row r="11">
      <c r="A11" t="s">
        <v>14</v>
      </c>
      <c r="B11" t="s">
        <v>15</v>
      </c>
    </row>
    <row r="12">
      <c r="A12" t="s">
        <v>16</v>
      </c>
      <c r="B12" t="s">
        <v>17</v>
      </c>
    </row>
    <row r="13">
      <c r="A13" t="s">
        <v>18</v>
      </c>
      <c r="B13" t="s">
        <v>19</v>
      </c>
    </row>
    <row r="14">
      <c r="A14" t="s">
        <v>20</v>
      </c>
      <c r="B14" t="s">
        <v>21</v>
      </c>
    </row>
    <row r="16">
      <c r="A16" s="1" t="s">
        <v>22</v>
      </c>
    </row>
    <row r="17">
      <c r="A17" t="s">
        <v>23</v>
      </c>
      <c r="B17" t="s">
        <v>24</v>
      </c>
      <c r="C17" t="s">
        <v>25</v>
      </c>
    </row>
    <row r="18">
      <c r="A18" t="s">
        <v>26</v>
      </c>
      <c r="B18" t="n">
        <v>183</v>
      </c>
      <c r="C18" t="n">
        <v>57.7</v>
      </c>
    </row>
    <row r="19">
      <c r="A19" t="s">
        <v>27</v>
      </c>
      <c r="B19" t="n">
        <v>134</v>
      </c>
      <c r="C19" t="n">
        <v>42.3</v>
      </c>
    </row>
    <row r="21">
      <c r="A21" s="1" t="s">
        <v>28</v>
      </c>
    </row>
    <row r="22">
      <c r="A22" t="s">
        <v>29</v>
      </c>
      <c r="B22" t="s">
        <v>24</v>
      </c>
      <c r="C22" t="s">
        <v>25</v>
      </c>
    </row>
    <row r="23">
      <c r="A23" t="s">
        <v>30</v>
      </c>
      <c r="B23" t="n">
        <v>226</v>
      </c>
      <c r="C23" t="n">
        <v>42.6</v>
      </c>
    </row>
    <row r="24">
      <c r="A24" t="s">
        <v>31</v>
      </c>
      <c r="B24" t="n">
        <v>163</v>
      </c>
      <c r="C24" t="n">
        <v>30.7</v>
      </c>
    </row>
    <row r="25">
      <c r="A25" t="s">
        <v>32</v>
      </c>
      <c r="B25" t="n">
        <v>142</v>
      </c>
      <c r="C25" t="n">
        <v>26.7</v>
      </c>
    </row>
    <row r="27">
      <c r="A27" s="1" t="s">
        <v>33</v>
      </c>
    </row>
    <row r="28">
      <c r="A28" t="s">
        <v>34</v>
      </c>
      <c r="B28" t="s">
        <v>29</v>
      </c>
      <c r="C28" t="s">
        <v>35</v>
      </c>
    </row>
    <row r="29">
      <c r="A29" t="s">
        <v>30</v>
      </c>
      <c r="B29" t="s">
        <v>30</v>
      </c>
      <c r="C29" t="n">
        <v>226</v>
      </c>
    </row>
    <row r="30">
      <c r="A30" t="s">
        <v>31</v>
      </c>
      <c r="B30" t="s">
        <v>31</v>
      </c>
      <c r="C30" t="n">
        <v>163</v>
      </c>
    </row>
    <row r="31">
      <c r="A31" t="s">
        <v>32</v>
      </c>
      <c r="B31" t="s">
        <v>32</v>
      </c>
      <c r="C31" t="n">
        <v>142</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 t="s">
        <v>36</v>
      </c>
    </row>
    <row r="2">
      <c r="A2" t="s">
        <v>37</v>
      </c>
      <c r="B2" t="s">
        <v>38</v>
      </c>
      <c r="C2" t="s">
        <v>39</v>
      </c>
      <c r="D2" t="s">
        <v>40</v>
      </c>
      <c r="E2" t="s">
        <v>41</v>
      </c>
      <c r="F2" t="s">
        <v>42</v>
      </c>
      <c r="G2" t="s">
        <v>43</v>
      </c>
      <c r="H2" t="s">
        <v>44</v>
      </c>
      <c r="I2" t="s">
        <v>45</v>
      </c>
    </row>
    <row r="3">
      <c r="A3" t="s">
        <v>46</v>
      </c>
      <c r="B3" t="s">
        <v>47</v>
      </c>
      <c r="C3" t="s">
        <v>48</v>
      </c>
      <c r="D3" t="s">
        <v>49</v>
      </c>
      <c r="E3" t="s">
        <v>50</v>
      </c>
      <c r="F3" t="s">
        <v>51</v>
      </c>
      <c r="G3" t="s">
        <v>52</v>
      </c>
      <c r="H3" s="2" t="s">
        <v>53</v>
      </c>
      <c r="I3" s="2" t="s">
        <v>54</v>
      </c>
    </row>
    <row r="4">
      <c r="A4" t="s">
        <v>55</v>
      </c>
      <c r="B4" t="s">
        <v>56</v>
      </c>
      <c r="C4" t="s">
        <v>57</v>
      </c>
      <c r="D4" t="s">
        <v>58</v>
      </c>
      <c r="E4" t="s">
        <v>50</v>
      </c>
      <c r="F4" t="s">
        <v>59</v>
      </c>
      <c r="G4" t="s">
        <v>52</v>
      </c>
      <c r="H4" s="2" t="s">
        <v>60</v>
      </c>
      <c r="I4" s="2" t="s">
        <v>61</v>
      </c>
    </row>
    <row r="5">
      <c r="A5" t="s">
        <v>62</v>
      </c>
      <c r="B5" t="s">
        <v>63</v>
      </c>
      <c r="C5" t="s">
        <v>64</v>
      </c>
      <c r="D5" t="s">
        <v>65</v>
      </c>
      <c r="E5" t="s">
        <v>50</v>
      </c>
      <c r="F5" t="s">
        <v>59</v>
      </c>
      <c r="G5" t="s">
        <v>52</v>
      </c>
      <c r="H5" s="2" t="s">
        <v>66</v>
      </c>
      <c r="I5" s="2" t="s">
        <v>67</v>
      </c>
    </row>
    <row r="6">
      <c r="A6" t="s">
        <v>68</v>
      </c>
      <c r="B6" t="s">
        <v>69</v>
      </c>
      <c r="C6" t="s">
        <v>70</v>
      </c>
      <c r="D6" t="s">
        <v>71</v>
      </c>
      <c r="E6" t="s">
        <v>72</v>
      </c>
      <c r="F6" t="s">
        <v>59</v>
      </c>
      <c r="G6" t="s">
        <v>73</v>
      </c>
      <c r="H6" s="2" t="s">
        <v>74</v>
      </c>
      <c r="I6" s="2" t="s">
        <v>75</v>
      </c>
    </row>
    <row r="7">
      <c r="A7" t="s">
        <v>76</v>
      </c>
      <c r="B7" t="s">
        <v>77</v>
      </c>
      <c r="C7" t="s">
        <v>78</v>
      </c>
      <c r="D7" t="s">
        <v>79</v>
      </c>
      <c r="E7" t="s">
        <v>50</v>
      </c>
      <c r="F7" t="s">
        <v>59</v>
      </c>
      <c r="G7" t="s">
        <v>52</v>
      </c>
      <c r="H7" s="2" t="s">
        <v>80</v>
      </c>
      <c r="I7" s="2" t="s">
        <v>81</v>
      </c>
    </row>
    <row r="8">
      <c r="A8" t="s">
        <v>82</v>
      </c>
      <c r="B8" t="s">
        <v>83</v>
      </c>
      <c r="C8" t="s">
        <v>84</v>
      </c>
      <c r="D8" t="s">
        <v>85</v>
      </c>
      <c r="E8" t="s">
        <v>86</v>
      </c>
      <c r="F8" t="s">
        <v>59</v>
      </c>
      <c r="G8" t="s">
        <v>73</v>
      </c>
      <c r="H8" s="2" t="s">
        <v>87</v>
      </c>
      <c r="I8" s="2" t="s">
        <v>88</v>
      </c>
    </row>
    <row r="9">
      <c r="A9" t="s">
        <v>89</v>
      </c>
      <c r="B9" t="s">
        <v>90</v>
      </c>
      <c r="C9" t="s">
        <v>91</v>
      </c>
      <c r="D9" t="s">
        <v>92</v>
      </c>
      <c r="E9" t="s">
        <v>50</v>
      </c>
      <c r="F9" t="s">
        <v>59</v>
      </c>
      <c r="G9" t="s">
        <v>52</v>
      </c>
      <c r="H9" s="2" t="s">
        <v>93</v>
      </c>
      <c r="I9" s="2" t="s">
        <v>94</v>
      </c>
    </row>
    <row r="10">
      <c r="A10" t="s">
        <v>95</v>
      </c>
      <c r="B10" t="s">
        <v>96</v>
      </c>
      <c r="C10" t="s">
        <v>97</v>
      </c>
      <c r="D10" t="s">
        <v>98</v>
      </c>
      <c r="E10" t="s">
        <v>99</v>
      </c>
      <c r="F10" t="s">
        <v>100</v>
      </c>
      <c r="G10" t="s">
        <v>73</v>
      </c>
      <c r="H10" s="2" t="s">
        <v>101</v>
      </c>
      <c r="I10" s="2" t="s">
        <v>102</v>
      </c>
    </row>
    <row r="11">
      <c r="A11" t="s">
        <v>103</v>
      </c>
      <c r="B11" t="s">
        <v>104</v>
      </c>
      <c r="C11" t="s">
        <v>105</v>
      </c>
      <c r="D11" t="s">
        <v>106</v>
      </c>
      <c r="E11" t="s">
        <v>107</v>
      </c>
      <c r="F11" t="s">
        <v>108</v>
      </c>
      <c r="G11" t="s">
        <v>73</v>
      </c>
      <c r="H11" t="s">
        <v>109</v>
      </c>
      <c r="I11" t="s">
        <v>109</v>
      </c>
    </row>
    <row r="12">
      <c r="A12" t="s">
        <v>110</v>
      </c>
      <c r="B12" t="s">
        <v>111</v>
      </c>
      <c r="C12" t="s">
        <v>112</v>
      </c>
      <c r="D12" t="s">
        <v>113</v>
      </c>
      <c r="E12" t="s">
        <v>114</v>
      </c>
      <c r="F12" t="s">
        <v>115</v>
      </c>
      <c r="G12" t="s">
        <v>73</v>
      </c>
      <c r="H12" s="2" t="s">
        <v>116</v>
      </c>
      <c r="I12" s="2" t="s">
        <v>117</v>
      </c>
    </row>
    <row r="13">
      <c r="A13" t="s">
        <v>118</v>
      </c>
      <c r="B13" t="s">
        <v>119</v>
      </c>
      <c r="C13" t="s">
        <v>120</v>
      </c>
      <c r="D13" t="s">
        <v>121</v>
      </c>
      <c r="E13" t="s">
        <v>122</v>
      </c>
      <c r="F13" t="s">
        <v>115</v>
      </c>
      <c r="G13" t="s">
        <v>73</v>
      </c>
      <c r="H13" s="2" t="s">
        <v>123</v>
      </c>
      <c r="I13" s="2" t="s">
        <v>124</v>
      </c>
    </row>
    <row r="14">
      <c r="A14" t="s">
        <v>125</v>
      </c>
      <c r="B14" t="s">
        <v>126</v>
      </c>
      <c r="C14" t="s">
        <v>127</v>
      </c>
      <c r="D14" t="s">
        <v>128</v>
      </c>
      <c r="E14" t="s">
        <v>129</v>
      </c>
      <c r="F14" t="s">
        <v>115</v>
      </c>
      <c r="G14" t="s">
        <v>73</v>
      </c>
      <c r="H14" t="s">
        <v>109</v>
      </c>
      <c r="I14" t="s">
        <v>109</v>
      </c>
    </row>
    <row r="15">
      <c r="A15" t="s">
        <v>130</v>
      </c>
      <c r="B15" t="s">
        <v>131</v>
      </c>
      <c r="C15" t="s">
        <v>132</v>
      </c>
      <c r="D15" t="s">
        <v>133</v>
      </c>
      <c r="E15" t="s">
        <v>109</v>
      </c>
      <c r="F15" t="s">
        <v>109</v>
      </c>
      <c r="G15" t="s">
        <v>109</v>
      </c>
      <c r="H15" t="s">
        <v>109</v>
      </c>
      <c r="I15" t="s">
        <v>109</v>
      </c>
    </row>
    <row r="16">
      <c r="A16" t="s">
        <v>134</v>
      </c>
      <c r="B16" t="s">
        <v>135</v>
      </c>
      <c r="C16" t="s">
        <v>136</v>
      </c>
      <c r="D16" t="s">
        <v>137</v>
      </c>
      <c r="E16" t="s">
        <v>109</v>
      </c>
      <c r="F16" t="s">
        <v>109</v>
      </c>
      <c r="G16" t="s">
        <v>109</v>
      </c>
      <c r="H16" t="s">
        <v>109</v>
      </c>
      <c r="I16" t="s">
        <v>109</v>
      </c>
    </row>
    <row r="18">
      <c r="A18" s="1" t="s">
        <v>138</v>
      </c>
    </row>
    <row r="19">
      <c r="A19" t="s">
        <v>37</v>
      </c>
      <c r="B19" t="s">
        <v>38</v>
      </c>
      <c r="C19" t="s">
        <v>39</v>
      </c>
      <c r="D19" t="s">
        <v>40</v>
      </c>
      <c r="E19" t="s">
        <v>41</v>
      </c>
      <c r="F19" t="s">
        <v>42</v>
      </c>
      <c r="G19" t="s">
        <v>43</v>
      </c>
      <c r="H19" t="s">
        <v>44</v>
      </c>
      <c r="I19" t="s">
        <v>45</v>
      </c>
    </row>
    <row r="20">
      <c r="A20" t="s">
        <v>139</v>
      </c>
      <c r="B20" t="s">
        <v>140</v>
      </c>
      <c r="C20" t="s">
        <v>141</v>
      </c>
      <c r="D20" t="s">
        <v>142</v>
      </c>
      <c r="E20" t="s">
        <v>50</v>
      </c>
      <c r="F20" t="s">
        <v>51</v>
      </c>
      <c r="G20" t="s">
        <v>52</v>
      </c>
      <c r="H20" s="2" t="s">
        <v>143</v>
      </c>
      <c r="I20" s="2" t="s">
        <v>144</v>
      </c>
    </row>
    <row r="21">
      <c r="A21" t="s">
        <v>145</v>
      </c>
      <c r="B21" t="s">
        <v>146</v>
      </c>
      <c r="C21" t="s">
        <v>147</v>
      </c>
      <c r="D21" t="s">
        <v>148</v>
      </c>
      <c r="E21" t="s">
        <v>50</v>
      </c>
      <c r="F21" t="s">
        <v>59</v>
      </c>
      <c r="G21" t="s">
        <v>52</v>
      </c>
      <c r="H21" s="2" t="s">
        <v>149</v>
      </c>
      <c r="I21" s="2" t="s">
        <v>150</v>
      </c>
    </row>
    <row r="22">
      <c r="A22" t="s">
        <v>151</v>
      </c>
      <c r="B22" t="s">
        <v>152</v>
      </c>
      <c r="C22" t="s">
        <v>153</v>
      </c>
      <c r="D22" t="s">
        <v>154</v>
      </c>
      <c r="E22" t="s">
        <v>50</v>
      </c>
      <c r="F22" t="s">
        <v>155</v>
      </c>
      <c r="G22" t="s">
        <v>52</v>
      </c>
      <c r="H22" t="s">
        <v>109</v>
      </c>
      <c r="I22" t="s">
        <v>109</v>
      </c>
    </row>
    <row r="23">
      <c r="A23" t="s">
        <v>156</v>
      </c>
      <c r="B23" t="s">
        <v>157</v>
      </c>
      <c r="C23" t="s">
        <v>158</v>
      </c>
      <c r="D23" t="s">
        <v>159</v>
      </c>
      <c r="E23" t="s">
        <v>109</v>
      </c>
      <c r="F23" t="s">
        <v>109</v>
      </c>
      <c r="G23" t="s">
        <v>109</v>
      </c>
      <c r="H23" t="s">
        <v>109</v>
      </c>
      <c r="I23" t="s">
        <v>109</v>
      </c>
    </row>
    <row r="24">
      <c r="A24" t="s">
        <v>160</v>
      </c>
      <c r="B24" t="s">
        <v>161</v>
      </c>
      <c r="C24" t="s">
        <v>162</v>
      </c>
      <c r="D24" t="s">
        <v>163</v>
      </c>
      <c r="E24" t="s">
        <v>109</v>
      </c>
      <c r="F24" t="s">
        <v>109</v>
      </c>
      <c r="G24" t="s">
        <v>109</v>
      </c>
      <c r="H24" t="s">
        <v>109</v>
      </c>
      <c r="I24" t="s">
        <v>109</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37</v>
      </c>
      <c r="B1" t="s">
        <v>38</v>
      </c>
      <c r="C1" t="s">
        <v>39</v>
      </c>
      <c r="D1" t="s">
        <v>40</v>
      </c>
      <c r="E1" t="s">
        <v>41</v>
      </c>
      <c r="F1" t="s">
        <v>42</v>
      </c>
      <c r="G1" t="s">
        <v>43</v>
      </c>
      <c r="H1" t="s">
        <v>44</v>
      </c>
      <c r="I1" t="s">
        <v>45</v>
      </c>
      <c r="J1" t="s">
        <v>164</v>
      </c>
      <c r="K1" t="s">
        <v>165</v>
      </c>
      <c r="L1" t="s">
        <v>166</v>
      </c>
    </row>
    <row r="2">
      <c r="A2" t="s">
        <v>167</v>
      </c>
      <c r="B2" t="s">
        <v>168</v>
      </c>
      <c r="C2" t="s">
        <v>169</v>
      </c>
      <c r="D2" t="s">
        <v>170</v>
      </c>
      <c r="E2" t="s">
        <v>171</v>
      </c>
      <c r="F2" t="s">
        <v>59</v>
      </c>
      <c r="G2" t="s">
        <v>73</v>
      </c>
      <c r="H2" s="2" t="s">
        <v>172</v>
      </c>
      <c r="I2" s="2" t="s">
        <v>173</v>
      </c>
      <c r="J2" s="2" t="s">
        <v>174</v>
      </c>
      <c r="K2" s="2" t="s">
        <v>175</v>
      </c>
      <c r="L2" t="s">
        <v>176</v>
      </c>
    </row>
    <row r="3">
      <c r="A3" t="s">
        <v>177</v>
      </c>
      <c r="B3" t="s">
        <v>178</v>
      </c>
      <c r="C3" t="s">
        <v>179</v>
      </c>
      <c r="D3" t="s">
        <v>180</v>
      </c>
      <c r="E3" t="s">
        <v>50</v>
      </c>
      <c r="F3" t="s">
        <v>59</v>
      </c>
      <c r="G3" t="s">
        <v>52</v>
      </c>
      <c r="H3" s="2" t="s">
        <v>181</v>
      </c>
      <c r="I3" s="2" t="s">
        <v>182</v>
      </c>
      <c r="J3" s="2" t="s">
        <v>183</v>
      </c>
      <c r="K3" s="2" t="s">
        <v>184</v>
      </c>
      <c r="L3" t="s">
        <v>176</v>
      </c>
    </row>
    <row r="4">
      <c r="A4" t="s">
        <v>185</v>
      </c>
      <c r="B4" t="s">
        <v>186</v>
      </c>
      <c r="C4" t="s">
        <v>187</v>
      </c>
      <c r="D4" t="s">
        <v>188</v>
      </c>
      <c r="E4" t="s">
        <v>189</v>
      </c>
      <c r="F4" t="s">
        <v>59</v>
      </c>
      <c r="G4" t="s">
        <v>73</v>
      </c>
      <c r="H4" s="2" t="s">
        <v>190</v>
      </c>
      <c r="I4" s="2" t="s">
        <v>191</v>
      </c>
      <c r="J4" s="2" t="s">
        <v>192</v>
      </c>
      <c r="K4" s="2" t="s">
        <v>193</v>
      </c>
      <c r="L4" t="s">
        <v>176</v>
      </c>
    </row>
    <row r="5">
      <c r="A5" t="s">
        <v>194</v>
      </c>
      <c r="B5" t="s">
        <v>195</v>
      </c>
      <c r="C5" t="s">
        <v>196</v>
      </c>
      <c r="D5" t="s">
        <v>197</v>
      </c>
      <c r="E5" t="s">
        <v>198</v>
      </c>
      <c r="F5" t="s">
        <v>59</v>
      </c>
      <c r="G5" t="s">
        <v>52</v>
      </c>
      <c r="H5" s="2" t="s">
        <v>199</v>
      </c>
      <c r="I5" s="2" t="s">
        <v>75</v>
      </c>
      <c r="J5" s="2" t="s">
        <v>200</v>
      </c>
      <c r="K5" s="2" t="s">
        <v>201</v>
      </c>
      <c r="L5" t="s">
        <v>202</v>
      </c>
    </row>
    <row r="6">
      <c r="A6" t="s">
        <v>203</v>
      </c>
      <c r="B6" t="s">
        <v>204</v>
      </c>
      <c r="C6" t="s">
        <v>205</v>
      </c>
      <c r="D6" t="s">
        <v>206</v>
      </c>
      <c r="E6" t="s">
        <v>207</v>
      </c>
      <c r="F6" t="s">
        <v>59</v>
      </c>
      <c r="G6" t="s">
        <v>73</v>
      </c>
      <c r="H6" s="2" t="s">
        <v>208</v>
      </c>
      <c r="I6" s="2" t="s">
        <v>209</v>
      </c>
      <c r="J6" s="2" t="s">
        <v>210</v>
      </c>
      <c r="K6" s="2" t="s">
        <v>211</v>
      </c>
      <c r="L6" t="s">
        <v>176</v>
      </c>
    </row>
    <row r="7">
      <c r="A7" t="s">
        <v>212</v>
      </c>
      <c r="B7" t="s">
        <v>213</v>
      </c>
      <c r="C7" t="s">
        <v>214</v>
      </c>
      <c r="D7" t="s">
        <v>215</v>
      </c>
      <c r="E7" t="s">
        <v>50</v>
      </c>
      <c r="F7" t="s">
        <v>108</v>
      </c>
      <c r="G7" t="s">
        <v>52</v>
      </c>
      <c r="H7" t="s">
        <v>109</v>
      </c>
      <c r="I7" t="s">
        <v>109</v>
      </c>
      <c r="J7" t="s">
        <v>109</v>
      </c>
      <c r="K7" t="s">
        <v>109</v>
      </c>
      <c r="L7" t="s">
        <v>109</v>
      </c>
    </row>
    <row r="8">
      <c r="A8" t="s">
        <v>216</v>
      </c>
      <c r="B8" t="s">
        <v>217</v>
      </c>
      <c r="C8" t="s">
        <v>218</v>
      </c>
      <c r="D8" t="s">
        <v>219</v>
      </c>
      <c r="E8" t="s">
        <v>198</v>
      </c>
      <c r="F8" t="s">
        <v>108</v>
      </c>
      <c r="G8" t="s">
        <v>52</v>
      </c>
      <c r="H8" t="s">
        <v>109</v>
      </c>
      <c r="I8" t="s">
        <v>109</v>
      </c>
      <c r="J8" t="s">
        <v>109</v>
      </c>
      <c r="K8" t="s">
        <v>109</v>
      </c>
      <c r="L8" t="s">
        <v>109</v>
      </c>
    </row>
    <row r="9">
      <c r="A9" t="s">
        <v>220</v>
      </c>
      <c r="B9" t="s">
        <v>221</v>
      </c>
      <c r="C9" t="s">
        <v>222</v>
      </c>
      <c r="D9" t="s">
        <v>223</v>
      </c>
      <c r="E9" t="s">
        <v>50</v>
      </c>
      <c r="F9" t="s">
        <v>224</v>
      </c>
      <c r="G9" t="s">
        <v>52</v>
      </c>
      <c r="H9" s="2" t="s">
        <v>225</v>
      </c>
      <c r="I9" s="2" t="s">
        <v>226</v>
      </c>
      <c r="J9" s="2" t="s">
        <v>227</v>
      </c>
      <c r="K9" s="2" t="s">
        <v>228</v>
      </c>
      <c r="L9" t="s">
        <v>229</v>
      </c>
    </row>
    <row r="10">
      <c r="A10" t="s">
        <v>230</v>
      </c>
      <c r="B10" t="s">
        <v>231</v>
      </c>
      <c r="C10" t="s">
        <v>232</v>
      </c>
      <c r="D10" t="s">
        <v>233</v>
      </c>
      <c r="E10" t="s">
        <v>234</v>
      </c>
      <c r="F10" t="s">
        <v>224</v>
      </c>
      <c r="G10" t="s">
        <v>73</v>
      </c>
      <c r="H10" s="2" t="s">
        <v>235</v>
      </c>
      <c r="I10" s="2" t="s">
        <v>236</v>
      </c>
      <c r="J10" s="2" t="s">
        <v>237</v>
      </c>
      <c r="K10" s="2" t="s">
        <v>238</v>
      </c>
      <c r="L10" t="s">
        <v>239</v>
      </c>
    </row>
    <row r="11">
      <c r="A11" t="s">
        <v>240</v>
      </c>
      <c r="B11" t="s">
        <v>241</v>
      </c>
      <c r="C11" t="s">
        <v>242</v>
      </c>
      <c r="D11" t="s">
        <v>243</v>
      </c>
      <c r="E11" t="s">
        <v>189</v>
      </c>
      <c r="F11" t="s">
        <v>244</v>
      </c>
      <c r="G11" t="s">
        <v>245</v>
      </c>
      <c r="H11" t="s">
        <v>109</v>
      </c>
      <c r="I11" t="s">
        <v>109</v>
      </c>
      <c r="J11" t="s">
        <v>109</v>
      </c>
      <c r="K11" t="s">
        <v>109</v>
      </c>
      <c r="L11" t="s">
        <v>109</v>
      </c>
    </row>
    <row r="12">
      <c r="A12" t="s">
        <v>246</v>
      </c>
      <c r="B12" t="s">
        <v>247</v>
      </c>
      <c r="C12" t="s">
        <v>248</v>
      </c>
      <c r="D12" t="s">
        <v>249</v>
      </c>
      <c r="E12" t="s">
        <v>109</v>
      </c>
      <c r="F12" t="s">
        <v>109</v>
      </c>
      <c r="G12" t="s">
        <v>109</v>
      </c>
      <c r="H12" t="s">
        <v>109</v>
      </c>
      <c r="I12" t="s">
        <v>109</v>
      </c>
      <c r="J12" t="s">
        <v>109</v>
      </c>
      <c r="K12" t="s">
        <v>109</v>
      </c>
      <c r="L12" t="s">
        <v>109</v>
      </c>
    </row>
    <row r="13">
      <c r="A13" t="s">
        <v>250</v>
      </c>
      <c r="B13" t="s">
        <v>251</v>
      </c>
      <c r="C13" t="s">
        <v>252</v>
      </c>
      <c r="D13" t="s">
        <v>253</v>
      </c>
      <c r="E13" t="s">
        <v>109</v>
      </c>
      <c r="F13" t="s">
        <v>109</v>
      </c>
      <c r="G13" t="s">
        <v>109</v>
      </c>
      <c r="H13" t="s">
        <v>109</v>
      </c>
      <c r="I13" t="s">
        <v>109</v>
      </c>
      <c r="J13" t="s">
        <v>109</v>
      </c>
      <c r="K13" t="s">
        <v>109</v>
      </c>
      <c r="L13" t="s">
        <v>109</v>
      </c>
    </row>
    <row r="14">
      <c r="A14" t="s">
        <v>254</v>
      </c>
      <c r="B14" t="s">
        <v>247</v>
      </c>
      <c r="C14" t="s">
        <v>255</v>
      </c>
      <c r="D14" t="s">
        <v>243</v>
      </c>
      <c r="E14" t="s">
        <v>109</v>
      </c>
      <c r="F14" t="s">
        <v>109</v>
      </c>
      <c r="G14" t="s">
        <v>109</v>
      </c>
      <c r="H14" t="s">
        <v>109</v>
      </c>
      <c r="I14" t="s">
        <v>109</v>
      </c>
      <c r="J14" t="s">
        <v>109</v>
      </c>
      <c r="K14" t="s">
        <v>109</v>
      </c>
      <c r="L14" t="s">
        <v>109</v>
      </c>
    </row>
    <row r="15">
      <c r="A15" t="s">
        <v>256</v>
      </c>
      <c r="B15" t="s">
        <v>257</v>
      </c>
      <c r="C15" t="s">
        <v>258</v>
      </c>
      <c r="D15" t="s">
        <v>259</v>
      </c>
      <c r="E15" t="s">
        <v>109</v>
      </c>
      <c r="F15" t="s">
        <v>109</v>
      </c>
      <c r="G15" t="s">
        <v>109</v>
      </c>
      <c r="H15" t="s">
        <v>109</v>
      </c>
      <c r="I15" t="s">
        <v>109</v>
      </c>
      <c r="J15" t="s">
        <v>109</v>
      </c>
      <c r="K15" t="s">
        <v>109</v>
      </c>
      <c r="L15" t="s">
        <v>109</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election pane="bottomLeft"/>
    </sheetView>
  </sheetViews>
  <sheetFormatPr defaultRowHeight="15.0" baseColWidth="10"/>
  <cols>
    <col min="1" max="1" width="38.71" hidden="0" customWidth="1"/>
    <col min="2" max="2" width="18.71" hidden="0" customWidth="1"/>
    <col min="3" max="3" width="18.71" hidden="0" customWidth="1"/>
    <col min="4" max="4" width="18.71" hidden="0" customWidth="1"/>
    <col min="5" max="5" width="18.71" hidden="0" customWidth="1"/>
    <col min="6" max="6" width="18.71" hidden="0" customWidth="1"/>
    <col min="7" max="7" width="18.71" hidden="0" customWidth="1"/>
    <col min="8" max="8" width="18.71" hidden="0" customWidth="1"/>
    <col min="9" max="9" width="18.71" hidden="0" customWidth="1"/>
    <col min="10" max="10" width="18.71" hidden="0" customWidth="1"/>
  </cols>
  <sheetData>
    <row r="1">
      <c r="A1" s="3" t="s">
        <v>37</v>
      </c>
      <c r="B1" s="3" t="s">
        <v>38</v>
      </c>
      <c r="C1" s="3" t="s">
        <v>39</v>
      </c>
      <c r="D1" s="3" t="s">
        <v>40</v>
      </c>
      <c r="E1" s="3" t="s">
        <v>41</v>
      </c>
      <c r="F1" s="3" t="s">
        <v>44</v>
      </c>
      <c r="G1" s="3" t="s">
        <v>45</v>
      </c>
      <c r="H1" s="3" t="s">
        <v>164</v>
      </c>
      <c r="I1" s="3" t="s">
        <v>165</v>
      </c>
      <c r="J1" s="3" t="s">
        <v>166</v>
      </c>
    </row>
    <row r="2">
      <c r="A2" s="4" t="s">
        <v>260</v>
      </c>
      <c r="B2" s="4" t="s">
        <v>109</v>
      </c>
      <c r="C2" s="4" t="s">
        <v>109</v>
      </c>
      <c r="D2" s="4" t="s">
        <v>109</v>
      </c>
      <c r="E2" s="4" t="s">
        <v>109</v>
      </c>
      <c r="F2" s="4" t="s">
        <v>109</v>
      </c>
      <c r="G2" s="4" t="s">
        <v>109</v>
      </c>
      <c r="H2" s="4" t="s">
        <v>109</v>
      </c>
      <c r="I2" s="4" t="s">
        <v>109</v>
      </c>
      <c r="J2" s="4" t="s">
        <v>109</v>
      </c>
    </row>
    <row r="3">
      <c r="A3" t="s">
        <v>46</v>
      </c>
      <c r="B3" t="s">
        <v>47</v>
      </c>
      <c r="C3" t="s">
        <v>48</v>
      </c>
      <c r="D3" t="s">
        <v>49</v>
      </c>
      <c r="E3" t="s">
        <v>50</v>
      </c>
      <c r="F3" s="2" t="s">
        <v>53</v>
      </c>
      <c r="G3" s="2" t="s">
        <v>54</v>
      </c>
      <c r="H3" t="s">
        <v>109</v>
      </c>
      <c r="I3" t="s">
        <v>109</v>
      </c>
      <c r="J3" t="s">
        <v>109</v>
      </c>
    </row>
    <row r="4">
      <c r="A4" t="s">
        <v>55</v>
      </c>
      <c r="B4" t="s">
        <v>56</v>
      </c>
      <c r="C4" t="s">
        <v>57</v>
      </c>
      <c r="D4" t="s">
        <v>58</v>
      </c>
      <c r="E4" t="s">
        <v>50</v>
      </c>
      <c r="F4" s="2" t="s">
        <v>60</v>
      </c>
      <c r="G4" s="2" t="s">
        <v>61</v>
      </c>
      <c r="H4" t="s">
        <v>109</v>
      </c>
      <c r="I4" t="s">
        <v>109</v>
      </c>
      <c r="J4" t="s">
        <v>109</v>
      </c>
    </row>
    <row r="5">
      <c r="A5" t="s">
        <v>62</v>
      </c>
      <c r="B5" t="s">
        <v>63</v>
      </c>
      <c r="C5" t="s">
        <v>64</v>
      </c>
      <c r="D5" t="s">
        <v>65</v>
      </c>
      <c r="E5" t="s">
        <v>50</v>
      </c>
      <c r="F5" s="2" t="s">
        <v>66</v>
      </c>
      <c r="G5" s="2" t="s">
        <v>67</v>
      </c>
      <c r="H5" t="s">
        <v>109</v>
      </c>
      <c r="I5" t="s">
        <v>109</v>
      </c>
      <c r="J5" t="s">
        <v>109</v>
      </c>
    </row>
    <row r="6">
      <c r="A6" t="s">
        <v>68</v>
      </c>
      <c r="B6" t="s">
        <v>69</v>
      </c>
      <c r="C6" t="s">
        <v>70</v>
      </c>
      <c r="D6" t="s">
        <v>71</v>
      </c>
      <c r="E6" t="s">
        <v>72</v>
      </c>
      <c r="F6" s="2" t="s">
        <v>74</v>
      </c>
      <c r="G6" s="2" t="s">
        <v>75</v>
      </c>
      <c r="H6" t="s">
        <v>109</v>
      </c>
      <c r="I6" t="s">
        <v>109</v>
      </c>
      <c r="J6" t="s">
        <v>109</v>
      </c>
    </row>
    <row r="7">
      <c r="A7" t="s">
        <v>76</v>
      </c>
      <c r="B7" t="s">
        <v>77</v>
      </c>
      <c r="C7" t="s">
        <v>78</v>
      </c>
      <c r="D7" t="s">
        <v>79</v>
      </c>
      <c r="E7" t="s">
        <v>50</v>
      </c>
      <c r="F7" s="2" t="s">
        <v>80</v>
      </c>
      <c r="G7" s="2" t="s">
        <v>81</v>
      </c>
      <c r="H7" t="s">
        <v>109</v>
      </c>
      <c r="I7" t="s">
        <v>109</v>
      </c>
      <c r="J7" t="s">
        <v>109</v>
      </c>
    </row>
    <row r="8">
      <c r="A8" t="s">
        <v>82</v>
      </c>
      <c r="B8" t="s">
        <v>83</v>
      </c>
      <c r="C8" t="s">
        <v>84</v>
      </c>
      <c r="D8" t="s">
        <v>85</v>
      </c>
      <c r="E8" t="s">
        <v>86</v>
      </c>
      <c r="F8" s="2" t="s">
        <v>87</v>
      </c>
      <c r="G8" s="2" t="s">
        <v>88</v>
      </c>
      <c r="H8" t="s">
        <v>109</v>
      </c>
      <c r="I8" t="s">
        <v>109</v>
      </c>
      <c r="J8" t="s">
        <v>109</v>
      </c>
    </row>
    <row r="9">
      <c r="A9" t="s">
        <v>89</v>
      </c>
      <c r="B9" t="s">
        <v>90</v>
      </c>
      <c r="C9" t="s">
        <v>91</v>
      </c>
      <c r="D9" t="s">
        <v>92</v>
      </c>
      <c r="E9" t="s">
        <v>50</v>
      </c>
      <c r="F9" s="2" t="s">
        <v>93</v>
      </c>
      <c r="G9" s="2" t="s">
        <v>94</v>
      </c>
      <c r="H9" t="s">
        <v>109</v>
      </c>
      <c r="I9" t="s">
        <v>109</v>
      </c>
      <c r="J9" t="s">
        <v>109</v>
      </c>
    </row>
    <row r="10">
      <c r="A10" t="s">
        <v>95</v>
      </c>
      <c r="B10" t="s">
        <v>96</v>
      </c>
      <c r="C10" t="s">
        <v>97</v>
      </c>
      <c r="D10" t="s">
        <v>98</v>
      </c>
      <c r="E10" t="s">
        <v>99</v>
      </c>
      <c r="F10" s="2" t="s">
        <v>101</v>
      </c>
      <c r="G10" s="2" t="s">
        <v>102</v>
      </c>
      <c r="H10" t="s">
        <v>109</v>
      </c>
      <c r="I10" t="s">
        <v>109</v>
      </c>
      <c r="J10" t="s">
        <v>109</v>
      </c>
    </row>
    <row r="11">
      <c r="A11" t="s">
        <v>103</v>
      </c>
      <c r="B11" t="s">
        <v>104</v>
      </c>
      <c r="C11" t="s">
        <v>105</v>
      </c>
      <c r="D11" t="s">
        <v>106</v>
      </c>
      <c r="E11" t="s">
        <v>107</v>
      </c>
      <c r="F11" t="s">
        <v>109</v>
      </c>
      <c r="G11" t="s">
        <v>109</v>
      </c>
      <c r="H11" t="s">
        <v>109</v>
      </c>
      <c r="I11" t="s">
        <v>109</v>
      </c>
      <c r="J11" t="s">
        <v>109</v>
      </c>
    </row>
    <row r="12">
      <c r="A12" t="s">
        <v>110</v>
      </c>
      <c r="B12" t="s">
        <v>111</v>
      </c>
      <c r="C12" t="s">
        <v>112</v>
      </c>
      <c r="D12" t="s">
        <v>113</v>
      </c>
      <c r="E12" t="s">
        <v>114</v>
      </c>
      <c r="F12" s="2" t="s">
        <v>116</v>
      </c>
      <c r="G12" s="2" t="s">
        <v>117</v>
      </c>
      <c r="H12" t="s">
        <v>109</v>
      </c>
      <c r="I12" t="s">
        <v>109</v>
      </c>
      <c r="J12" t="s">
        <v>109</v>
      </c>
    </row>
    <row r="13">
      <c r="A13" t="s">
        <v>118</v>
      </c>
      <c r="B13" t="s">
        <v>119</v>
      </c>
      <c r="C13" t="s">
        <v>120</v>
      </c>
      <c r="D13" t="s">
        <v>121</v>
      </c>
      <c r="E13" t="s">
        <v>122</v>
      </c>
      <c r="F13" s="2" t="s">
        <v>123</v>
      </c>
      <c r="G13" s="2" t="s">
        <v>124</v>
      </c>
      <c r="H13" t="s">
        <v>109</v>
      </c>
      <c r="I13" t="s">
        <v>109</v>
      </c>
      <c r="J13" t="s">
        <v>109</v>
      </c>
    </row>
    <row r="14">
      <c r="A14" t="s">
        <v>125</v>
      </c>
      <c r="B14" t="s">
        <v>126</v>
      </c>
      <c r="C14" t="s">
        <v>127</v>
      </c>
      <c r="D14" t="s">
        <v>128</v>
      </c>
      <c r="E14" t="s">
        <v>129</v>
      </c>
      <c r="F14" t="s">
        <v>109</v>
      </c>
      <c r="G14" t="s">
        <v>109</v>
      </c>
      <c r="H14" t="s">
        <v>109</v>
      </c>
      <c r="I14" t="s">
        <v>109</v>
      </c>
      <c r="J14" t="s">
        <v>109</v>
      </c>
    </row>
    <row r="15">
      <c r="A15" t="s">
        <v>130</v>
      </c>
      <c r="B15" t="s">
        <v>131</v>
      </c>
      <c r="C15" t="s">
        <v>132</v>
      </c>
      <c r="D15" t="s">
        <v>133</v>
      </c>
      <c r="E15" t="s">
        <v>109</v>
      </c>
      <c r="F15" t="s">
        <v>109</v>
      </c>
      <c r="G15" t="s">
        <v>109</v>
      </c>
      <c r="H15" t="s">
        <v>109</v>
      </c>
      <c r="I15" t="s">
        <v>109</v>
      </c>
      <c r="J15" t="s">
        <v>109</v>
      </c>
    </row>
    <row r="16">
      <c r="A16" t="s">
        <v>134</v>
      </c>
      <c r="B16" t="s">
        <v>135</v>
      </c>
      <c r="C16" t="s">
        <v>136</v>
      </c>
      <c r="D16" t="s">
        <v>137</v>
      </c>
      <c r="E16" t="s">
        <v>109</v>
      </c>
      <c r="F16" t="s">
        <v>109</v>
      </c>
      <c r="G16" t="s">
        <v>109</v>
      </c>
      <c r="H16" t="s">
        <v>109</v>
      </c>
      <c r="I16" t="s">
        <v>109</v>
      </c>
      <c r="J16" t="s">
        <v>109</v>
      </c>
    </row>
    <row r="17">
      <c r="A17" s="4" t="s">
        <v>138</v>
      </c>
      <c r="B17" s="4" t="s">
        <v>109</v>
      </c>
      <c r="C17" s="4" t="s">
        <v>109</v>
      </c>
      <c r="D17" s="4" t="s">
        <v>109</v>
      </c>
      <c r="E17" s="4" t="s">
        <v>109</v>
      </c>
      <c r="F17" s="4" t="s">
        <v>109</v>
      </c>
      <c r="G17" s="4" t="s">
        <v>109</v>
      </c>
      <c r="H17" s="4" t="s">
        <v>109</v>
      </c>
      <c r="I17" s="4" t="s">
        <v>109</v>
      </c>
      <c r="J17" s="4" t="s">
        <v>109</v>
      </c>
    </row>
    <row r="18">
      <c r="A18" t="s">
        <v>139</v>
      </c>
      <c r="B18" t="s">
        <v>140</v>
      </c>
      <c r="C18" t="s">
        <v>141</v>
      </c>
      <c r="D18" t="s">
        <v>142</v>
      </c>
      <c r="E18" t="s">
        <v>50</v>
      </c>
      <c r="F18" s="2" t="s">
        <v>143</v>
      </c>
      <c r="G18" s="2" t="s">
        <v>144</v>
      </c>
      <c r="H18" t="s">
        <v>109</v>
      </c>
      <c r="I18" t="s">
        <v>109</v>
      </c>
      <c r="J18" t="s">
        <v>109</v>
      </c>
    </row>
    <row r="19">
      <c r="A19" t="s">
        <v>145</v>
      </c>
      <c r="B19" t="s">
        <v>146</v>
      </c>
      <c r="C19" t="s">
        <v>147</v>
      </c>
      <c r="D19" t="s">
        <v>148</v>
      </c>
      <c r="E19" t="s">
        <v>50</v>
      </c>
      <c r="F19" s="2" t="s">
        <v>149</v>
      </c>
      <c r="G19" s="2" t="s">
        <v>150</v>
      </c>
      <c r="H19" t="s">
        <v>109</v>
      </c>
      <c r="I19" t="s">
        <v>109</v>
      </c>
      <c r="J19" t="s">
        <v>109</v>
      </c>
    </row>
    <row r="20">
      <c r="A20" t="s">
        <v>151</v>
      </c>
      <c r="B20" t="s">
        <v>152</v>
      </c>
      <c r="C20" t="s">
        <v>153</v>
      </c>
      <c r="D20" t="s">
        <v>154</v>
      </c>
      <c r="E20" t="s">
        <v>50</v>
      </c>
      <c r="F20" t="s">
        <v>109</v>
      </c>
      <c r="G20" t="s">
        <v>109</v>
      </c>
      <c r="H20" t="s">
        <v>109</v>
      </c>
      <c r="I20" t="s">
        <v>109</v>
      </c>
      <c r="J20" t="s">
        <v>109</v>
      </c>
    </row>
    <row r="21">
      <c r="A21" t="s">
        <v>156</v>
      </c>
      <c r="B21" t="s">
        <v>157</v>
      </c>
      <c r="C21" t="s">
        <v>158</v>
      </c>
      <c r="D21" t="s">
        <v>159</v>
      </c>
      <c r="E21" t="s">
        <v>109</v>
      </c>
      <c r="F21" t="s">
        <v>109</v>
      </c>
      <c r="G21" t="s">
        <v>109</v>
      </c>
      <c r="H21" t="s">
        <v>109</v>
      </c>
      <c r="I21" t="s">
        <v>109</v>
      </c>
      <c r="J21" t="s">
        <v>109</v>
      </c>
    </row>
    <row r="22">
      <c r="A22" t="s">
        <v>160</v>
      </c>
      <c r="B22" t="s">
        <v>161</v>
      </c>
      <c r="C22" t="s">
        <v>162</v>
      </c>
      <c r="D22" t="s">
        <v>163</v>
      </c>
      <c r="E22" t="s">
        <v>109</v>
      </c>
      <c r="F22" t="s">
        <v>109</v>
      </c>
      <c r="G22" t="s">
        <v>109</v>
      </c>
      <c r="H22" t="s">
        <v>109</v>
      </c>
      <c r="I22" t="s">
        <v>109</v>
      </c>
      <c r="J22" t="s">
        <v>109</v>
      </c>
    </row>
    <row r="23">
      <c r="A23" s="4" t="s">
        <v>261</v>
      </c>
      <c r="B23" s="4" t="s">
        <v>109</v>
      </c>
      <c r="C23" s="4" t="s">
        <v>109</v>
      </c>
      <c r="D23" s="4" t="s">
        <v>109</v>
      </c>
      <c r="E23" s="4" t="s">
        <v>109</v>
      </c>
      <c r="F23" s="4" t="s">
        <v>109</v>
      </c>
      <c r="G23" s="4" t="s">
        <v>109</v>
      </c>
      <c r="H23" s="4" t="s">
        <v>109</v>
      </c>
      <c r="I23" s="4" t="s">
        <v>109</v>
      </c>
      <c r="J23" s="4" t="s">
        <v>109</v>
      </c>
    </row>
    <row r="24">
      <c r="A24" t="s">
        <v>167</v>
      </c>
      <c r="B24" t="s">
        <v>168</v>
      </c>
      <c r="C24" t="s">
        <v>169</v>
      </c>
      <c r="D24" t="s">
        <v>170</v>
      </c>
      <c r="E24" t="s">
        <v>171</v>
      </c>
      <c r="F24" s="2" t="s">
        <v>172</v>
      </c>
      <c r="G24" s="2" t="s">
        <v>173</v>
      </c>
      <c r="H24" s="2" t="s">
        <v>174</v>
      </c>
      <c r="I24" s="2" t="s">
        <v>175</v>
      </c>
      <c r="J24" t="s">
        <v>176</v>
      </c>
    </row>
    <row r="25">
      <c r="A25" t="s">
        <v>177</v>
      </c>
      <c r="B25" t="s">
        <v>178</v>
      </c>
      <c r="C25" t="s">
        <v>179</v>
      </c>
      <c r="D25" t="s">
        <v>180</v>
      </c>
      <c r="E25" t="s">
        <v>50</v>
      </c>
      <c r="F25" s="2" t="s">
        <v>181</v>
      </c>
      <c r="G25" s="2" t="s">
        <v>182</v>
      </c>
      <c r="H25" s="2" t="s">
        <v>183</v>
      </c>
      <c r="I25" s="2" t="s">
        <v>184</v>
      </c>
      <c r="J25" t="s">
        <v>176</v>
      </c>
    </row>
    <row r="26">
      <c r="A26" t="s">
        <v>185</v>
      </c>
      <c r="B26" t="s">
        <v>186</v>
      </c>
      <c r="C26" t="s">
        <v>187</v>
      </c>
      <c r="D26" t="s">
        <v>188</v>
      </c>
      <c r="E26" t="s">
        <v>189</v>
      </c>
      <c r="F26" s="2" t="s">
        <v>190</v>
      </c>
      <c r="G26" s="2" t="s">
        <v>191</v>
      </c>
      <c r="H26" s="2" t="s">
        <v>192</v>
      </c>
      <c r="I26" s="2" t="s">
        <v>193</v>
      </c>
      <c r="J26" t="s">
        <v>176</v>
      </c>
    </row>
    <row r="27">
      <c r="A27" t="s">
        <v>194</v>
      </c>
      <c r="B27" t="s">
        <v>195</v>
      </c>
      <c r="C27" t="s">
        <v>196</v>
      </c>
      <c r="D27" t="s">
        <v>197</v>
      </c>
      <c r="E27" t="s">
        <v>198</v>
      </c>
      <c r="F27" s="2" t="s">
        <v>199</v>
      </c>
      <c r="G27" s="2" t="s">
        <v>75</v>
      </c>
      <c r="H27" s="2" t="s">
        <v>200</v>
      </c>
      <c r="I27" s="2" t="s">
        <v>201</v>
      </c>
      <c r="J27" t="s">
        <v>202</v>
      </c>
    </row>
    <row r="28">
      <c r="A28" t="s">
        <v>203</v>
      </c>
      <c r="B28" t="s">
        <v>204</v>
      </c>
      <c r="C28" t="s">
        <v>205</v>
      </c>
      <c r="D28" t="s">
        <v>206</v>
      </c>
      <c r="E28" t="s">
        <v>207</v>
      </c>
      <c r="F28" s="2" t="s">
        <v>208</v>
      </c>
      <c r="G28" s="2" t="s">
        <v>209</v>
      </c>
      <c r="H28" s="2" t="s">
        <v>210</v>
      </c>
      <c r="I28" s="2" t="s">
        <v>211</v>
      </c>
      <c r="J28" t="s">
        <v>176</v>
      </c>
    </row>
    <row r="29">
      <c r="A29" t="s">
        <v>212</v>
      </c>
      <c r="B29" t="s">
        <v>213</v>
      </c>
      <c r="C29" t="s">
        <v>214</v>
      </c>
      <c r="D29" t="s">
        <v>215</v>
      </c>
      <c r="E29" t="s">
        <v>50</v>
      </c>
      <c r="F29" t="s">
        <v>109</v>
      </c>
      <c r="G29" t="s">
        <v>109</v>
      </c>
      <c r="H29" t="s">
        <v>109</v>
      </c>
      <c r="I29" t="s">
        <v>109</v>
      </c>
      <c r="J29" t="s">
        <v>109</v>
      </c>
    </row>
    <row r="30">
      <c r="A30" t="s">
        <v>216</v>
      </c>
      <c r="B30" t="s">
        <v>217</v>
      </c>
      <c r="C30" t="s">
        <v>218</v>
      </c>
      <c r="D30" t="s">
        <v>219</v>
      </c>
      <c r="E30" t="s">
        <v>198</v>
      </c>
      <c r="F30" t="s">
        <v>109</v>
      </c>
      <c r="G30" t="s">
        <v>109</v>
      </c>
      <c r="H30" t="s">
        <v>109</v>
      </c>
      <c r="I30" t="s">
        <v>109</v>
      </c>
      <c r="J30" t="s">
        <v>109</v>
      </c>
    </row>
    <row r="31">
      <c r="A31" t="s">
        <v>220</v>
      </c>
      <c r="B31" t="s">
        <v>221</v>
      </c>
      <c r="C31" t="s">
        <v>222</v>
      </c>
      <c r="D31" t="s">
        <v>223</v>
      </c>
      <c r="E31" t="s">
        <v>50</v>
      </c>
      <c r="F31" s="2" t="s">
        <v>225</v>
      </c>
      <c r="G31" s="2" t="s">
        <v>226</v>
      </c>
      <c r="H31" s="2" t="s">
        <v>227</v>
      </c>
      <c r="I31" s="2" t="s">
        <v>228</v>
      </c>
      <c r="J31" t="s">
        <v>229</v>
      </c>
    </row>
    <row r="32">
      <c r="A32" t="s">
        <v>230</v>
      </c>
      <c r="B32" t="s">
        <v>231</v>
      </c>
      <c r="C32" t="s">
        <v>232</v>
      </c>
      <c r="D32" t="s">
        <v>233</v>
      </c>
      <c r="E32" t="s">
        <v>234</v>
      </c>
      <c r="F32" s="2" t="s">
        <v>235</v>
      </c>
      <c r="G32" s="2" t="s">
        <v>236</v>
      </c>
      <c r="H32" s="2" t="s">
        <v>237</v>
      </c>
      <c r="I32" s="2" t="s">
        <v>238</v>
      </c>
      <c r="J32" t="s">
        <v>239</v>
      </c>
    </row>
    <row r="33">
      <c r="A33" t="s">
        <v>240</v>
      </c>
      <c r="B33" t="s">
        <v>241</v>
      </c>
      <c r="C33" t="s">
        <v>242</v>
      </c>
      <c r="D33" t="s">
        <v>243</v>
      </c>
      <c r="E33" t="s">
        <v>189</v>
      </c>
      <c r="F33" t="s">
        <v>109</v>
      </c>
      <c r="G33" t="s">
        <v>109</v>
      </c>
      <c r="H33" t="s">
        <v>109</v>
      </c>
      <c r="I33" t="s">
        <v>109</v>
      </c>
      <c r="J33" t="s">
        <v>109</v>
      </c>
    </row>
    <row r="34">
      <c r="A34" t="s">
        <v>246</v>
      </c>
      <c r="B34" t="s">
        <v>247</v>
      </c>
      <c r="C34" t="s">
        <v>248</v>
      </c>
      <c r="D34" t="s">
        <v>249</v>
      </c>
      <c r="E34" t="s">
        <v>109</v>
      </c>
      <c r="F34" t="s">
        <v>109</v>
      </c>
      <c r="G34" t="s">
        <v>109</v>
      </c>
      <c r="H34" t="s">
        <v>109</v>
      </c>
      <c r="I34" t="s">
        <v>109</v>
      </c>
      <c r="J34" t="s">
        <v>109</v>
      </c>
    </row>
    <row r="35">
      <c r="A35" t="s">
        <v>250</v>
      </c>
      <c r="B35" t="s">
        <v>251</v>
      </c>
      <c r="C35" t="s">
        <v>252</v>
      </c>
      <c r="D35" t="s">
        <v>253</v>
      </c>
      <c r="E35" t="s">
        <v>109</v>
      </c>
      <c r="F35" t="s">
        <v>109</v>
      </c>
      <c r="G35" t="s">
        <v>109</v>
      </c>
      <c r="H35" t="s">
        <v>109</v>
      </c>
      <c r="I35" t="s">
        <v>109</v>
      </c>
      <c r="J35" t="s">
        <v>109</v>
      </c>
    </row>
    <row r="36">
      <c r="A36" t="s">
        <v>254</v>
      </c>
      <c r="B36" t="s">
        <v>247</v>
      </c>
      <c r="C36" t="s">
        <v>255</v>
      </c>
      <c r="D36" t="s">
        <v>243</v>
      </c>
      <c r="E36" t="s">
        <v>109</v>
      </c>
      <c r="F36" t="s">
        <v>109</v>
      </c>
      <c r="G36" t="s">
        <v>109</v>
      </c>
      <c r="H36" t="s">
        <v>109</v>
      </c>
      <c r="I36" t="s">
        <v>109</v>
      </c>
      <c r="J36" t="s">
        <v>109</v>
      </c>
    </row>
    <row r="37">
      <c r="A37" t="s">
        <v>256</v>
      </c>
      <c r="B37" t="s">
        <v>257</v>
      </c>
      <c r="C37" t="s">
        <v>258</v>
      </c>
      <c r="D37" t="s">
        <v>259</v>
      </c>
      <c r="E37" t="s">
        <v>109</v>
      </c>
      <c r="F37" t="s">
        <v>109</v>
      </c>
      <c r="G37" t="s">
        <v>109</v>
      </c>
      <c r="H37" t="s">
        <v>109</v>
      </c>
      <c r="I37" t="s">
        <v>109</v>
      </c>
      <c r="J37" t="s">
        <v>109</v>
      </c>
    </row>
    <row r="39">
      <c r="A39" t="s">
        <v>262</v>
      </c>
    </row>
    <row r="40">
      <c r="A40" t="s">
        <v>263</v>
      </c>
    </row>
    <row r="41">
      <c r="A41" t="s">
        <v>264</v>
      </c>
    </row>
    <row r="42">
      <c r="A42" t="s">
        <v>265</v>
      </c>
    </row>
    <row r="43">
      <c r="A43" t="s">
        <v>266</v>
      </c>
    </row>
    <row r="44">
      <c r="A44" t="s">
        <v>267</v>
      </c>
    </row>
    <row r="45">
      <c r="A45" t="s">
        <v>268</v>
      </c>
    </row>
    <row r="46">
      <c r="A46" t="s">
        <v>269</v>
      </c>
    </row>
    <row r="47">
      <c r="A47" t="s">
        <v>109</v>
      </c>
    </row>
    <row r="48">
      <c r="A48" t="s">
        <v>270</v>
      </c>
    </row>
    <row r="49">
      <c r="A49" t="s">
        <v>271</v>
      </c>
    </row>
    <row r="50">
      <c r="A50" t="s">
        <v>272</v>
      </c>
    </row>
    <row r="51">
      <c r="A51" t="s">
        <v>273</v>
      </c>
    </row>
    <row r="52">
      <c r="A52" t="s">
        <v>274</v>
      </c>
    </row>
    <row r="53">
      <c r="A53" t="s">
        <v>275</v>
      </c>
    </row>
    <row r="54">
      <c r="A54" t="s">
        <v>276</v>
      </c>
    </row>
    <row r="55">
      <c r="A55" t="s">
        <v>277</v>
      </c>
    </row>
    <row r="56">
      <c r="A56" t="s">
        <v>278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5" t="s">
        <v>279</v>
      </c>
      <c r="B1" s="5" t="s">
        <v>280</v>
      </c>
      <c r="C1" s="5" t="s">
        <v>281</v>
      </c>
      <c r="D1" s="5" t="s">
        <v>282</v>
      </c>
      <c r="E1" s="6" t="s">
        <v>283</v>
      </c>
      <c r="F1" s="6" t="s">
        <v>284</v>
      </c>
      <c r="G1" s="6" t="s">
        <v>285</v>
      </c>
      <c r="H1" s="6" t="s">
        <v>286</v>
      </c>
      <c r="I1" s="6" t="s">
        <v>82</v>
      </c>
      <c r="J1" s="7" t="s">
        <v>287</v>
      </c>
      <c r="K1" s="7" t="s">
        <v>288</v>
      </c>
      <c r="L1" s="7" t="s">
        <v>289</v>
      </c>
      <c r="M1" s="7" t="s">
        <v>290</v>
      </c>
      <c r="N1" s="8" t="s">
        <v>291</v>
      </c>
      <c r="O1" s="8" t="s">
        <v>292</v>
      </c>
      <c r="P1" s="8" t="s">
        <v>293</v>
      </c>
      <c r="Q1" s="8" t="s">
        <v>294</v>
      </c>
      <c r="R1" s="8" t="s">
        <v>203</v>
      </c>
      <c r="S1" s="8" t="s">
        <v>194</v>
      </c>
      <c r="T1" s="9" t="s">
        <v>295</v>
      </c>
    </row>
    <row r="2">
      <c r="A2" t="s">
        <v>30</v>
      </c>
      <c r="B2" t="n">
        <v>0.8</v>
      </c>
      <c r="C2" t="n">
        <v>0.8</v>
      </c>
      <c r="D2" t="n">
        <v>0.8</v>
      </c>
      <c r="E2" t="n">
        <v>-4.5</v>
      </c>
      <c r="F2" t="n">
        <v>-0.5</v>
      </c>
      <c r="G2" t="n">
        <v>139</v>
      </c>
      <c r="H2" t="n">
        <v>12</v>
      </c>
      <c r="I2" t="s">
        <v>296</v>
      </c>
      <c r="J2" t="n">
        <v>0</v>
      </c>
      <c r="K2" t="n">
        <v>0</v>
      </c>
      <c r="L2" t="n">
        <v>0</v>
      </c>
      <c r="M2" t="n">
        <v>12</v>
      </c>
      <c r="N2" t="n">
        <v>0.25</v>
      </c>
      <c r="O2" t="n">
        <v>-0.25</v>
      </c>
      <c r="P2" t="n">
        <v>27</v>
      </c>
      <c r="Q2" t="n">
        <v>12</v>
      </c>
      <c r="R2" t="s">
        <v>296</v>
      </c>
      <c r="S2" t="s">
        <v>296</v>
      </c>
      <c r="T2" t="n">
        <v>0.125</v>
      </c>
    </row>
    <row r="3">
      <c r="A3" t="s">
        <v>30</v>
      </c>
      <c r="B3" t="n">
        <v>0.8</v>
      </c>
      <c r="C3" t="n">
        <v>0.8</v>
      </c>
      <c r="D3" t="n">
        <v>0.8</v>
      </c>
      <c r="E3" t="n">
        <v>-4.75</v>
      </c>
      <c r="F3" t="n">
        <v>-0.75</v>
      </c>
      <c r="G3" t="n">
        <v>41</v>
      </c>
      <c r="H3" t="n">
        <v>12</v>
      </c>
      <c r="I3" t="s">
        <v>296</v>
      </c>
      <c r="J3" t="n">
        <v>0</v>
      </c>
      <c r="K3" t="n">
        <v>0</v>
      </c>
      <c r="L3" t="n">
        <v>0</v>
      </c>
      <c r="M3" t="n">
        <v>12</v>
      </c>
      <c r="N3" t="n">
        <v>0.5</v>
      </c>
      <c r="O3" t="n">
        <v>-0.25</v>
      </c>
      <c r="P3" t="n">
        <v>75</v>
      </c>
      <c r="Q3" t="n">
        <v>12</v>
      </c>
      <c r="R3" t="s">
        <v>296</v>
      </c>
      <c r="S3" t="s">
        <v>296</v>
      </c>
      <c r="T3" t="n">
        <v>0.375</v>
      </c>
    </row>
    <row r="4">
      <c r="A4" t="s">
        <v>30</v>
      </c>
      <c r="B4" t="n">
        <v>0.8</v>
      </c>
      <c r="C4" t="n">
        <v>1</v>
      </c>
      <c r="D4" t="n">
        <v>1</v>
      </c>
      <c r="E4" t="n">
        <v>-3</v>
      </c>
      <c r="F4" t="n">
        <v>-0.75</v>
      </c>
      <c r="G4" t="n">
        <v>70</v>
      </c>
      <c r="H4" t="n">
        <v>12</v>
      </c>
      <c r="I4" t="s">
        <v>296</v>
      </c>
      <c r="J4" t="n">
        <v>0</v>
      </c>
      <c r="K4" t="n">
        <v>0</v>
      </c>
      <c r="L4" t="n">
        <v>0</v>
      </c>
      <c r="M4" t="n">
        <v>12</v>
      </c>
      <c r="N4" t="n">
        <v>0.25</v>
      </c>
      <c r="O4" t="n">
        <v>-0.5</v>
      </c>
      <c r="P4" t="n">
        <v>78</v>
      </c>
      <c r="Q4" t="n">
        <v>12</v>
      </c>
      <c r="R4" t="s">
        <v>297</v>
      </c>
      <c r="S4" t="s">
        <v>297</v>
      </c>
      <c r="T4" t="n">
        <v>0</v>
      </c>
    </row>
    <row r="5">
      <c r="A5" t="s">
        <v>30</v>
      </c>
      <c r="B5" t="n">
        <v>0.8</v>
      </c>
      <c r="C5" t="n">
        <v>1</v>
      </c>
      <c r="D5" t="n">
        <v>1</v>
      </c>
      <c r="E5" t="n">
        <v>-4</v>
      </c>
      <c r="F5" t="n">
        <v>-0.5</v>
      </c>
      <c r="G5" t="n">
        <v>179</v>
      </c>
      <c r="H5" t="n">
        <v>12</v>
      </c>
      <c r="I5" t="s">
        <v>296</v>
      </c>
      <c r="J5" t="n">
        <v>0</v>
      </c>
      <c r="K5" t="n">
        <v>0</v>
      </c>
      <c r="L5" t="n">
        <v>0</v>
      </c>
      <c r="M5" t="n">
        <v>12</v>
      </c>
      <c r="N5" t="n">
        <v>0.25</v>
      </c>
      <c r="O5" t="n">
        <v>-0.25</v>
      </c>
      <c r="P5" t="n">
        <v>66</v>
      </c>
      <c r="Q5" t="n">
        <v>12</v>
      </c>
      <c r="R5" t="s">
        <v>297</v>
      </c>
      <c r="S5" t="s">
        <v>297</v>
      </c>
      <c r="T5" t="n">
        <v>0.125</v>
      </c>
    </row>
    <row r="6">
      <c r="A6" t="s">
        <v>30</v>
      </c>
      <c r="B6" t="n">
        <v>0.8</v>
      </c>
      <c r="C6" t="n">
        <v>0.8</v>
      </c>
      <c r="D6" t="n">
        <v>1</v>
      </c>
      <c r="E6" t="n">
        <v>-4</v>
      </c>
      <c r="F6" t="n">
        <v>-1</v>
      </c>
      <c r="G6" t="n">
        <v>170</v>
      </c>
      <c r="H6" t="n">
        <v>12</v>
      </c>
      <c r="I6" t="s">
        <v>296</v>
      </c>
      <c r="J6" t="n">
        <v>0</v>
      </c>
      <c r="K6" t="n">
        <v>0</v>
      </c>
      <c r="L6" t="n">
        <v>0</v>
      </c>
      <c r="M6" t="n">
        <v>12</v>
      </c>
      <c r="N6" t="n">
        <v>0.5</v>
      </c>
      <c r="O6" t="n">
        <v>-0.75</v>
      </c>
      <c r="P6" t="n">
        <v>131</v>
      </c>
      <c r="Q6" t="n">
        <v>12</v>
      </c>
      <c r="R6" t="s">
        <v>297</v>
      </c>
      <c r="S6" t="s">
        <v>296</v>
      </c>
      <c r="T6" t="n">
        <v>0.125</v>
      </c>
    </row>
    <row r="7">
      <c r="A7" t="s">
        <v>30</v>
      </c>
      <c r="B7" t="n">
        <v>1</v>
      </c>
      <c r="C7" t="n">
        <v>1.25</v>
      </c>
      <c r="D7" t="n">
        <v>1.25</v>
      </c>
      <c r="E7" t="n">
        <v>-3.5</v>
      </c>
      <c r="F7" t="n">
        <v>-0.75</v>
      </c>
      <c r="G7" t="n">
        <v>95</v>
      </c>
      <c r="H7" t="n">
        <v>12</v>
      </c>
      <c r="I7" t="s">
        <v>297</v>
      </c>
      <c r="J7" t="n">
        <v>0</v>
      </c>
      <c r="K7" t="n">
        <v>0</v>
      </c>
      <c r="L7" t="n">
        <v>0</v>
      </c>
      <c r="M7" t="n">
        <v>12</v>
      </c>
      <c r="N7" t="n">
        <v>0</v>
      </c>
      <c r="O7" t="n">
        <v>-0.25</v>
      </c>
      <c r="P7" t="n">
        <v>92</v>
      </c>
      <c r="Q7" t="n">
        <v>12</v>
      </c>
      <c r="R7" t="s">
        <v>298</v>
      </c>
      <c r="S7" t="s">
        <v>298</v>
      </c>
      <c r="T7" t="n">
        <v>-0.125</v>
      </c>
    </row>
    <row r="8">
      <c r="A8" t="s">
        <v>30</v>
      </c>
      <c r="B8" t="n">
        <v>1</v>
      </c>
      <c r="C8" t="n">
        <v>1.25</v>
      </c>
      <c r="D8" t="n">
        <v>1.25</v>
      </c>
      <c r="E8" t="n">
        <v>-4.75</v>
      </c>
      <c r="F8" t="n">
        <v>-0.5</v>
      </c>
      <c r="G8" t="n">
        <v>106</v>
      </c>
      <c r="H8" t="n">
        <v>12</v>
      </c>
      <c r="I8" t="s">
        <v>297</v>
      </c>
      <c r="J8" t="n">
        <v>0</v>
      </c>
      <c r="K8" t="n">
        <v>0</v>
      </c>
      <c r="L8" t="n">
        <v>0</v>
      </c>
      <c r="M8" t="n">
        <v>12</v>
      </c>
      <c r="N8" t="n">
        <v>0.25</v>
      </c>
      <c r="O8" t="n">
        <v>-0.25</v>
      </c>
      <c r="P8" t="n">
        <v>123</v>
      </c>
      <c r="Q8" t="n">
        <v>12</v>
      </c>
      <c r="R8" t="s">
        <v>298</v>
      </c>
      <c r="S8" t="s">
        <v>298</v>
      </c>
      <c r="T8" t="n">
        <v>0.125</v>
      </c>
    </row>
    <row r="9">
      <c r="A9" t="s">
        <v>30</v>
      </c>
      <c r="B9" t="n">
        <v>1</v>
      </c>
      <c r="C9" t="n">
        <v>1.25</v>
      </c>
      <c r="D9" t="n">
        <v>1.25</v>
      </c>
      <c r="E9" t="n">
        <v>-3.75</v>
      </c>
      <c r="F9" t="n">
        <v>-0.75</v>
      </c>
      <c r="G9" t="n">
        <v>4</v>
      </c>
      <c r="H9" t="n">
        <v>12</v>
      </c>
      <c r="I9" t="s">
        <v>297</v>
      </c>
      <c r="J9" t="n">
        <v>0</v>
      </c>
      <c r="K9" t="n">
        <v>0</v>
      </c>
      <c r="L9" t="n">
        <v>0</v>
      </c>
      <c r="M9" t="n">
        <v>12</v>
      </c>
      <c r="N9" t="n">
        <v>0</v>
      </c>
      <c r="O9" t="n">
        <v>-0.25</v>
      </c>
      <c r="P9" t="n">
        <v>156</v>
      </c>
      <c r="Q9" t="n">
        <v>12</v>
      </c>
      <c r="R9" t="s">
        <v>298</v>
      </c>
      <c r="S9" t="s">
        <v>298</v>
      </c>
      <c r="T9" t="n">
        <v>-0.125</v>
      </c>
    </row>
    <row r="10">
      <c r="A10" t="s">
        <v>30</v>
      </c>
      <c r="B10" t="n">
        <v>1</v>
      </c>
      <c r="C10" t="n">
        <v>1</v>
      </c>
      <c r="D10" t="n">
        <v>1.25</v>
      </c>
      <c r="E10" t="n">
        <v>-5</v>
      </c>
      <c r="F10" t="n">
        <v>-1.75</v>
      </c>
      <c r="G10" t="n">
        <v>23</v>
      </c>
      <c r="H10" t="n">
        <v>12</v>
      </c>
      <c r="I10" t="s">
        <v>297</v>
      </c>
      <c r="J10" t="n">
        <v>0</v>
      </c>
      <c r="K10" t="n">
        <v>0</v>
      </c>
      <c r="L10" t="n">
        <v>0</v>
      </c>
      <c r="M10" t="n">
        <v>12</v>
      </c>
      <c r="N10" t="n">
        <v>-0.5</v>
      </c>
      <c r="O10" t="n">
        <v>-0.25</v>
      </c>
      <c r="P10" t="n">
        <v>66</v>
      </c>
      <c r="Q10" t="n">
        <v>12</v>
      </c>
      <c r="R10" t="s">
        <v>298</v>
      </c>
      <c r="S10" t="s">
        <v>297</v>
      </c>
      <c r="T10" t="n">
        <v>-0.625</v>
      </c>
    </row>
    <row r="11">
      <c r="A11" t="s">
        <v>30</v>
      </c>
      <c r="B11" t="n">
        <v>0.8</v>
      </c>
      <c r="C11" t="n">
        <v>1</v>
      </c>
      <c r="D11" t="n">
        <v>1</v>
      </c>
      <c r="E11" t="n">
        <v>-6.5</v>
      </c>
      <c r="F11" t="n">
        <v>-1.5</v>
      </c>
      <c r="G11" t="n">
        <v>172</v>
      </c>
      <c r="H11" t="n">
        <v>12</v>
      </c>
      <c r="I11" t="s">
        <v>296</v>
      </c>
      <c r="J11" t="n">
        <v>0</v>
      </c>
      <c r="K11" t="n">
        <v>0</v>
      </c>
      <c r="L11" t="n">
        <v>0</v>
      </c>
      <c r="M11" t="n">
        <v>12</v>
      </c>
      <c r="N11" t="n">
        <v>-0.25</v>
      </c>
      <c r="O11" t="n">
        <v>-0.25</v>
      </c>
      <c r="P11" t="n">
        <v>37</v>
      </c>
      <c r="Q11" t="n">
        <v>12</v>
      </c>
      <c r="R11" t="s">
        <v>297</v>
      </c>
      <c r="S11" t="s">
        <v>297</v>
      </c>
      <c r="T11" t="n">
        <v>-0.375</v>
      </c>
    </row>
    <row r="12">
      <c r="A12" t="s">
        <v>30</v>
      </c>
      <c r="B12" t="n">
        <v>1</v>
      </c>
      <c r="C12" t="n">
        <v>1.25</v>
      </c>
      <c r="D12" t="n">
        <v>1.25</v>
      </c>
      <c r="E12" t="n">
        <v>-5</v>
      </c>
      <c r="F12" t="n">
        <v>-1.25</v>
      </c>
      <c r="G12" t="n">
        <v>171</v>
      </c>
      <c r="H12" t="n">
        <v>12</v>
      </c>
      <c r="I12" t="s">
        <v>297</v>
      </c>
      <c r="J12" t="n">
        <v>0</v>
      </c>
      <c r="K12" t="n">
        <v>0</v>
      </c>
      <c r="L12" t="n">
        <v>0</v>
      </c>
      <c r="M12" t="n">
        <v>12</v>
      </c>
      <c r="N12" t="n">
        <v>0.75</v>
      </c>
      <c r="O12" t="n">
        <v>-0.25</v>
      </c>
      <c r="P12" t="n">
        <v>162</v>
      </c>
      <c r="Q12" t="n">
        <v>12</v>
      </c>
      <c r="R12" t="s">
        <v>298</v>
      </c>
      <c r="S12" t="s">
        <v>298</v>
      </c>
      <c r="T12" t="n">
        <v>0.625</v>
      </c>
    </row>
    <row r="13">
      <c r="A13" t="s">
        <v>30</v>
      </c>
      <c r="B13" t="n">
        <v>1</v>
      </c>
      <c r="C13" t="n">
        <v>1</v>
      </c>
      <c r="D13" t="n">
        <v>1</v>
      </c>
      <c r="E13" t="n">
        <v>-4.5</v>
      </c>
      <c r="F13" t="n">
        <v>-0.5</v>
      </c>
      <c r="G13" t="n">
        <v>22</v>
      </c>
      <c r="H13" t="n">
        <v>12</v>
      </c>
      <c r="I13" t="s">
        <v>297</v>
      </c>
      <c r="J13" t="n">
        <v>0</v>
      </c>
      <c r="K13" t="n">
        <v>0</v>
      </c>
      <c r="L13" t="n">
        <v>0</v>
      </c>
      <c r="M13" t="n">
        <v>12</v>
      </c>
      <c r="N13" t="n">
        <v>0.75</v>
      </c>
      <c r="O13" t="n">
        <v>-0.25</v>
      </c>
      <c r="P13" t="n">
        <v>48</v>
      </c>
      <c r="Q13" t="n">
        <v>12</v>
      </c>
      <c r="R13" t="s">
        <v>297</v>
      </c>
      <c r="S13" t="s">
        <v>297</v>
      </c>
      <c r="T13" t="n">
        <v>0.625</v>
      </c>
    </row>
    <row r="14">
      <c r="A14" t="s">
        <v>30</v>
      </c>
      <c r="B14" t="n">
        <v>1.25</v>
      </c>
      <c r="C14" t="n">
        <v>1.6</v>
      </c>
      <c r="D14" t="n">
        <v>1.6</v>
      </c>
      <c r="E14" t="n">
        <v>-1.25</v>
      </c>
      <c r="F14" t="n">
        <v>-0.25</v>
      </c>
      <c r="G14" t="n">
        <v>165</v>
      </c>
      <c r="H14" t="n">
        <v>12</v>
      </c>
      <c r="I14" t="s">
        <v>298</v>
      </c>
      <c r="J14" t="n">
        <v>0</v>
      </c>
      <c r="K14" t="n">
        <v>0</v>
      </c>
      <c r="L14" t="n">
        <v>0</v>
      </c>
      <c r="M14" t="n">
        <v>12</v>
      </c>
      <c r="N14" t="n">
        <v>0.25</v>
      </c>
      <c r="O14" t="n">
        <v>0</v>
      </c>
      <c r="P14" t="n">
        <v>114</v>
      </c>
      <c r="Q14" t="n">
        <v>12</v>
      </c>
      <c r="R14" t="s">
        <v>299</v>
      </c>
      <c r="S14" t="s">
        <v>299</v>
      </c>
      <c r="T14" t="n">
        <v>0.25</v>
      </c>
    </row>
    <row r="15">
      <c r="A15" t="s">
        <v>30</v>
      </c>
      <c r="B15" t="n">
        <v>1.25</v>
      </c>
      <c r="C15" t="n">
        <v>1</v>
      </c>
      <c r="D15" t="n">
        <v>1.25</v>
      </c>
      <c r="E15" t="n">
        <v>-5</v>
      </c>
      <c r="F15" t="n">
        <v>-0.75</v>
      </c>
      <c r="G15" t="n">
        <v>50</v>
      </c>
      <c r="H15" t="n">
        <v>12</v>
      </c>
      <c r="I15" t="s">
        <v>298</v>
      </c>
      <c r="J15" t="n">
        <v>0</v>
      </c>
      <c r="K15" t="n">
        <v>0</v>
      </c>
      <c r="L15" t="n">
        <v>0</v>
      </c>
      <c r="M15" t="n">
        <v>12</v>
      </c>
      <c r="N15" t="n">
        <v>0.25</v>
      </c>
      <c r="O15" t="n">
        <v>-0.5</v>
      </c>
      <c r="P15" t="n">
        <v>31</v>
      </c>
      <c r="Q15" t="n">
        <v>12</v>
      </c>
      <c r="R15" t="s">
        <v>298</v>
      </c>
      <c r="S15" t="s">
        <v>297</v>
      </c>
      <c r="T15" t="n">
        <v>0</v>
      </c>
    </row>
    <row r="16">
      <c r="A16" t="s">
        <v>30</v>
      </c>
      <c r="B16" t="n">
        <v>1</v>
      </c>
      <c r="C16" t="n">
        <v>1.25</v>
      </c>
      <c r="D16" t="n">
        <v>1.6</v>
      </c>
      <c r="E16" t="n">
        <v>-3</v>
      </c>
      <c r="F16" t="n">
        <v>-0.5</v>
      </c>
      <c r="G16" t="n">
        <v>85</v>
      </c>
      <c r="H16" t="n">
        <v>12</v>
      </c>
      <c r="I16" t="s">
        <v>297</v>
      </c>
      <c r="J16" t="n">
        <v>0</v>
      </c>
      <c r="K16" t="n">
        <v>0</v>
      </c>
      <c r="L16" t="n">
        <v>0</v>
      </c>
      <c r="M16" t="n">
        <v>12</v>
      </c>
      <c r="N16" t="n">
        <v>0.5</v>
      </c>
      <c r="O16" t="n">
        <v>0</v>
      </c>
      <c r="P16" t="n">
        <v>131</v>
      </c>
      <c r="Q16" t="n">
        <v>12</v>
      </c>
      <c r="R16" t="s">
        <v>299</v>
      </c>
      <c r="S16" t="s">
        <v>298</v>
      </c>
      <c r="T16" t="n">
        <v>0.5</v>
      </c>
    </row>
    <row r="17">
      <c r="A17" t="s">
        <v>30</v>
      </c>
      <c r="B17" t="n">
        <v>1</v>
      </c>
      <c r="C17" t="n">
        <v>1</v>
      </c>
      <c r="D17" t="n">
        <v>1</v>
      </c>
      <c r="E17" t="n">
        <v>-1.5</v>
      </c>
      <c r="F17" t="n">
        <v>-1.5</v>
      </c>
      <c r="G17" t="n">
        <v>57</v>
      </c>
      <c r="H17" t="n">
        <v>12</v>
      </c>
      <c r="I17" t="s">
        <v>297</v>
      </c>
      <c r="J17" t="n">
        <v>0</v>
      </c>
      <c r="K17" t="n">
        <v>0</v>
      </c>
      <c r="L17" t="n">
        <v>0</v>
      </c>
      <c r="M17" t="n">
        <v>12</v>
      </c>
      <c r="N17" t="n">
        <v>0.5</v>
      </c>
      <c r="O17" t="n">
        <v>0</v>
      </c>
      <c r="P17" t="n">
        <v>84</v>
      </c>
      <c r="Q17" t="n">
        <v>12</v>
      </c>
      <c r="R17" t="s">
        <v>297</v>
      </c>
      <c r="S17" t="s">
        <v>297</v>
      </c>
      <c r="T17" t="n">
        <v>0.5</v>
      </c>
    </row>
    <row r="18">
      <c r="A18" t="s">
        <v>30</v>
      </c>
      <c r="B18" t="n">
        <v>1</v>
      </c>
      <c r="C18" t="n">
        <v>1</v>
      </c>
      <c r="D18" t="n">
        <v>1</v>
      </c>
      <c r="E18" t="n">
        <v>-4</v>
      </c>
      <c r="F18" t="n">
        <v>-1</v>
      </c>
      <c r="G18" t="n">
        <v>128</v>
      </c>
      <c r="H18" t="n">
        <v>12</v>
      </c>
      <c r="I18" t="s">
        <v>297</v>
      </c>
      <c r="J18" t="n">
        <v>0</v>
      </c>
      <c r="K18" t="n">
        <v>0</v>
      </c>
      <c r="L18" t="n">
        <v>0</v>
      </c>
      <c r="M18" t="n">
        <v>12</v>
      </c>
      <c r="N18" t="n">
        <v>0</v>
      </c>
      <c r="O18" t="n">
        <v>0</v>
      </c>
      <c r="P18" t="n">
        <v>42</v>
      </c>
      <c r="Q18" t="n">
        <v>12</v>
      </c>
      <c r="R18" t="s">
        <v>297</v>
      </c>
      <c r="S18" t="s">
        <v>297</v>
      </c>
      <c r="T18" t="n">
        <v>0</v>
      </c>
    </row>
    <row r="19">
      <c r="A19" t="s">
        <v>30</v>
      </c>
      <c r="B19" t="n">
        <v>1.25</v>
      </c>
      <c r="C19" t="n">
        <v>1.25</v>
      </c>
      <c r="D19" t="n">
        <v>1.25</v>
      </c>
      <c r="E19" t="n">
        <v>-1</v>
      </c>
      <c r="F19" t="n">
        <v>-1.25</v>
      </c>
      <c r="G19" t="n">
        <v>15</v>
      </c>
      <c r="H19" t="n">
        <v>12</v>
      </c>
      <c r="I19" t="s">
        <v>298</v>
      </c>
      <c r="J19" t="n">
        <v>0</v>
      </c>
      <c r="K19" t="n">
        <v>0</v>
      </c>
      <c r="L19" t="n">
        <v>0</v>
      </c>
      <c r="M19" t="n">
        <v>12</v>
      </c>
      <c r="N19" t="n">
        <v>1</v>
      </c>
      <c r="O19" t="n">
        <v>-0.5</v>
      </c>
      <c r="P19" t="n">
        <v>37</v>
      </c>
      <c r="Q19" t="n">
        <v>12</v>
      </c>
      <c r="R19" t="s">
        <v>298</v>
      </c>
      <c r="S19" t="s">
        <v>298</v>
      </c>
      <c r="T19" t="n">
        <v>0.75</v>
      </c>
    </row>
    <row r="20">
      <c r="A20" t="s">
        <v>30</v>
      </c>
      <c r="B20" t="n">
        <v>1.25</v>
      </c>
      <c r="C20" t="n">
        <v>1.25</v>
      </c>
      <c r="D20" t="n">
        <v>1.25</v>
      </c>
      <c r="E20" t="n">
        <v>-1.5</v>
      </c>
      <c r="F20" t="n">
        <v>-0.5</v>
      </c>
      <c r="G20" t="n">
        <v>6</v>
      </c>
      <c r="H20" t="n">
        <v>12</v>
      </c>
      <c r="I20" t="s">
        <v>298</v>
      </c>
      <c r="J20" t="n">
        <v>0</v>
      </c>
      <c r="K20" t="n">
        <v>0</v>
      </c>
      <c r="L20" t="n">
        <v>0</v>
      </c>
      <c r="M20" t="n">
        <v>12</v>
      </c>
      <c r="N20" t="n">
        <v>0.25</v>
      </c>
      <c r="O20" t="n">
        <v>-0.25</v>
      </c>
      <c r="P20" t="n">
        <v>164</v>
      </c>
      <c r="Q20" t="n">
        <v>12</v>
      </c>
      <c r="R20" t="s">
        <v>298</v>
      </c>
      <c r="S20" t="s">
        <v>298</v>
      </c>
      <c r="T20" t="n">
        <v>0.125</v>
      </c>
    </row>
    <row r="21">
      <c r="A21" t="s">
        <v>30</v>
      </c>
      <c r="B21" t="n">
        <v>1.25</v>
      </c>
      <c r="C21" t="n">
        <v>1.25</v>
      </c>
      <c r="D21" t="n">
        <v>1.25</v>
      </c>
      <c r="E21" t="n">
        <v>-2.25</v>
      </c>
      <c r="F21" t="n">
        <v>-1.75</v>
      </c>
      <c r="G21" t="n">
        <v>23</v>
      </c>
      <c r="H21" t="n">
        <v>12</v>
      </c>
      <c r="I21" t="s">
        <v>298</v>
      </c>
      <c r="J21" t="n">
        <v>0</v>
      </c>
      <c r="K21" t="n">
        <v>0</v>
      </c>
      <c r="L21" t="n">
        <v>0</v>
      </c>
      <c r="M21" t="n">
        <v>12</v>
      </c>
      <c r="N21" t="n">
        <v>0.5</v>
      </c>
      <c r="O21" t="n">
        <v>-0.5</v>
      </c>
      <c r="P21" t="n">
        <v>172</v>
      </c>
      <c r="Q21" t="n">
        <v>12</v>
      </c>
      <c r="R21" t="s">
        <v>298</v>
      </c>
      <c r="S21" t="s">
        <v>298</v>
      </c>
      <c r="T21" t="n">
        <v>0.25</v>
      </c>
    </row>
    <row r="22">
      <c r="A22" t="s">
        <v>30</v>
      </c>
      <c r="B22" t="n">
        <v>1</v>
      </c>
      <c r="C22" t="n">
        <v>1.25</v>
      </c>
      <c r="D22" t="n">
        <v>1.25</v>
      </c>
      <c r="E22" t="n">
        <v>-4</v>
      </c>
      <c r="F22" t="n">
        <v>-0.75</v>
      </c>
      <c r="G22" t="n">
        <v>149</v>
      </c>
      <c r="H22" t="n">
        <v>12</v>
      </c>
      <c r="I22" t="s">
        <v>297</v>
      </c>
      <c r="J22" t="n">
        <v>0</v>
      </c>
      <c r="K22" t="n">
        <v>0</v>
      </c>
      <c r="L22" t="n">
        <v>0</v>
      </c>
      <c r="M22" t="n">
        <v>12</v>
      </c>
      <c r="N22" t="n">
        <v>0</v>
      </c>
      <c r="O22" t="n">
        <v>-0.25</v>
      </c>
      <c r="P22" t="n">
        <v>117</v>
      </c>
      <c r="Q22" t="n">
        <v>12</v>
      </c>
      <c r="R22" t="s">
        <v>298</v>
      </c>
      <c r="S22" t="s">
        <v>298</v>
      </c>
      <c r="T22" t="n">
        <v>-0.125</v>
      </c>
    </row>
    <row r="23">
      <c r="A23" t="s">
        <v>30</v>
      </c>
      <c r="B23" t="n">
        <v>1.25</v>
      </c>
      <c r="C23" t="n">
        <v>1.25</v>
      </c>
      <c r="D23" t="n">
        <v>1.25</v>
      </c>
      <c r="E23" t="n">
        <v>-2</v>
      </c>
      <c r="F23" t="n">
        <v>-1.75</v>
      </c>
      <c r="G23" t="n">
        <v>108</v>
      </c>
      <c r="H23" t="n">
        <v>12</v>
      </c>
      <c r="I23" t="s">
        <v>298</v>
      </c>
      <c r="J23" t="n">
        <v>0</v>
      </c>
      <c r="K23" t="n">
        <v>0</v>
      </c>
      <c r="L23" t="n">
        <v>0</v>
      </c>
      <c r="M23" t="n">
        <v>12</v>
      </c>
      <c r="N23" t="n">
        <v>0.5</v>
      </c>
      <c r="O23" t="n">
        <v>-0.25</v>
      </c>
      <c r="P23" t="n">
        <v>15</v>
      </c>
      <c r="Q23" t="n">
        <v>12</v>
      </c>
      <c r="R23" t="s">
        <v>298</v>
      </c>
      <c r="S23" t="s">
        <v>298</v>
      </c>
      <c r="T23" t="n">
        <v>0.375</v>
      </c>
    </row>
    <row r="24">
      <c r="A24" t="s">
        <v>30</v>
      </c>
      <c r="B24" t="n">
        <v>1.25</v>
      </c>
      <c r="C24" t="n">
        <v>1.6</v>
      </c>
      <c r="D24" t="n">
        <v>1.6</v>
      </c>
      <c r="E24" t="n">
        <v>-1.25</v>
      </c>
      <c r="F24" t="n">
        <v>-1</v>
      </c>
      <c r="G24" t="n">
        <v>67</v>
      </c>
      <c r="H24" t="n">
        <v>12</v>
      </c>
      <c r="I24" t="s">
        <v>298</v>
      </c>
      <c r="J24" t="n">
        <v>0</v>
      </c>
      <c r="K24" t="n">
        <v>0</v>
      </c>
      <c r="L24" t="n">
        <v>0</v>
      </c>
      <c r="M24" t="n">
        <v>12</v>
      </c>
      <c r="N24" t="n">
        <v>0.75</v>
      </c>
      <c r="O24" t="n">
        <v>-0.25</v>
      </c>
      <c r="P24" t="n">
        <v>161</v>
      </c>
      <c r="Q24" t="n">
        <v>12</v>
      </c>
      <c r="R24" t="s">
        <v>299</v>
      </c>
      <c r="S24" t="s">
        <v>299</v>
      </c>
      <c r="T24" t="n">
        <v>0.625</v>
      </c>
    </row>
    <row r="25">
      <c r="A25" t="s">
        <v>30</v>
      </c>
      <c r="B25" t="n">
        <v>1</v>
      </c>
      <c r="C25" t="n">
        <v>1</v>
      </c>
      <c r="D25" t="n">
        <v>1</v>
      </c>
      <c r="E25" t="n">
        <v>-2</v>
      </c>
      <c r="F25" t="n">
        <v>-1</v>
      </c>
      <c r="G25" t="n">
        <v>109</v>
      </c>
      <c r="H25" t="n">
        <v>12</v>
      </c>
      <c r="I25" t="s">
        <v>297</v>
      </c>
      <c r="J25" t="n">
        <v>0</v>
      </c>
      <c r="K25" t="n">
        <v>0</v>
      </c>
      <c r="L25" t="n">
        <v>0</v>
      </c>
      <c r="M25" t="n">
        <v>12</v>
      </c>
      <c r="N25" t="n">
        <v>0.25</v>
      </c>
      <c r="O25" t="n">
        <v>0</v>
      </c>
      <c r="P25" t="n">
        <v>159</v>
      </c>
      <c r="Q25" t="n">
        <v>12</v>
      </c>
      <c r="R25" t="s">
        <v>297</v>
      </c>
      <c r="S25" t="s">
        <v>297</v>
      </c>
      <c r="T25" t="n">
        <v>0.25</v>
      </c>
    </row>
    <row r="26">
      <c r="A26" t="s">
        <v>30</v>
      </c>
      <c r="B26" t="n">
        <v>1</v>
      </c>
      <c r="C26" t="n">
        <v>1</v>
      </c>
      <c r="D26" t="n">
        <v>1</v>
      </c>
      <c r="E26" t="n">
        <v>-5.5</v>
      </c>
      <c r="F26" t="n">
        <v>-0.25</v>
      </c>
      <c r="G26" t="n">
        <v>14</v>
      </c>
      <c r="H26" t="n">
        <v>12</v>
      </c>
      <c r="I26" t="s">
        <v>297</v>
      </c>
      <c r="J26" t="n">
        <v>0</v>
      </c>
      <c r="K26" t="n">
        <v>0</v>
      </c>
      <c r="L26" t="n">
        <v>0</v>
      </c>
      <c r="M26" t="n">
        <v>12</v>
      </c>
      <c r="N26" t="n">
        <v>-0.25</v>
      </c>
      <c r="O26" t="n">
        <v>-0.25</v>
      </c>
      <c r="P26" t="n">
        <v>84</v>
      </c>
      <c r="Q26" t="n">
        <v>12</v>
      </c>
      <c r="R26" t="s">
        <v>297</v>
      </c>
      <c r="S26" t="s">
        <v>297</v>
      </c>
      <c r="T26" t="n">
        <v>-0.375</v>
      </c>
    </row>
    <row r="27">
      <c r="A27" t="s">
        <v>30</v>
      </c>
      <c r="B27" t="n">
        <v>1</v>
      </c>
      <c r="C27"/>
      <c r="D27"/>
      <c r="E27" t="n">
        <v>-4</v>
      </c>
      <c r="F27" t="n">
        <v>-0.5</v>
      </c>
      <c r="G27" t="n">
        <v>179</v>
      </c>
      <c r="H27" t="n">
        <v>12</v>
      </c>
      <c r="I27" t="s">
        <v>297</v>
      </c>
      <c r="J27" t="n">
        <v>0</v>
      </c>
      <c r="K27" t="n">
        <v>0</v>
      </c>
      <c r="L27" t="n">
        <v>0</v>
      </c>
      <c r="M27" t="n">
        <v>12</v>
      </c>
      <c r="N27"/>
      <c r="O27"/>
      <c r="P27"/>
      <c r="Q27" t="n">
        <v>12</v>
      </c>
      <c r="R27" t="s">
        <v>109</v>
      </c>
      <c r="S27" t="s">
        <v>109</v>
      </c>
      <c r="T27"/>
    </row>
    <row r="28">
      <c r="A28" t="s">
        <v>30</v>
      </c>
      <c r="B28" t="n">
        <v>1</v>
      </c>
      <c r="C28"/>
      <c r="D28"/>
      <c r="E28" t="n">
        <v>-4.5</v>
      </c>
      <c r="F28" t="n">
        <v>-0.5</v>
      </c>
      <c r="G28" t="n">
        <v>176</v>
      </c>
      <c r="H28" t="n">
        <v>12</v>
      </c>
      <c r="I28" t="s">
        <v>297</v>
      </c>
      <c r="J28" t="n">
        <v>0</v>
      </c>
      <c r="K28" t="n">
        <v>0</v>
      </c>
      <c r="L28" t="n">
        <v>0</v>
      </c>
      <c r="M28" t="n">
        <v>12</v>
      </c>
      <c r="N28"/>
      <c r="O28"/>
      <c r="P28"/>
      <c r="Q28" t="n">
        <v>12</v>
      </c>
      <c r="R28" t="s">
        <v>109</v>
      </c>
      <c r="S28" t="s">
        <v>109</v>
      </c>
      <c r="T28"/>
    </row>
    <row r="29">
      <c r="A29" t="s">
        <v>30</v>
      </c>
      <c r="B29" t="n">
        <v>1.25</v>
      </c>
      <c r="C29" t="n">
        <v>1.6</v>
      </c>
      <c r="D29" t="n">
        <v>1.6</v>
      </c>
      <c r="E29" t="n">
        <v>-2</v>
      </c>
      <c r="F29" t="n">
        <v>-1.25</v>
      </c>
      <c r="G29" t="n">
        <v>2</v>
      </c>
      <c r="H29" t="n">
        <v>12</v>
      </c>
      <c r="I29" t="s">
        <v>298</v>
      </c>
      <c r="J29" t="n">
        <v>0</v>
      </c>
      <c r="K29" t="n">
        <v>0</v>
      </c>
      <c r="L29" t="n">
        <v>0</v>
      </c>
      <c r="M29" t="n">
        <v>12</v>
      </c>
      <c r="N29" t="n">
        <v>0.25</v>
      </c>
      <c r="O29" t="n">
        <v>-0.25</v>
      </c>
      <c r="P29" t="n">
        <v>157</v>
      </c>
      <c r="Q29" t="n">
        <v>12</v>
      </c>
      <c r="R29" t="s">
        <v>299</v>
      </c>
      <c r="S29" t="s">
        <v>299</v>
      </c>
      <c r="T29" t="n">
        <v>0.125</v>
      </c>
    </row>
    <row r="30">
      <c r="A30" t="s">
        <v>30</v>
      </c>
      <c r="B30" t="n">
        <v>1</v>
      </c>
      <c r="C30" t="n">
        <v>1</v>
      </c>
      <c r="D30" t="n">
        <v>1</v>
      </c>
      <c r="E30" t="n">
        <v>-1.75</v>
      </c>
      <c r="F30" t="n">
        <v>-1.5</v>
      </c>
      <c r="G30" t="n">
        <v>176</v>
      </c>
      <c r="H30" t="n">
        <v>12</v>
      </c>
      <c r="I30" t="s">
        <v>297</v>
      </c>
      <c r="J30" t="n">
        <v>0</v>
      </c>
      <c r="K30" t="n">
        <v>0</v>
      </c>
      <c r="L30" t="n">
        <v>0</v>
      </c>
      <c r="M30" t="n">
        <v>12</v>
      </c>
      <c r="N30" t="n">
        <v>0.5</v>
      </c>
      <c r="O30" t="n">
        <v>-0.25</v>
      </c>
      <c r="P30" t="n">
        <v>20</v>
      </c>
      <c r="Q30" t="n">
        <v>12</v>
      </c>
      <c r="R30" t="s">
        <v>297</v>
      </c>
      <c r="S30" t="s">
        <v>297</v>
      </c>
      <c r="T30" t="n">
        <v>0.375</v>
      </c>
    </row>
    <row r="31">
      <c r="A31" t="s">
        <v>30</v>
      </c>
      <c r="B31" t="n">
        <v>1</v>
      </c>
      <c r="C31" t="n">
        <v>1</v>
      </c>
      <c r="D31" t="n">
        <v>1</v>
      </c>
      <c r="E31" t="n">
        <v>-1.5</v>
      </c>
      <c r="F31" t="n">
        <v>-1</v>
      </c>
      <c r="G31" t="n">
        <v>21</v>
      </c>
      <c r="H31" t="n">
        <v>12</v>
      </c>
      <c r="I31" t="s">
        <v>297</v>
      </c>
      <c r="J31" t="n">
        <v>0</v>
      </c>
      <c r="K31" t="n">
        <v>0</v>
      </c>
      <c r="L31" t="n">
        <v>0</v>
      </c>
      <c r="M31" t="n">
        <v>12</v>
      </c>
      <c r="N31" t="n">
        <v>0</v>
      </c>
      <c r="O31" t="n">
        <v>-0.25</v>
      </c>
      <c r="P31" t="n">
        <v>52</v>
      </c>
      <c r="Q31" t="n">
        <v>12</v>
      </c>
      <c r="R31" t="s">
        <v>297</v>
      </c>
      <c r="S31" t="s">
        <v>297</v>
      </c>
      <c r="T31" t="n">
        <v>-0.125</v>
      </c>
    </row>
    <row r="32">
      <c r="A32" t="s">
        <v>30</v>
      </c>
      <c r="B32" t="n">
        <v>1.25</v>
      </c>
      <c r="C32" t="n">
        <v>1.6</v>
      </c>
      <c r="D32" t="n">
        <v>1.6</v>
      </c>
      <c r="E32" t="n">
        <v>-2.5</v>
      </c>
      <c r="F32" t="n">
        <v>-1</v>
      </c>
      <c r="G32" t="n">
        <v>167</v>
      </c>
      <c r="H32" t="n">
        <v>12</v>
      </c>
      <c r="I32" t="s">
        <v>298</v>
      </c>
      <c r="J32" t="n">
        <v>0</v>
      </c>
      <c r="K32" t="n">
        <v>0</v>
      </c>
      <c r="L32" t="n">
        <v>0</v>
      </c>
      <c r="M32" t="n">
        <v>12</v>
      </c>
      <c r="N32" t="n">
        <v>0.25</v>
      </c>
      <c r="O32" t="n">
        <v>-0.25</v>
      </c>
      <c r="P32" t="n">
        <v>142</v>
      </c>
      <c r="Q32" t="n">
        <v>12</v>
      </c>
      <c r="R32" t="s">
        <v>299</v>
      </c>
      <c r="S32" t="s">
        <v>299</v>
      </c>
      <c r="T32" t="n">
        <v>0.125</v>
      </c>
    </row>
    <row r="33">
      <c r="A33" t="s">
        <v>30</v>
      </c>
      <c r="B33" t="n">
        <v>0.8</v>
      </c>
      <c r="C33"/>
      <c r="D33"/>
      <c r="E33" t="n">
        <v>-6</v>
      </c>
      <c r="F33" t="n">
        <v>-0.75</v>
      </c>
      <c r="G33" t="n">
        <v>116</v>
      </c>
      <c r="H33" t="n">
        <v>12</v>
      </c>
      <c r="I33" t="s">
        <v>296</v>
      </c>
      <c r="J33" t="n">
        <v>0</v>
      </c>
      <c r="K33" t="n">
        <v>0</v>
      </c>
      <c r="L33" t="n">
        <v>0</v>
      </c>
      <c r="M33" t="n">
        <v>12</v>
      </c>
      <c r="N33"/>
      <c r="O33"/>
      <c r="P33"/>
      <c r="Q33" t="n">
        <v>12</v>
      </c>
      <c r="R33" t="s">
        <v>109</v>
      </c>
      <c r="S33" t="s">
        <v>109</v>
      </c>
      <c r="T33"/>
    </row>
    <row r="34">
      <c r="A34" t="s">
        <v>30</v>
      </c>
      <c r="B34" t="n">
        <v>1</v>
      </c>
      <c r="C34"/>
      <c r="D34"/>
      <c r="E34" t="n">
        <v>-4</v>
      </c>
      <c r="F34" t="n">
        <v>-1</v>
      </c>
      <c r="G34" t="n">
        <v>59</v>
      </c>
      <c r="H34" t="n">
        <v>12</v>
      </c>
      <c r="I34" t="s">
        <v>297</v>
      </c>
      <c r="J34" t="n">
        <v>0</v>
      </c>
      <c r="K34" t="n">
        <v>0</v>
      </c>
      <c r="L34" t="n">
        <v>0</v>
      </c>
      <c r="M34" t="n">
        <v>12</v>
      </c>
      <c r="N34"/>
      <c r="O34"/>
      <c r="P34"/>
      <c r="Q34" t="n">
        <v>12</v>
      </c>
      <c r="R34" t="s">
        <v>109</v>
      </c>
      <c r="S34" t="s">
        <v>109</v>
      </c>
      <c r="T34"/>
    </row>
    <row r="35">
      <c r="A35" t="s">
        <v>30</v>
      </c>
      <c r="B35" t="n">
        <v>1</v>
      </c>
      <c r="C35" t="n">
        <v>1.25</v>
      </c>
      <c r="D35" t="n">
        <v>1.25</v>
      </c>
      <c r="E35" t="n">
        <v>-3</v>
      </c>
      <c r="F35" t="n">
        <v>-1</v>
      </c>
      <c r="G35" t="n">
        <v>101</v>
      </c>
      <c r="H35" t="n">
        <v>12</v>
      </c>
      <c r="I35" t="s">
        <v>297</v>
      </c>
      <c r="J35" t="n">
        <v>0</v>
      </c>
      <c r="K35" t="n">
        <v>0</v>
      </c>
      <c r="L35" t="n">
        <v>0</v>
      </c>
      <c r="M35" t="n">
        <v>12</v>
      </c>
      <c r="N35" t="n">
        <v>0</v>
      </c>
      <c r="O35" t="n">
        <v>0</v>
      </c>
      <c r="P35" t="n">
        <v>58</v>
      </c>
      <c r="Q35" t="n">
        <v>12</v>
      </c>
      <c r="R35" t="s">
        <v>298</v>
      </c>
      <c r="S35" t="s">
        <v>298</v>
      </c>
      <c r="T35" t="n">
        <v>0</v>
      </c>
    </row>
    <row r="36">
      <c r="A36" t="s">
        <v>30</v>
      </c>
      <c r="B36" t="n">
        <v>1.25</v>
      </c>
      <c r="C36"/>
      <c r="D36" t="n">
        <v>1.6</v>
      </c>
      <c r="E36" t="n">
        <v>-2.75</v>
      </c>
      <c r="F36" t="n">
        <v>-1</v>
      </c>
      <c r="G36" t="n">
        <v>83</v>
      </c>
      <c r="H36" t="n">
        <v>12</v>
      </c>
      <c r="I36" t="s">
        <v>298</v>
      </c>
      <c r="J36" t="n">
        <v>0</v>
      </c>
      <c r="K36" t="n">
        <v>0</v>
      </c>
      <c r="L36" t="n">
        <v>0</v>
      </c>
      <c r="M36" t="n">
        <v>12</v>
      </c>
      <c r="N36" t="n">
        <v>0.25</v>
      </c>
      <c r="O36" t="n">
        <v>-0.25</v>
      </c>
      <c r="P36" t="n">
        <v>165</v>
      </c>
      <c r="Q36" t="n">
        <v>12</v>
      </c>
      <c r="R36" t="s">
        <v>299</v>
      </c>
      <c r="S36" t="s">
        <v>109</v>
      </c>
      <c r="T36" t="n">
        <v>0.125</v>
      </c>
    </row>
    <row r="37">
      <c r="A37" t="s">
        <v>30</v>
      </c>
      <c r="B37" t="n">
        <v>1.25</v>
      </c>
      <c r="C37" t="n">
        <v>1.25</v>
      </c>
      <c r="D37" t="n">
        <v>1.25</v>
      </c>
      <c r="E37" t="n">
        <v>-2.25</v>
      </c>
      <c r="F37" t="n">
        <v>-1</v>
      </c>
      <c r="G37" t="n">
        <v>170</v>
      </c>
      <c r="H37" t="n">
        <v>12</v>
      </c>
      <c r="I37" t="s">
        <v>298</v>
      </c>
      <c r="J37" t="n">
        <v>0</v>
      </c>
      <c r="K37" t="n">
        <v>0</v>
      </c>
      <c r="L37" t="n">
        <v>0</v>
      </c>
      <c r="M37" t="n">
        <v>12</v>
      </c>
      <c r="N37" t="n">
        <v>0.25</v>
      </c>
      <c r="O37" t="n">
        <v>-0.25</v>
      </c>
      <c r="P37" t="n">
        <v>70</v>
      </c>
      <c r="Q37" t="n">
        <v>12</v>
      </c>
      <c r="R37" t="s">
        <v>298</v>
      </c>
      <c r="S37" t="s">
        <v>298</v>
      </c>
      <c r="T37" t="n">
        <v>0.125</v>
      </c>
    </row>
    <row r="38">
      <c r="A38" t="s">
        <v>30</v>
      </c>
      <c r="B38" t="n">
        <v>1</v>
      </c>
      <c r="C38" t="n">
        <v>1</v>
      </c>
      <c r="D38" t="n">
        <v>1</v>
      </c>
      <c r="E38" t="n">
        <v>-2</v>
      </c>
      <c r="F38" t="n">
        <v>-1.25</v>
      </c>
      <c r="G38" t="n">
        <v>170</v>
      </c>
      <c r="H38" t="n">
        <v>12</v>
      </c>
      <c r="I38" t="s">
        <v>297</v>
      </c>
      <c r="J38" t="n">
        <v>0</v>
      </c>
      <c r="K38" t="n">
        <v>0</v>
      </c>
      <c r="L38" t="n">
        <v>0</v>
      </c>
      <c r="M38" t="n">
        <v>12</v>
      </c>
      <c r="N38" t="n">
        <v>0.25</v>
      </c>
      <c r="O38" t="n">
        <v>-0.25</v>
      </c>
      <c r="P38" t="n">
        <v>108</v>
      </c>
      <c r="Q38" t="n">
        <v>12</v>
      </c>
      <c r="R38" t="s">
        <v>297</v>
      </c>
      <c r="S38" t="s">
        <v>297</v>
      </c>
      <c r="T38" t="n">
        <v>0.125</v>
      </c>
    </row>
    <row r="39">
      <c r="A39" t="s">
        <v>30</v>
      </c>
      <c r="B39" t="n">
        <v>1</v>
      </c>
      <c r="C39" t="n">
        <v>1</v>
      </c>
      <c r="D39" t="n">
        <v>1</v>
      </c>
      <c r="E39" t="n">
        <v>-3.75</v>
      </c>
      <c r="F39" t="n">
        <v>-1.5</v>
      </c>
      <c r="G39" t="n">
        <v>160</v>
      </c>
      <c r="H39" t="n">
        <v>12</v>
      </c>
      <c r="I39" t="s">
        <v>297</v>
      </c>
      <c r="J39" t="n">
        <v>0</v>
      </c>
      <c r="K39" t="n">
        <v>0</v>
      </c>
      <c r="L39" t="n">
        <v>0</v>
      </c>
      <c r="M39" t="n">
        <v>12</v>
      </c>
      <c r="N39" t="n">
        <v>0.75</v>
      </c>
      <c r="O39" t="n">
        <v>-0.5</v>
      </c>
      <c r="P39" t="n">
        <v>106</v>
      </c>
      <c r="Q39" t="n">
        <v>12</v>
      </c>
      <c r="R39" t="s">
        <v>297</v>
      </c>
      <c r="S39" t="s">
        <v>297</v>
      </c>
      <c r="T39" t="n">
        <v>0.5</v>
      </c>
    </row>
    <row r="40">
      <c r="A40" t="s">
        <v>30</v>
      </c>
      <c r="B40" t="n">
        <v>1.25</v>
      </c>
      <c r="C40" t="n">
        <v>1.6</v>
      </c>
      <c r="D40" t="n">
        <v>1.6</v>
      </c>
      <c r="E40" t="n">
        <v>-4</v>
      </c>
      <c r="F40" t="n">
        <v>-0.5</v>
      </c>
      <c r="G40" t="n">
        <v>11</v>
      </c>
      <c r="H40" t="n">
        <v>12</v>
      </c>
      <c r="I40" t="s">
        <v>298</v>
      </c>
      <c r="J40" t="n">
        <v>0</v>
      </c>
      <c r="K40" t="n">
        <v>0</v>
      </c>
      <c r="L40" t="n">
        <v>0</v>
      </c>
      <c r="M40" t="n">
        <v>12</v>
      </c>
      <c r="N40" t="n">
        <v>0</v>
      </c>
      <c r="O40" t="n">
        <v>0</v>
      </c>
      <c r="P40" t="n">
        <v>111</v>
      </c>
      <c r="Q40" t="n">
        <v>12</v>
      </c>
      <c r="R40" t="s">
        <v>299</v>
      </c>
      <c r="S40" t="s">
        <v>299</v>
      </c>
      <c r="T40" t="n">
        <v>0</v>
      </c>
    </row>
    <row r="41">
      <c r="A41" t="s">
        <v>30</v>
      </c>
      <c r="B41" t="n">
        <v>1.25</v>
      </c>
      <c r="C41" t="n">
        <v>1.25</v>
      </c>
      <c r="D41" t="n">
        <v>1.25</v>
      </c>
      <c r="E41" t="n">
        <v>-3.25</v>
      </c>
      <c r="F41" t="n">
        <v>-0.75</v>
      </c>
      <c r="G41" t="n">
        <v>19</v>
      </c>
      <c r="H41" t="n">
        <v>12</v>
      </c>
      <c r="I41" t="s">
        <v>298</v>
      </c>
      <c r="J41" t="n">
        <v>0</v>
      </c>
      <c r="K41" t="n">
        <v>0</v>
      </c>
      <c r="L41" t="n">
        <v>0</v>
      </c>
      <c r="M41" t="n">
        <v>12</v>
      </c>
      <c r="N41" t="n">
        <v>0.5</v>
      </c>
      <c r="O41" t="n">
        <v>-0.5</v>
      </c>
      <c r="P41" t="n">
        <v>43</v>
      </c>
      <c r="Q41" t="n">
        <v>12</v>
      </c>
      <c r="R41" t="s">
        <v>298</v>
      </c>
      <c r="S41" t="s">
        <v>298</v>
      </c>
      <c r="T41" t="n">
        <v>0.25</v>
      </c>
    </row>
    <row r="42">
      <c r="A42" t="s">
        <v>30</v>
      </c>
      <c r="B42" t="n">
        <v>1</v>
      </c>
      <c r="C42" t="n">
        <v>1</v>
      </c>
      <c r="D42" t="n">
        <v>1</v>
      </c>
      <c r="E42" t="n">
        <v>-4.75</v>
      </c>
      <c r="F42" t="n">
        <v>-0.5</v>
      </c>
      <c r="G42" t="n">
        <v>150</v>
      </c>
      <c r="H42" t="n">
        <v>12</v>
      </c>
      <c r="I42" t="s">
        <v>297</v>
      </c>
      <c r="J42" t="n">
        <v>0</v>
      </c>
      <c r="K42" t="n">
        <v>0</v>
      </c>
      <c r="L42" t="n">
        <v>0</v>
      </c>
      <c r="M42" t="n">
        <v>12</v>
      </c>
      <c r="N42" t="n">
        <v>0.5</v>
      </c>
      <c r="O42" t="n">
        <v>-0.25</v>
      </c>
      <c r="P42" t="n">
        <v>148</v>
      </c>
      <c r="Q42" t="n">
        <v>12</v>
      </c>
      <c r="R42" t="s">
        <v>297</v>
      </c>
      <c r="S42" t="s">
        <v>297</v>
      </c>
      <c r="T42" t="n">
        <v>0.375</v>
      </c>
    </row>
    <row r="43">
      <c r="A43" t="s">
        <v>30</v>
      </c>
      <c r="B43" t="n">
        <v>1</v>
      </c>
      <c r="C43" t="n">
        <v>1</v>
      </c>
      <c r="D43" t="n">
        <v>1</v>
      </c>
      <c r="E43" t="n">
        <v>-4</v>
      </c>
      <c r="F43" t="n">
        <v>-2.5</v>
      </c>
      <c r="G43" t="n">
        <v>173</v>
      </c>
      <c r="H43" t="n">
        <v>12</v>
      </c>
      <c r="I43" t="s">
        <v>297</v>
      </c>
      <c r="J43" t="n">
        <v>0</v>
      </c>
      <c r="K43" t="n">
        <v>0</v>
      </c>
      <c r="L43" t="n">
        <v>0</v>
      </c>
      <c r="M43" t="n">
        <v>12</v>
      </c>
      <c r="N43" t="n">
        <v>0</v>
      </c>
      <c r="O43" t="n">
        <v>-0.25</v>
      </c>
      <c r="P43" t="n">
        <v>156</v>
      </c>
      <c r="Q43" t="n">
        <v>12</v>
      </c>
      <c r="R43" t="s">
        <v>297</v>
      </c>
      <c r="S43" t="s">
        <v>297</v>
      </c>
      <c r="T43" t="n">
        <v>-0.125</v>
      </c>
    </row>
    <row r="44">
      <c r="A44" t="s">
        <v>30</v>
      </c>
      <c r="B44" t="n">
        <v>1.25</v>
      </c>
      <c r="C44" t="n">
        <v>1</v>
      </c>
      <c r="D44" t="n">
        <v>1</v>
      </c>
      <c r="E44" t="n">
        <v>-3.75</v>
      </c>
      <c r="F44" t="n">
        <v>-1.5</v>
      </c>
      <c r="G44" t="n">
        <v>4</v>
      </c>
      <c r="H44" t="n">
        <v>12</v>
      </c>
      <c r="I44" t="s">
        <v>298</v>
      </c>
      <c r="J44" t="n">
        <v>0</v>
      </c>
      <c r="K44" t="n">
        <v>0</v>
      </c>
      <c r="L44" t="n">
        <v>0</v>
      </c>
      <c r="M44" t="n">
        <v>12</v>
      </c>
      <c r="N44" t="n">
        <v>-0.25</v>
      </c>
      <c r="O44" t="n">
        <v>0</v>
      </c>
      <c r="P44" t="n">
        <v>178</v>
      </c>
      <c r="Q44" t="n">
        <v>12</v>
      </c>
      <c r="R44" t="s">
        <v>297</v>
      </c>
      <c r="S44" t="s">
        <v>297</v>
      </c>
      <c r="T44" t="n">
        <v>-0.25</v>
      </c>
    </row>
    <row r="45">
      <c r="A45" t="s">
        <v>30</v>
      </c>
      <c r="B45" t="n">
        <v>0.8</v>
      </c>
      <c r="C45" t="n">
        <v>0.8</v>
      </c>
      <c r="D45" t="n">
        <v>0.8</v>
      </c>
      <c r="E45" t="n">
        <v>-8</v>
      </c>
      <c r="F45" t="n">
        <v>-1.25</v>
      </c>
      <c r="G45" t="n">
        <v>44</v>
      </c>
      <c r="H45" t="n">
        <v>12</v>
      </c>
      <c r="I45" t="s">
        <v>296</v>
      </c>
      <c r="J45" t="n">
        <v>0</v>
      </c>
      <c r="K45" t="n">
        <v>0</v>
      </c>
      <c r="L45" t="n">
        <v>0</v>
      </c>
      <c r="M45" t="n">
        <v>12</v>
      </c>
      <c r="N45" t="n">
        <v>0.75</v>
      </c>
      <c r="O45" t="n">
        <v>-0.5</v>
      </c>
      <c r="P45" t="n">
        <v>4</v>
      </c>
      <c r="Q45" t="n">
        <v>12</v>
      </c>
      <c r="R45" t="s">
        <v>296</v>
      </c>
      <c r="S45" t="s">
        <v>296</v>
      </c>
      <c r="T45" t="n">
        <v>0.5</v>
      </c>
    </row>
    <row r="46">
      <c r="A46" t="s">
        <v>30</v>
      </c>
      <c r="B46" t="n">
        <v>0.8</v>
      </c>
      <c r="C46" t="n">
        <v>0.8</v>
      </c>
      <c r="D46" t="n">
        <v>0.8</v>
      </c>
      <c r="E46" t="n">
        <v>-7.5</v>
      </c>
      <c r="F46" t="n">
        <v>-0.5</v>
      </c>
      <c r="G46" t="n">
        <v>142</v>
      </c>
      <c r="H46" t="n">
        <v>12</v>
      </c>
      <c r="I46" t="s">
        <v>296</v>
      </c>
      <c r="J46" t="n">
        <v>0</v>
      </c>
      <c r="K46" t="n">
        <v>0</v>
      </c>
      <c r="L46" t="n">
        <v>0</v>
      </c>
      <c r="M46" t="n">
        <v>12</v>
      </c>
      <c r="N46" t="n">
        <v>0</v>
      </c>
      <c r="O46" t="n">
        <v>-0.25</v>
      </c>
      <c r="P46" t="n">
        <v>175</v>
      </c>
      <c r="Q46" t="n">
        <v>12</v>
      </c>
      <c r="R46" t="s">
        <v>296</v>
      </c>
      <c r="S46" t="s">
        <v>296</v>
      </c>
      <c r="T46" t="n">
        <v>-0.125</v>
      </c>
    </row>
    <row r="47">
      <c r="A47" t="s">
        <v>30</v>
      </c>
      <c r="B47" t="n">
        <v>1.25</v>
      </c>
      <c r="C47" t="n">
        <v>1</v>
      </c>
      <c r="D47" t="n">
        <v>1.25</v>
      </c>
      <c r="E47" t="n">
        <v>-1.5</v>
      </c>
      <c r="F47" t="n">
        <v>-0.5</v>
      </c>
      <c r="G47" t="n">
        <v>122</v>
      </c>
      <c r="H47" t="n">
        <v>12</v>
      </c>
      <c r="I47" t="s">
        <v>298</v>
      </c>
      <c r="J47" t="n">
        <v>0</v>
      </c>
      <c r="K47" t="n">
        <v>0</v>
      </c>
      <c r="L47" t="n">
        <v>0</v>
      </c>
      <c r="M47" t="n">
        <v>12</v>
      </c>
      <c r="N47" t="n">
        <v>0.5</v>
      </c>
      <c r="O47" t="n">
        <v>-0.25</v>
      </c>
      <c r="P47" t="n">
        <v>85</v>
      </c>
      <c r="Q47" t="n">
        <v>12</v>
      </c>
      <c r="R47" t="s">
        <v>298</v>
      </c>
      <c r="S47" t="s">
        <v>297</v>
      </c>
      <c r="T47" t="n">
        <v>0.375</v>
      </c>
    </row>
    <row r="48">
      <c r="A48" t="s">
        <v>30</v>
      </c>
      <c r="B48" t="n">
        <v>1</v>
      </c>
      <c r="C48" t="n">
        <v>1</v>
      </c>
      <c r="D48" t="n">
        <v>1.25</v>
      </c>
      <c r="E48" t="n">
        <v>-0.75</v>
      </c>
      <c r="F48" t="n">
        <v>-0.5</v>
      </c>
      <c r="G48" t="n">
        <v>11</v>
      </c>
      <c r="H48" t="n">
        <v>12</v>
      </c>
      <c r="I48" t="s">
        <v>297</v>
      </c>
      <c r="J48" t="n">
        <v>0</v>
      </c>
      <c r="K48" t="n">
        <v>0</v>
      </c>
      <c r="L48" t="n">
        <v>0</v>
      </c>
      <c r="M48" t="n">
        <v>12</v>
      </c>
      <c r="N48" t="n">
        <v>0.25</v>
      </c>
      <c r="O48" t="n">
        <v>-0.25</v>
      </c>
      <c r="P48" t="n">
        <v>120</v>
      </c>
      <c r="Q48" t="n">
        <v>12</v>
      </c>
      <c r="R48" t="s">
        <v>298</v>
      </c>
      <c r="S48" t="s">
        <v>297</v>
      </c>
      <c r="T48" t="n">
        <v>0.125</v>
      </c>
    </row>
    <row r="49">
      <c r="A49" t="s">
        <v>30</v>
      </c>
      <c r="B49" t="n">
        <v>1</v>
      </c>
      <c r="C49" t="n">
        <v>1</v>
      </c>
      <c r="D49" t="n">
        <v>1.25</v>
      </c>
      <c r="E49" t="n">
        <v>-0.25</v>
      </c>
      <c r="F49" t="n">
        <v>-0.75</v>
      </c>
      <c r="G49" t="n">
        <v>153</v>
      </c>
      <c r="H49" t="n">
        <v>12</v>
      </c>
      <c r="I49" t="s">
        <v>297</v>
      </c>
      <c r="J49" t="n">
        <v>0</v>
      </c>
      <c r="K49" t="n">
        <v>0</v>
      </c>
      <c r="L49" t="n">
        <v>0</v>
      </c>
      <c r="M49" t="n">
        <v>12</v>
      </c>
      <c r="N49" t="n">
        <v>0.75</v>
      </c>
      <c r="O49" t="n">
        <v>-0.25</v>
      </c>
      <c r="P49" t="n">
        <v>87</v>
      </c>
      <c r="Q49" t="n">
        <v>12</v>
      </c>
      <c r="R49" t="s">
        <v>298</v>
      </c>
      <c r="S49" t="s">
        <v>297</v>
      </c>
      <c r="T49" t="n">
        <v>0.625</v>
      </c>
    </row>
    <row r="50">
      <c r="A50" t="s">
        <v>30</v>
      </c>
      <c r="B50" t="n">
        <v>1</v>
      </c>
      <c r="C50" t="n">
        <v>1</v>
      </c>
      <c r="D50" t="n">
        <v>1</v>
      </c>
      <c r="E50" t="n">
        <v>-0.75</v>
      </c>
      <c r="F50" t="n">
        <v>-2.25</v>
      </c>
      <c r="G50" t="n">
        <v>27</v>
      </c>
      <c r="H50" t="n">
        <v>12</v>
      </c>
      <c r="I50" t="s">
        <v>297</v>
      </c>
      <c r="J50" t="n">
        <v>0</v>
      </c>
      <c r="K50" t="n">
        <v>0</v>
      </c>
      <c r="L50" t="n">
        <v>0</v>
      </c>
      <c r="M50" t="n">
        <v>12</v>
      </c>
      <c r="N50" t="n">
        <v>0</v>
      </c>
      <c r="O50" t="n">
        <v>-0.25</v>
      </c>
      <c r="P50" t="n">
        <v>178</v>
      </c>
      <c r="Q50" t="n">
        <v>12</v>
      </c>
      <c r="R50" t="s">
        <v>297</v>
      </c>
      <c r="S50" t="s">
        <v>297</v>
      </c>
      <c r="T50" t="n">
        <v>-0.125</v>
      </c>
    </row>
    <row r="51">
      <c r="A51" t="s">
        <v>30</v>
      </c>
      <c r="B51" t="n">
        <v>1</v>
      </c>
      <c r="C51" t="n">
        <v>1</v>
      </c>
      <c r="D51" t="n">
        <v>1</v>
      </c>
      <c r="E51" t="n">
        <v>-0.25</v>
      </c>
      <c r="F51" t="n">
        <v>-2.25</v>
      </c>
      <c r="G51" t="n">
        <v>152</v>
      </c>
      <c r="H51" t="n">
        <v>12</v>
      </c>
      <c r="I51" t="s">
        <v>297</v>
      </c>
      <c r="J51" t="n">
        <v>0</v>
      </c>
      <c r="K51" t="n">
        <v>0</v>
      </c>
      <c r="L51" t="n">
        <v>0</v>
      </c>
      <c r="M51" t="n">
        <v>12</v>
      </c>
      <c r="N51" t="n">
        <v>0</v>
      </c>
      <c r="O51" t="n">
        <v>-0.25</v>
      </c>
      <c r="P51" t="n">
        <v>172</v>
      </c>
      <c r="Q51" t="n">
        <v>12</v>
      </c>
      <c r="R51" t="s">
        <v>297</v>
      </c>
      <c r="S51" t="s">
        <v>297</v>
      </c>
      <c r="T51" t="n">
        <v>-0.125</v>
      </c>
    </row>
    <row r="52">
      <c r="A52" t="s">
        <v>30</v>
      </c>
      <c r="B52" t="n">
        <v>1</v>
      </c>
      <c r="C52" t="n">
        <v>1.25</v>
      </c>
      <c r="D52" t="n">
        <v>1.25</v>
      </c>
      <c r="E52" t="n">
        <v>-7.25</v>
      </c>
      <c r="F52" t="n">
        <v>-0.75</v>
      </c>
      <c r="G52" t="n">
        <v>165</v>
      </c>
      <c r="H52" t="n">
        <v>12</v>
      </c>
      <c r="I52" t="s">
        <v>297</v>
      </c>
      <c r="J52" t="n">
        <v>0</v>
      </c>
      <c r="K52" t="n">
        <v>0</v>
      </c>
      <c r="L52" t="n">
        <v>0</v>
      </c>
      <c r="M52" t="n">
        <v>12</v>
      </c>
      <c r="N52" t="n">
        <v>0</v>
      </c>
      <c r="O52" t="n">
        <v>-0.25</v>
      </c>
      <c r="P52" t="n">
        <v>133</v>
      </c>
      <c r="Q52" t="n">
        <v>12</v>
      </c>
      <c r="R52" t="s">
        <v>298</v>
      </c>
      <c r="S52" t="s">
        <v>298</v>
      </c>
      <c r="T52" t="n">
        <v>-0.125</v>
      </c>
    </row>
    <row r="53">
      <c r="A53" t="s">
        <v>30</v>
      </c>
      <c r="B53" t="n">
        <v>1</v>
      </c>
      <c r="C53" t="n">
        <v>1</v>
      </c>
      <c r="D53" t="n">
        <v>1</v>
      </c>
      <c r="E53" t="n">
        <v>-6.25</v>
      </c>
      <c r="F53" t="n">
        <v>-2</v>
      </c>
      <c r="G53" t="n">
        <v>24</v>
      </c>
      <c r="H53" t="n">
        <v>12</v>
      </c>
      <c r="I53" t="s">
        <v>297</v>
      </c>
      <c r="J53" t="n">
        <v>0</v>
      </c>
      <c r="K53" t="n">
        <v>0</v>
      </c>
      <c r="L53" t="n">
        <v>0</v>
      </c>
      <c r="M53" t="n">
        <v>12</v>
      </c>
      <c r="N53" t="n">
        <v>0</v>
      </c>
      <c r="O53" t="n">
        <v>-0.5</v>
      </c>
      <c r="P53" t="n">
        <v>24</v>
      </c>
      <c r="Q53" t="n">
        <v>12</v>
      </c>
      <c r="R53" t="s">
        <v>297</v>
      </c>
      <c r="S53" t="s">
        <v>297</v>
      </c>
      <c r="T53" t="n">
        <v>-0.25</v>
      </c>
    </row>
    <row r="54">
      <c r="A54" t="s">
        <v>30</v>
      </c>
      <c r="B54" t="n">
        <v>1</v>
      </c>
      <c r="C54" t="n">
        <v>1.25</v>
      </c>
      <c r="D54" t="n">
        <v>1.25</v>
      </c>
      <c r="E54" t="n">
        <v>-4</v>
      </c>
      <c r="F54" t="n">
        <v>-1</v>
      </c>
      <c r="G54" t="n">
        <v>21</v>
      </c>
      <c r="H54" t="n">
        <v>12</v>
      </c>
      <c r="I54" t="s">
        <v>297</v>
      </c>
      <c r="J54" t="n">
        <v>0</v>
      </c>
      <c r="K54" t="n">
        <v>0</v>
      </c>
      <c r="L54" t="n">
        <v>0</v>
      </c>
      <c r="M54" t="n">
        <v>12</v>
      </c>
      <c r="N54" t="n">
        <v>0.5</v>
      </c>
      <c r="O54" t="n">
        <v>-0.5</v>
      </c>
      <c r="P54" t="n">
        <v>156</v>
      </c>
      <c r="Q54" t="n">
        <v>12</v>
      </c>
      <c r="R54" t="s">
        <v>298</v>
      </c>
      <c r="S54" t="s">
        <v>298</v>
      </c>
      <c r="T54" t="n">
        <v>0.25</v>
      </c>
    </row>
    <row r="55">
      <c r="A55" t="s">
        <v>30</v>
      </c>
      <c r="B55" t="n">
        <v>1</v>
      </c>
      <c r="C55" t="n">
        <v>1.6</v>
      </c>
      <c r="D55" t="n">
        <v>1.6</v>
      </c>
      <c r="E55" t="n">
        <v>-1.75</v>
      </c>
      <c r="F55" t="n">
        <v>-1.75</v>
      </c>
      <c r="G55" t="n">
        <v>164</v>
      </c>
      <c r="H55" t="n">
        <v>12</v>
      </c>
      <c r="I55" t="s">
        <v>297</v>
      </c>
      <c r="J55" t="n">
        <v>0</v>
      </c>
      <c r="K55" t="n">
        <v>0</v>
      </c>
      <c r="L55" t="n">
        <v>0</v>
      </c>
      <c r="M55" t="n">
        <v>12</v>
      </c>
      <c r="N55" t="n">
        <v>0.5</v>
      </c>
      <c r="O55" t="n">
        <v>-0.5</v>
      </c>
      <c r="P55" t="n">
        <v>24</v>
      </c>
      <c r="Q55" t="n">
        <v>12</v>
      </c>
      <c r="R55" t="s">
        <v>299</v>
      </c>
      <c r="S55" t="s">
        <v>299</v>
      </c>
      <c r="T55" t="n">
        <v>0.25</v>
      </c>
    </row>
    <row r="56">
      <c r="A56" t="s">
        <v>30</v>
      </c>
      <c r="B56" t="n">
        <v>1</v>
      </c>
      <c r="C56"/>
      <c r="D56"/>
      <c r="E56" t="n">
        <v>-3</v>
      </c>
      <c r="F56" t="n">
        <v>-0.75</v>
      </c>
      <c r="G56" t="n">
        <v>9</v>
      </c>
      <c r="H56" t="n">
        <v>12</v>
      </c>
      <c r="I56" t="s">
        <v>297</v>
      </c>
      <c r="J56" t="n">
        <v>0</v>
      </c>
      <c r="K56" t="n">
        <v>0</v>
      </c>
      <c r="L56" t="n">
        <v>0</v>
      </c>
      <c r="M56" t="n">
        <v>12</v>
      </c>
      <c r="N56"/>
      <c r="O56"/>
      <c r="P56"/>
      <c r="Q56" t="n">
        <v>12</v>
      </c>
      <c r="R56" t="s">
        <v>109</v>
      </c>
      <c r="S56" t="s">
        <v>109</v>
      </c>
      <c r="T56"/>
    </row>
    <row r="57">
      <c r="A57" t="s">
        <v>30</v>
      </c>
      <c r="B57" t="n">
        <v>1</v>
      </c>
      <c r="C57" t="n">
        <v>1.25</v>
      </c>
      <c r="D57" t="n">
        <v>1.25</v>
      </c>
      <c r="E57" t="n">
        <v>-3.75</v>
      </c>
      <c r="F57" t="n">
        <v>-0.5</v>
      </c>
      <c r="G57" t="n">
        <v>174</v>
      </c>
      <c r="H57" t="n">
        <v>12</v>
      </c>
      <c r="I57" t="s">
        <v>297</v>
      </c>
      <c r="J57" t="n">
        <v>0</v>
      </c>
      <c r="K57" t="n">
        <v>0</v>
      </c>
      <c r="L57" t="n">
        <v>0</v>
      </c>
      <c r="M57" t="n">
        <v>12</v>
      </c>
      <c r="N57" t="n">
        <v>0.25</v>
      </c>
      <c r="O57" t="n">
        <v>0</v>
      </c>
      <c r="P57" t="n">
        <v>51</v>
      </c>
      <c r="Q57" t="n">
        <v>12</v>
      </c>
      <c r="R57" t="s">
        <v>298</v>
      </c>
      <c r="S57" t="s">
        <v>298</v>
      </c>
      <c r="T57" t="n">
        <v>0.25</v>
      </c>
    </row>
    <row r="58">
      <c r="A58" t="s">
        <v>30</v>
      </c>
      <c r="B58" t="n">
        <v>0.8</v>
      </c>
      <c r="C58" t="n">
        <v>1</v>
      </c>
      <c r="D58" t="n">
        <v>1</v>
      </c>
      <c r="E58" t="n">
        <v>-5</v>
      </c>
      <c r="F58" t="n">
        <v>-0.5</v>
      </c>
      <c r="G58" t="n">
        <v>2</v>
      </c>
      <c r="H58" t="n">
        <v>12</v>
      </c>
      <c r="I58" t="s">
        <v>296</v>
      </c>
      <c r="J58" t="n">
        <v>0</v>
      </c>
      <c r="K58" t="n">
        <v>0</v>
      </c>
      <c r="L58" t="n">
        <v>0</v>
      </c>
      <c r="M58" t="n">
        <v>12</v>
      </c>
      <c r="N58" t="n">
        <v>0.5</v>
      </c>
      <c r="O58" t="n">
        <v>0</v>
      </c>
      <c r="P58" t="n">
        <v>99</v>
      </c>
      <c r="Q58" t="n">
        <v>12</v>
      </c>
      <c r="R58" t="s">
        <v>297</v>
      </c>
      <c r="S58" t="s">
        <v>297</v>
      </c>
      <c r="T58" t="n">
        <v>0.5</v>
      </c>
    </row>
    <row r="59">
      <c r="A59" t="s">
        <v>30</v>
      </c>
      <c r="B59" t="n">
        <v>1.25</v>
      </c>
      <c r="C59" t="n">
        <v>1.25</v>
      </c>
      <c r="D59" t="n">
        <v>1.25</v>
      </c>
      <c r="E59" t="n">
        <v>-3.5</v>
      </c>
      <c r="F59" t="n">
        <v>-0.5</v>
      </c>
      <c r="G59" t="n">
        <v>18</v>
      </c>
      <c r="H59" t="n">
        <v>12</v>
      </c>
      <c r="I59" t="s">
        <v>298</v>
      </c>
      <c r="J59" t="n">
        <v>0</v>
      </c>
      <c r="K59" t="n">
        <v>0</v>
      </c>
      <c r="L59" t="n">
        <v>0</v>
      </c>
      <c r="M59" t="n">
        <v>12</v>
      </c>
      <c r="N59" t="n">
        <v>0</v>
      </c>
      <c r="O59" t="n">
        <v>-0.25</v>
      </c>
      <c r="P59" t="n">
        <v>37</v>
      </c>
      <c r="Q59" t="n">
        <v>12</v>
      </c>
      <c r="R59" t="s">
        <v>298</v>
      </c>
      <c r="S59" t="s">
        <v>298</v>
      </c>
      <c r="T59" t="n">
        <v>-0.125</v>
      </c>
    </row>
    <row r="60">
      <c r="A60" t="s">
        <v>30</v>
      </c>
      <c r="B60" t="n">
        <v>1.25</v>
      </c>
      <c r="C60" t="n">
        <v>1.25</v>
      </c>
      <c r="D60" t="n">
        <v>1.25</v>
      </c>
      <c r="E60" t="n">
        <v>-4</v>
      </c>
      <c r="F60" t="n">
        <v>-0.75</v>
      </c>
      <c r="G60" t="n">
        <v>171</v>
      </c>
      <c r="H60" t="n">
        <v>12</v>
      </c>
      <c r="I60" t="s">
        <v>298</v>
      </c>
      <c r="J60" t="n">
        <v>0</v>
      </c>
      <c r="K60" t="n">
        <v>0</v>
      </c>
      <c r="L60" t="n">
        <v>0</v>
      </c>
      <c r="M60" t="n">
        <v>12</v>
      </c>
      <c r="N60" t="n">
        <v>0</v>
      </c>
      <c r="O60" t="n">
        <v>-0.25</v>
      </c>
      <c r="P60" t="n">
        <v>2</v>
      </c>
      <c r="Q60" t="n">
        <v>12</v>
      </c>
      <c r="R60" t="s">
        <v>298</v>
      </c>
      <c r="S60" t="s">
        <v>298</v>
      </c>
      <c r="T60" t="n">
        <v>-0.125</v>
      </c>
    </row>
    <row r="61">
      <c r="A61" t="s">
        <v>30</v>
      </c>
      <c r="B61" t="n">
        <v>1</v>
      </c>
      <c r="C61" t="n">
        <v>1.25</v>
      </c>
      <c r="D61" t="n">
        <v>1.6</v>
      </c>
      <c r="E61" t="n">
        <v>-5.5</v>
      </c>
      <c r="F61" t="n">
        <v>-1</v>
      </c>
      <c r="G61" t="n">
        <v>156</v>
      </c>
      <c r="H61" t="n">
        <v>12</v>
      </c>
      <c r="I61" t="s">
        <v>297</v>
      </c>
      <c r="J61" t="n">
        <v>0</v>
      </c>
      <c r="K61" t="n">
        <v>0</v>
      </c>
      <c r="L61" t="n">
        <v>0</v>
      </c>
      <c r="M61" t="n">
        <v>12</v>
      </c>
      <c r="N61" t="n">
        <v>0.5</v>
      </c>
      <c r="O61" t="n">
        <v>-0.5</v>
      </c>
      <c r="P61" t="n">
        <v>126</v>
      </c>
      <c r="Q61" t="n">
        <v>12</v>
      </c>
      <c r="R61" t="s">
        <v>299</v>
      </c>
      <c r="S61" t="s">
        <v>298</v>
      </c>
      <c r="T61" t="n">
        <v>0.25</v>
      </c>
    </row>
    <row r="62">
      <c r="A62" t="s">
        <v>30</v>
      </c>
      <c r="B62" t="n">
        <v>1.25</v>
      </c>
      <c r="C62" t="n">
        <v>1.6</v>
      </c>
      <c r="D62" t="n">
        <v>1.6</v>
      </c>
      <c r="E62" t="n">
        <v>-5.75</v>
      </c>
      <c r="F62" t="n">
        <v>-1.25</v>
      </c>
      <c r="G62" t="n">
        <v>7</v>
      </c>
      <c r="H62" t="n">
        <v>12</v>
      </c>
      <c r="I62" t="s">
        <v>298</v>
      </c>
      <c r="J62" t="n">
        <v>0</v>
      </c>
      <c r="K62" t="n">
        <v>0</v>
      </c>
      <c r="L62" t="n">
        <v>0</v>
      </c>
      <c r="M62" t="n">
        <v>12</v>
      </c>
      <c r="N62" t="n">
        <v>0.25</v>
      </c>
      <c r="O62" t="n">
        <v>-0.25</v>
      </c>
      <c r="P62" t="n">
        <v>35</v>
      </c>
      <c r="Q62" t="n">
        <v>12</v>
      </c>
      <c r="R62" t="s">
        <v>299</v>
      </c>
      <c r="S62" t="s">
        <v>299</v>
      </c>
      <c r="T62" t="n">
        <v>0.125</v>
      </c>
    </row>
    <row r="63">
      <c r="A63" t="s">
        <v>30</v>
      </c>
      <c r="B63" t="n">
        <v>1</v>
      </c>
      <c r="C63" t="n">
        <v>0.5</v>
      </c>
      <c r="D63" t="n">
        <v>0.5</v>
      </c>
      <c r="E63" t="n">
        <v>-2.25</v>
      </c>
      <c r="F63" t="n">
        <v>-0.25</v>
      </c>
      <c r="G63" t="n">
        <v>52</v>
      </c>
      <c r="H63" t="n">
        <v>12</v>
      </c>
      <c r="I63" t="s">
        <v>297</v>
      </c>
      <c r="J63" t="n">
        <v>0</v>
      </c>
      <c r="K63" t="n">
        <v>0</v>
      </c>
      <c r="L63" t="n">
        <v>0</v>
      </c>
      <c r="M63" t="n">
        <v>12</v>
      </c>
      <c r="N63" t="n">
        <v>0.5</v>
      </c>
      <c r="O63" t="n">
        <v>-0.25</v>
      </c>
      <c r="P63" t="n">
        <v>144</v>
      </c>
      <c r="Q63" t="n">
        <v>12</v>
      </c>
      <c r="R63" t="s">
        <v>300</v>
      </c>
      <c r="S63" t="s">
        <v>300</v>
      </c>
      <c r="T63" t="n">
        <v>0.375</v>
      </c>
    </row>
    <row r="64">
      <c r="A64" t="s">
        <v>30</v>
      </c>
      <c r="B64" t="n">
        <v>1</v>
      </c>
      <c r="C64" t="n">
        <v>0.5</v>
      </c>
      <c r="D64" t="n">
        <v>0.5</v>
      </c>
      <c r="E64" t="n">
        <v>-3.5</v>
      </c>
      <c r="F64" t="n">
        <v>-0.25</v>
      </c>
      <c r="G64" t="n">
        <v>133</v>
      </c>
      <c r="H64" t="n">
        <v>12</v>
      </c>
      <c r="I64" t="s">
        <v>297</v>
      </c>
      <c r="J64" t="n">
        <v>0</v>
      </c>
      <c r="K64" t="n">
        <v>0</v>
      </c>
      <c r="L64" t="n">
        <v>0</v>
      </c>
      <c r="M64" t="n">
        <v>12</v>
      </c>
      <c r="N64" t="n">
        <v>-0.25</v>
      </c>
      <c r="O64" t="n">
        <v>-0.25</v>
      </c>
      <c r="P64" t="n">
        <v>19</v>
      </c>
      <c r="Q64" t="n">
        <v>12</v>
      </c>
      <c r="R64" t="s">
        <v>300</v>
      </c>
      <c r="S64" t="s">
        <v>300</v>
      </c>
      <c r="T64" t="n">
        <v>-0.375</v>
      </c>
    </row>
    <row r="65">
      <c r="A65" t="s">
        <v>30</v>
      </c>
      <c r="B65" t="n">
        <v>1</v>
      </c>
      <c r="C65" t="n">
        <v>1.25</v>
      </c>
      <c r="D65" t="n">
        <v>1.25</v>
      </c>
      <c r="E65" t="n">
        <v>-1</v>
      </c>
      <c r="F65" t="n">
        <v>-0.5</v>
      </c>
      <c r="G65" t="n">
        <v>176</v>
      </c>
      <c r="H65" t="n">
        <v>12</v>
      </c>
      <c r="I65" t="s">
        <v>297</v>
      </c>
      <c r="J65" t="n">
        <v>0</v>
      </c>
      <c r="K65" t="n">
        <v>0</v>
      </c>
      <c r="L65" t="n">
        <v>0</v>
      </c>
      <c r="M65" t="n">
        <v>12</v>
      </c>
      <c r="N65" t="n">
        <v>0.5</v>
      </c>
      <c r="O65" t="n">
        <v>-0.25</v>
      </c>
      <c r="P65" t="n">
        <v>123</v>
      </c>
      <c r="Q65" t="n">
        <v>12</v>
      </c>
      <c r="R65" t="s">
        <v>298</v>
      </c>
      <c r="S65" t="s">
        <v>298</v>
      </c>
      <c r="T65" t="n">
        <v>0.375</v>
      </c>
    </row>
    <row r="66">
      <c r="A66" t="s">
        <v>30</v>
      </c>
      <c r="B66" t="n">
        <v>1.25</v>
      </c>
      <c r="C66" t="n">
        <v>1.25</v>
      </c>
      <c r="D66" t="n">
        <v>1.25</v>
      </c>
      <c r="E66" t="n">
        <v>-0.25</v>
      </c>
      <c r="F66" t="n">
        <v>-0.5</v>
      </c>
      <c r="G66" t="n">
        <v>11</v>
      </c>
      <c r="H66" t="n">
        <v>12</v>
      </c>
      <c r="I66" t="s">
        <v>298</v>
      </c>
      <c r="J66" t="n">
        <v>0</v>
      </c>
      <c r="K66" t="n">
        <v>0</v>
      </c>
      <c r="L66" t="n">
        <v>0</v>
      </c>
      <c r="M66" t="n">
        <v>12</v>
      </c>
      <c r="N66" t="n">
        <v>0.5</v>
      </c>
      <c r="O66" t="n">
        <v>-0.25</v>
      </c>
      <c r="P66" t="n">
        <v>61</v>
      </c>
      <c r="Q66" t="n">
        <v>12</v>
      </c>
      <c r="R66" t="s">
        <v>298</v>
      </c>
      <c r="S66" t="s">
        <v>298</v>
      </c>
      <c r="T66" t="n">
        <v>0.375</v>
      </c>
    </row>
    <row r="67">
      <c r="A67" t="s">
        <v>30</v>
      </c>
      <c r="B67" t="n">
        <v>1.25</v>
      </c>
      <c r="C67" t="n">
        <v>1.25</v>
      </c>
      <c r="D67" t="n">
        <v>1.25</v>
      </c>
      <c r="E67" t="n">
        <v>-2.5</v>
      </c>
      <c r="F67" t="n">
        <v>-1</v>
      </c>
      <c r="G67" t="n">
        <v>100</v>
      </c>
      <c r="H67" t="n">
        <v>12</v>
      </c>
      <c r="I67" t="s">
        <v>298</v>
      </c>
      <c r="J67" t="n">
        <v>0</v>
      </c>
      <c r="K67" t="n">
        <v>0</v>
      </c>
      <c r="L67" t="n">
        <v>0</v>
      </c>
      <c r="M67" t="n">
        <v>12</v>
      </c>
      <c r="N67" t="n">
        <v>0.25</v>
      </c>
      <c r="O67" t="n">
        <v>-0.25</v>
      </c>
      <c r="P67" t="n">
        <v>161</v>
      </c>
      <c r="Q67" t="n">
        <v>12</v>
      </c>
      <c r="R67" t="s">
        <v>298</v>
      </c>
      <c r="S67" t="s">
        <v>298</v>
      </c>
      <c r="T67" t="n">
        <v>0.125</v>
      </c>
    </row>
    <row r="68">
      <c r="A68" t="s">
        <v>30</v>
      </c>
      <c r="B68" t="n">
        <v>1.25</v>
      </c>
      <c r="C68" t="n">
        <v>1.25</v>
      </c>
      <c r="D68" t="n">
        <v>1.25</v>
      </c>
      <c r="E68" t="n">
        <v>-4</v>
      </c>
      <c r="F68" t="n">
        <v>-0.75</v>
      </c>
      <c r="G68" t="n">
        <v>86</v>
      </c>
      <c r="H68" t="n">
        <v>12</v>
      </c>
      <c r="I68" t="s">
        <v>298</v>
      </c>
      <c r="J68" t="n">
        <v>0</v>
      </c>
      <c r="K68" t="n">
        <v>0</v>
      </c>
      <c r="L68" t="n">
        <v>0</v>
      </c>
      <c r="M68" t="n">
        <v>12</v>
      </c>
      <c r="N68" t="n">
        <v>-0.25</v>
      </c>
      <c r="O68" t="n">
        <v>0</v>
      </c>
      <c r="P68" t="n">
        <v>52</v>
      </c>
      <c r="Q68" t="n">
        <v>12</v>
      </c>
      <c r="R68" t="s">
        <v>298</v>
      </c>
      <c r="S68" t="s">
        <v>298</v>
      </c>
      <c r="T68" t="n">
        <v>-0.25</v>
      </c>
    </row>
    <row r="69">
      <c r="A69" t="s">
        <v>30</v>
      </c>
      <c r="B69" t="n">
        <v>1</v>
      </c>
      <c r="C69"/>
      <c r="D69"/>
      <c r="E69" t="n">
        <v>-4.5</v>
      </c>
      <c r="F69" t="n">
        <v>-0.75</v>
      </c>
      <c r="G69" t="n">
        <v>177</v>
      </c>
      <c r="H69" t="n">
        <v>12</v>
      </c>
      <c r="I69" t="s">
        <v>297</v>
      </c>
      <c r="J69" t="n">
        <v>0</v>
      </c>
      <c r="K69" t="n">
        <v>0</v>
      </c>
      <c r="L69" t="n">
        <v>0</v>
      </c>
      <c r="M69" t="n">
        <v>12</v>
      </c>
      <c r="N69"/>
      <c r="O69"/>
      <c r="P69"/>
      <c r="Q69" t="n">
        <v>12</v>
      </c>
      <c r="R69" t="s">
        <v>109</v>
      </c>
      <c r="S69" t="s">
        <v>109</v>
      </c>
      <c r="T69"/>
    </row>
    <row r="70">
      <c r="A70" t="s">
        <v>30</v>
      </c>
      <c r="B70" t="n">
        <v>1</v>
      </c>
      <c r="C70"/>
      <c r="D70"/>
      <c r="E70" t="n">
        <v>-5.25</v>
      </c>
      <c r="F70" t="n">
        <v>-0.5</v>
      </c>
      <c r="G70" t="n">
        <v>19</v>
      </c>
      <c r="H70" t="n">
        <v>12</v>
      </c>
      <c r="I70" t="s">
        <v>297</v>
      </c>
      <c r="J70" t="n">
        <v>0</v>
      </c>
      <c r="K70" t="n">
        <v>0</v>
      </c>
      <c r="L70" t="n">
        <v>0</v>
      </c>
      <c r="M70" t="n">
        <v>12</v>
      </c>
      <c r="N70"/>
      <c r="O70"/>
      <c r="P70"/>
      <c r="Q70" t="n">
        <v>12</v>
      </c>
      <c r="R70" t="s">
        <v>109</v>
      </c>
      <c r="S70" t="s">
        <v>109</v>
      </c>
      <c r="T70"/>
    </row>
    <row r="71">
      <c r="A71" t="s">
        <v>30</v>
      </c>
      <c r="B71" t="n">
        <v>1</v>
      </c>
      <c r="C71" t="n">
        <v>1</v>
      </c>
      <c r="D71" t="n">
        <v>1</v>
      </c>
      <c r="E71" t="n">
        <v>-1.25</v>
      </c>
      <c r="F71" t="n">
        <v>-3</v>
      </c>
      <c r="G71" t="n">
        <v>158</v>
      </c>
      <c r="H71" t="n">
        <v>12</v>
      </c>
      <c r="I71" t="s">
        <v>297</v>
      </c>
      <c r="J71" t="n">
        <v>0</v>
      </c>
      <c r="K71" t="n">
        <v>0</v>
      </c>
      <c r="L71" t="n">
        <v>0</v>
      </c>
      <c r="M71" t="n">
        <v>12</v>
      </c>
      <c r="N71" t="n">
        <v>0.5</v>
      </c>
      <c r="O71" t="n">
        <v>-0.5</v>
      </c>
      <c r="P71" t="n">
        <v>122</v>
      </c>
      <c r="Q71" t="n">
        <v>12</v>
      </c>
      <c r="R71" t="s">
        <v>297</v>
      </c>
      <c r="S71" t="s">
        <v>297</v>
      </c>
      <c r="T71" t="n">
        <v>0.25</v>
      </c>
    </row>
    <row r="72">
      <c r="A72" t="s">
        <v>30</v>
      </c>
      <c r="B72" t="n">
        <v>1</v>
      </c>
      <c r="C72" t="n">
        <v>1.25</v>
      </c>
      <c r="D72" t="n">
        <v>1.25</v>
      </c>
      <c r="E72" t="n">
        <v>-1</v>
      </c>
      <c r="F72" t="n">
        <v>-1.75</v>
      </c>
      <c r="G72" t="n">
        <v>24</v>
      </c>
      <c r="H72" t="n">
        <v>12</v>
      </c>
      <c r="I72" t="s">
        <v>297</v>
      </c>
      <c r="J72" t="n">
        <v>0</v>
      </c>
      <c r="K72" t="n">
        <v>0</v>
      </c>
      <c r="L72" t="n">
        <v>0</v>
      </c>
      <c r="M72" t="n">
        <v>12</v>
      </c>
      <c r="N72" t="n">
        <v>0.25</v>
      </c>
      <c r="O72" t="n">
        <v>-0.25</v>
      </c>
      <c r="P72" t="n">
        <v>52</v>
      </c>
      <c r="Q72" t="n">
        <v>12</v>
      </c>
      <c r="R72" t="s">
        <v>298</v>
      </c>
      <c r="S72" t="s">
        <v>298</v>
      </c>
      <c r="T72" t="n">
        <v>0.125</v>
      </c>
    </row>
    <row r="73">
      <c r="A73" t="s">
        <v>30</v>
      </c>
      <c r="B73" t="n">
        <v>1.25</v>
      </c>
      <c r="C73" t="n">
        <v>1.25</v>
      </c>
      <c r="D73" t="n">
        <v>1.25</v>
      </c>
      <c r="E73" t="n">
        <v>-5.25</v>
      </c>
      <c r="F73" t="n">
        <v>-1.25</v>
      </c>
      <c r="G73" t="n">
        <v>179</v>
      </c>
      <c r="H73" t="n">
        <v>12</v>
      </c>
      <c r="I73" t="s">
        <v>298</v>
      </c>
      <c r="J73" t="n">
        <v>0</v>
      </c>
      <c r="K73" t="n">
        <v>0</v>
      </c>
      <c r="L73" t="n">
        <v>0</v>
      </c>
      <c r="M73" t="n">
        <v>12</v>
      </c>
      <c r="N73" t="n">
        <v>0</v>
      </c>
      <c r="O73" t="n">
        <v>-0.25</v>
      </c>
      <c r="P73" t="n">
        <v>16</v>
      </c>
      <c r="Q73" t="n">
        <v>12</v>
      </c>
      <c r="R73" t="s">
        <v>298</v>
      </c>
      <c r="S73" t="s">
        <v>298</v>
      </c>
      <c r="T73" t="n">
        <v>-0.125</v>
      </c>
    </row>
    <row r="74">
      <c r="A74" t="s">
        <v>30</v>
      </c>
      <c r="B74" t="n">
        <v>1.25</v>
      </c>
      <c r="C74" t="n">
        <v>1.6</v>
      </c>
      <c r="D74" t="n">
        <v>1.6</v>
      </c>
      <c r="E74" t="n">
        <v>-3.25</v>
      </c>
      <c r="F74" t="n">
        <v>-0.5</v>
      </c>
      <c r="G74" t="n">
        <v>18</v>
      </c>
      <c r="H74" t="n">
        <v>12</v>
      </c>
      <c r="I74" t="s">
        <v>298</v>
      </c>
      <c r="J74" t="n">
        <v>0</v>
      </c>
      <c r="K74" t="n">
        <v>0</v>
      </c>
      <c r="L74" t="n">
        <v>0</v>
      </c>
      <c r="M74" t="n">
        <v>12</v>
      </c>
      <c r="N74" t="n">
        <v>0.25</v>
      </c>
      <c r="O74" t="n">
        <v>-0.25</v>
      </c>
      <c r="P74" t="n">
        <v>141</v>
      </c>
      <c r="Q74" t="n">
        <v>12</v>
      </c>
      <c r="R74" t="s">
        <v>299</v>
      </c>
      <c r="S74" t="s">
        <v>299</v>
      </c>
      <c r="T74" t="n">
        <v>0.125</v>
      </c>
    </row>
    <row r="75">
      <c r="A75" t="s">
        <v>30</v>
      </c>
      <c r="B75" t="n">
        <v>1.25</v>
      </c>
      <c r="C75" t="n">
        <v>1.25</v>
      </c>
      <c r="D75" t="n">
        <v>1.25</v>
      </c>
      <c r="E75" t="n">
        <v>-3.75</v>
      </c>
      <c r="F75" t="n">
        <v>-1</v>
      </c>
      <c r="G75" t="n">
        <v>162</v>
      </c>
      <c r="H75" t="n">
        <v>12</v>
      </c>
      <c r="I75" t="s">
        <v>298</v>
      </c>
      <c r="J75" t="n">
        <v>0</v>
      </c>
      <c r="K75" t="n">
        <v>0</v>
      </c>
      <c r="L75" t="n">
        <v>0</v>
      </c>
      <c r="M75" t="n">
        <v>12</v>
      </c>
      <c r="N75" t="n">
        <v>0</v>
      </c>
      <c r="O75" t="n">
        <v>0</v>
      </c>
      <c r="P75" t="n">
        <v>45</v>
      </c>
      <c r="Q75" t="n">
        <v>12</v>
      </c>
      <c r="R75" t="s">
        <v>298</v>
      </c>
      <c r="S75" t="s">
        <v>298</v>
      </c>
      <c r="T75" t="n">
        <v>0</v>
      </c>
    </row>
    <row r="76">
      <c r="A76" t="s">
        <v>30</v>
      </c>
      <c r="B76" t="n">
        <v>1.25</v>
      </c>
      <c r="C76"/>
      <c r="D76"/>
      <c r="E76" t="n">
        <v>-2.5</v>
      </c>
      <c r="F76" t="n">
        <v>-0.25</v>
      </c>
      <c r="G76" t="n">
        <v>36</v>
      </c>
      <c r="H76" t="n">
        <v>12</v>
      </c>
      <c r="I76" t="s">
        <v>298</v>
      </c>
      <c r="J76" t="n">
        <v>0</v>
      </c>
      <c r="K76" t="n">
        <v>0</v>
      </c>
      <c r="L76" t="n">
        <v>0</v>
      </c>
      <c r="M76" t="n">
        <v>12</v>
      </c>
      <c r="N76"/>
      <c r="O76"/>
      <c r="P76"/>
      <c r="Q76" t="n">
        <v>12</v>
      </c>
      <c r="R76" t="s">
        <v>109</v>
      </c>
      <c r="S76" t="s">
        <v>109</v>
      </c>
      <c r="T76"/>
    </row>
    <row r="77">
      <c r="A77" t="s">
        <v>30</v>
      </c>
      <c r="B77" t="n">
        <v>1</v>
      </c>
      <c r="C77"/>
      <c r="D77"/>
      <c r="E77" t="n">
        <v>-3</v>
      </c>
      <c r="F77" t="n">
        <v>-0.5</v>
      </c>
      <c r="G77" t="n">
        <v>145</v>
      </c>
      <c r="H77" t="n">
        <v>12</v>
      </c>
      <c r="I77" t="s">
        <v>297</v>
      </c>
      <c r="J77" t="n">
        <v>0</v>
      </c>
      <c r="K77" t="n">
        <v>0</v>
      </c>
      <c r="L77" t="n">
        <v>0</v>
      </c>
      <c r="M77" t="n">
        <v>12</v>
      </c>
      <c r="N77"/>
      <c r="O77"/>
      <c r="P77"/>
      <c r="Q77" t="n">
        <v>12</v>
      </c>
      <c r="R77" t="s">
        <v>109</v>
      </c>
      <c r="S77" t="s">
        <v>109</v>
      </c>
      <c r="T77"/>
    </row>
    <row r="78">
      <c r="A78" t="s">
        <v>30</v>
      </c>
      <c r="B78" t="n">
        <v>1</v>
      </c>
      <c r="C78" t="n">
        <v>0.63</v>
      </c>
      <c r="D78" t="n">
        <v>0.8</v>
      </c>
      <c r="E78" t="n">
        <v>-1</v>
      </c>
      <c r="F78" t="n">
        <v>-1.75</v>
      </c>
      <c r="G78" t="n">
        <v>179</v>
      </c>
      <c r="H78" t="n">
        <v>12</v>
      </c>
      <c r="I78" t="s">
        <v>297</v>
      </c>
      <c r="J78" t="n">
        <v>-0.5</v>
      </c>
      <c r="K78" t="n">
        <v>0</v>
      </c>
      <c r="L78" t="n">
        <v>0</v>
      </c>
      <c r="M78" t="n">
        <v>12</v>
      </c>
      <c r="N78" t="n">
        <v>-0.25</v>
      </c>
      <c r="O78" t="n">
        <v>-0.5</v>
      </c>
      <c r="P78" t="n">
        <v>127</v>
      </c>
      <c r="Q78" t="n">
        <v>12</v>
      </c>
      <c r="R78" t="s">
        <v>296</v>
      </c>
      <c r="S78" t="s">
        <v>301</v>
      </c>
      <c r="T78" t="n">
        <v>-0.5</v>
      </c>
    </row>
    <row r="79">
      <c r="A79" t="s">
        <v>30</v>
      </c>
      <c r="B79" t="n">
        <v>1</v>
      </c>
      <c r="C79" t="n">
        <v>1</v>
      </c>
      <c r="D79" t="n">
        <v>1</v>
      </c>
      <c r="E79" t="n">
        <v>-2.5</v>
      </c>
      <c r="F79" t="n">
        <v>-2</v>
      </c>
      <c r="G79" t="n">
        <v>1</v>
      </c>
      <c r="H79" t="n">
        <v>12</v>
      </c>
      <c r="I79" t="s">
        <v>297</v>
      </c>
      <c r="J79" t="n">
        <v>0</v>
      </c>
      <c r="K79" t="n">
        <v>0</v>
      </c>
      <c r="L79" t="n">
        <v>0</v>
      </c>
      <c r="M79" t="n">
        <v>12</v>
      </c>
      <c r="N79" t="n">
        <v>0</v>
      </c>
      <c r="O79" t="n">
        <v>-0.25</v>
      </c>
      <c r="P79" t="n">
        <v>71</v>
      </c>
      <c r="Q79" t="n">
        <v>12</v>
      </c>
      <c r="R79" t="s">
        <v>297</v>
      </c>
      <c r="S79" t="s">
        <v>297</v>
      </c>
      <c r="T79" t="n">
        <v>-0.125</v>
      </c>
    </row>
    <row r="80">
      <c r="A80" t="s">
        <v>30</v>
      </c>
      <c r="B80" t="n">
        <v>0.8</v>
      </c>
      <c r="C80" t="n">
        <v>0.8</v>
      </c>
      <c r="D80" t="n">
        <v>0.8</v>
      </c>
      <c r="E80" t="n">
        <v>-3.5</v>
      </c>
      <c r="F80" t="n">
        <v>-1</v>
      </c>
      <c r="G80" t="n">
        <v>12</v>
      </c>
      <c r="H80" t="n">
        <v>12</v>
      </c>
      <c r="I80" t="s">
        <v>296</v>
      </c>
      <c r="J80" t="n">
        <v>0</v>
      </c>
      <c r="K80" t="n">
        <v>0</v>
      </c>
      <c r="L80" t="n">
        <v>0</v>
      </c>
      <c r="M80" t="n">
        <v>12</v>
      </c>
      <c r="N80" t="n">
        <v>0.5</v>
      </c>
      <c r="O80" t="n">
        <v>-0.25</v>
      </c>
      <c r="P80" t="n">
        <v>31</v>
      </c>
      <c r="Q80" t="n">
        <v>12</v>
      </c>
      <c r="R80" t="s">
        <v>296</v>
      </c>
      <c r="S80" t="s">
        <v>296</v>
      </c>
      <c r="T80" t="n">
        <v>0.375</v>
      </c>
    </row>
    <row r="81">
      <c r="A81" t="s">
        <v>30</v>
      </c>
      <c r="B81" t="n">
        <v>0.8</v>
      </c>
      <c r="C81" t="n">
        <v>0.63</v>
      </c>
      <c r="D81" t="n">
        <v>0.8</v>
      </c>
      <c r="E81" t="n">
        <v>-5.75</v>
      </c>
      <c r="F81" t="n">
        <v>-1</v>
      </c>
      <c r="G81" t="n">
        <v>174</v>
      </c>
      <c r="H81" t="n">
        <v>12</v>
      </c>
      <c r="I81" t="s">
        <v>296</v>
      </c>
      <c r="J81" t="n">
        <v>0</v>
      </c>
      <c r="K81" t="n">
        <v>0</v>
      </c>
      <c r="L81" t="n">
        <v>0</v>
      </c>
      <c r="M81" t="n">
        <v>12</v>
      </c>
      <c r="N81" t="n">
        <v>-0.25</v>
      </c>
      <c r="O81" t="n">
        <v>-0.25</v>
      </c>
      <c r="P81" t="n">
        <v>127</v>
      </c>
      <c r="Q81" t="n">
        <v>12</v>
      </c>
      <c r="R81" t="s">
        <v>296</v>
      </c>
      <c r="S81" t="s">
        <v>301</v>
      </c>
      <c r="T81" t="n">
        <v>-0.375</v>
      </c>
    </row>
    <row r="82">
      <c r="A82" t="s">
        <v>30</v>
      </c>
      <c r="B82" t="n">
        <v>1</v>
      </c>
      <c r="C82" t="n">
        <v>1</v>
      </c>
      <c r="D82" t="n">
        <v>1</v>
      </c>
      <c r="E82" t="n">
        <v>-1.75</v>
      </c>
      <c r="F82" t="n">
        <v>-1</v>
      </c>
      <c r="G82" t="n">
        <v>174</v>
      </c>
      <c r="H82" t="n">
        <v>12</v>
      </c>
      <c r="I82" t="s">
        <v>297</v>
      </c>
      <c r="J82" t="n">
        <v>0</v>
      </c>
      <c r="K82" t="n">
        <v>0</v>
      </c>
      <c r="L82" t="n">
        <v>0</v>
      </c>
      <c r="M82" t="n">
        <v>12</v>
      </c>
      <c r="N82" t="n">
        <v>0.25</v>
      </c>
      <c r="O82" t="n">
        <v>-0.5</v>
      </c>
      <c r="P82" t="n">
        <v>130</v>
      </c>
      <c r="Q82" t="n">
        <v>12</v>
      </c>
      <c r="R82" t="s">
        <v>297</v>
      </c>
      <c r="S82" t="s">
        <v>297</v>
      </c>
      <c r="T82" t="n">
        <v>0</v>
      </c>
    </row>
    <row r="83">
      <c r="A83" t="s">
        <v>30</v>
      </c>
      <c r="B83" t="n">
        <v>0.8</v>
      </c>
      <c r="C83"/>
      <c r="D83"/>
      <c r="E83" t="n">
        <v>-3</v>
      </c>
      <c r="F83" t="n">
        <v>-0.75</v>
      </c>
      <c r="G83" t="n">
        <v>172</v>
      </c>
      <c r="H83" t="n">
        <v>12</v>
      </c>
      <c r="I83" t="s">
        <v>296</v>
      </c>
      <c r="J83" t="n">
        <v>0</v>
      </c>
      <c r="K83" t="n">
        <v>0</v>
      </c>
      <c r="L83" t="n">
        <v>0</v>
      </c>
      <c r="M83" t="n">
        <v>12</v>
      </c>
      <c r="N83"/>
      <c r="O83"/>
      <c r="P83"/>
      <c r="Q83" t="n">
        <v>12</v>
      </c>
      <c r="R83" t="s">
        <v>109</v>
      </c>
      <c r="S83" t="s">
        <v>109</v>
      </c>
      <c r="T83"/>
    </row>
    <row r="84">
      <c r="A84" t="s">
        <v>30</v>
      </c>
      <c r="B84" t="n">
        <v>1</v>
      </c>
      <c r="C84" t="n">
        <v>1</v>
      </c>
      <c r="D84" t="n">
        <v>1</v>
      </c>
      <c r="E84" t="n">
        <v>-0.75</v>
      </c>
      <c r="F84" t="n">
        <v>-1.25</v>
      </c>
      <c r="G84" t="n">
        <v>13</v>
      </c>
      <c r="H84" t="n">
        <v>12</v>
      </c>
      <c r="I84" t="s">
        <v>297</v>
      </c>
      <c r="J84" t="n">
        <v>0</v>
      </c>
      <c r="K84" t="n">
        <v>0</v>
      </c>
      <c r="L84" t="n">
        <v>0</v>
      </c>
      <c r="M84" t="n">
        <v>12</v>
      </c>
      <c r="N84" t="n">
        <v>0.25</v>
      </c>
      <c r="O84" t="n">
        <v>-0.25</v>
      </c>
      <c r="P84" t="n">
        <v>77</v>
      </c>
      <c r="Q84" t="n">
        <v>12</v>
      </c>
      <c r="R84" t="s">
        <v>297</v>
      </c>
      <c r="S84" t="s">
        <v>297</v>
      </c>
      <c r="T84" t="n">
        <v>0.125</v>
      </c>
    </row>
    <row r="85">
      <c r="A85" t="s">
        <v>30</v>
      </c>
      <c r="B85" t="n">
        <v>1</v>
      </c>
      <c r="C85" t="n">
        <v>1</v>
      </c>
      <c r="D85" t="n">
        <v>1</v>
      </c>
      <c r="E85" t="n">
        <v>-2</v>
      </c>
      <c r="F85" t="n">
        <v>-1</v>
      </c>
      <c r="G85" t="n">
        <v>178</v>
      </c>
      <c r="H85" t="n">
        <v>12</v>
      </c>
      <c r="I85" t="s">
        <v>297</v>
      </c>
      <c r="J85" t="n">
        <v>0</v>
      </c>
      <c r="K85" t="n">
        <v>0</v>
      </c>
      <c r="L85" t="n">
        <v>0</v>
      </c>
      <c r="M85" t="n">
        <v>12</v>
      </c>
      <c r="N85" t="n">
        <v>0</v>
      </c>
      <c r="O85" t="n">
        <v>-0.25</v>
      </c>
      <c r="P85" t="n">
        <v>84</v>
      </c>
      <c r="Q85" t="n">
        <v>12</v>
      </c>
      <c r="R85" t="s">
        <v>297</v>
      </c>
      <c r="S85" t="s">
        <v>297</v>
      </c>
      <c r="T85" t="n">
        <v>-0.125</v>
      </c>
    </row>
    <row r="86">
      <c r="A86" t="s">
        <v>30</v>
      </c>
      <c r="B86" t="n">
        <v>1.25</v>
      </c>
      <c r="C86" t="n">
        <v>1.25</v>
      </c>
      <c r="D86" t="n">
        <v>1.6</v>
      </c>
      <c r="E86" t="n">
        <v>-3</v>
      </c>
      <c r="F86" t="n">
        <v>-3.5</v>
      </c>
      <c r="G86" t="n">
        <v>156</v>
      </c>
      <c r="H86" t="n">
        <v>12</v>
      </c>
      <c r="I86" t="s">
        <v>298</v>
      </c>
      <c r="J86" t="n">
        <v>0</v>
      </c>
      <c r="K86" t="n">
        <v>0</v>
      </c>
      <c r="L86" t="n">
        <v>0</v>
      </c>
      <c r="M86" t="n">
        <v>12</v>
      </c>
      <c r="N86" t="n">
        <v>0.75</v>
      </c>
      <c r="O86" t="n">
        <v>-1</v>
      </c>
      <c r="P86" t="n">
        <v>3</v>
      </c>
      <c r="Q86" t="n">
        <v>12</v>
      </c>
      <c r="R86" t="s">
        <v>299</v>
      </c>
      <c r="S86" t="s">
        <v>298</v>
      </c>
      <c r="T86" t="n">
        <v>0.25</v>
      </c>
    </row>
    <row r="87">
      <c r="A87" t="s">
        <v>30</v>
      </c>
      <c r="B87" t="n">
        <v>1.25</v>
      </c>
      <c r="C87" t="n">
        <v>1.25</v>
      </c>
      <c r="D87" t="n">
        <v>1.25</v>
      </c>
      <c r="E87" t="n">
        <v>-2.25</v>
      </c>
      <c r="F87" t="n">
        <v>-3</v>
      </c>
      <c r="G87" t="n">
        <v>19</v>
      </c>
      <c r="H87" t="n">
        <v>12</v>
      </c>
      <c r="I87" t="s">
        <v>298</v>
      </c>
      <c r="J87" t="n">
        <v>0</v>
      </c>
      <c r="K87" t="n">
        <v>0</v>
      </c>
      <c r="L87" t="n">
        <v>0</v>
      </c>
      <c r="M87" t="n">
        <v>12</v>
      </c>
      <c r="N87" t="n">
        <v>0.75</v>
      </c>
      <c r="O87" t="n">
        <v>-0.75</v>
      </c>
      <c r="P87" t="n">
        <v>166</v>
      </c>
      <c r="Q87" t="n">
        <v>12</v>
      </c>
      <c r="R87" t="s">
        <v>298</v>
      </c>
      <c r="S87" t="s">
        <v>298</v>
      </c>
      <c r="T87" t="n">
        <v>0.375</v>
      </c>
    </row>
    <row r="88">
      <c r="A88" t="s">
        <v>30</v>
      </c>
      <c r="B88" t="n">
        <v>1</v>
      </c>
      <c r="C88"/>
      <c r="D88" t="n">
        <v>1</v>
      </c>
      <c r="E88" t="n">
        <v>-3.75</v>
      </c>
      <c r="F88" t="n">
        <v>-0.5</v>
      </c>
      <c r="G88" t="n">
        <v>156</v>
      </c>
      <c r="H88" t="n">
        <v>12</v>
      </c>
      <c r="I88" t="s">
        <v>297</v>
      </c>
      <c r="J88" t="n">
        <v>0</v>
      </c>
      <c r="K88" t="n">
        <v>0</v>
      </c>
      <c r="L88" t="n">
        <v>0</v>
      </c>
      <c r="M88" t="n">
        <v>12</v>
      </c>
      <c r="N88" t="n">
        <v>0.75</v>
      </c>
      <c r="O88" t="n">
        <v>-0.25</v>
      </c>
      <c r="P88" t="n">
        <v>30</v>
      </c>
      <c r="Q88" t="n">
        <v>12</v>
      </c>
      <c r="R88" t="s">
        <v>297</v>
      </c>
      <c r="S88" t="s">
        <v>109</v>
      </c>
      <c r="T88" t="n">
        <v>0.625</v>
      </c>
    </row>
    <row r="89">
      <c r="A89" t="s">
        <v>30</v>
      </c>
      <c r="B89" t="n">
        <v>1</v>
      </c>
      <c r="C89" t="n">
        <v>0.8</v>
      </c>
      <c r="D89" t="n">
        <v>1</v>
      </c>
      <c r="E89" t="n">
        <v>-3.75</v>
      </c>
      <c r="F89" t="n">
        <v>-0.5</v>
      </c>
      <c r="G89" t="n">
        <v>11</v>
      </c>
      <c r="H89" t="n">
        <v>12</v>
      </c>
      <c r="I89" t="s">
        <v>297</v>
      </c>
      <c r="J89" t="n">
        <v>0</v>
      </c>
      <c r="K89" t="n">
        <v>0</v>
      </c>
      <c r="L89" t="n">
        <v>0</v>
      </c>
      <c r="M89" t="n">
        <v>12</v>
      </c>
      <c r="N89" t="n">
        <v>1</v>
      </c>
      <c r="O89" t="n">
        <v>-0.25</v>
      </c>
      <c r="P89" t="n">
        <v>143</v>
      </c>
      <c r="Q89" t="n">
        <v>12</v>
      </c>
      <c r="R89" t="s">
        <v>297</v>
      </c>
      <c r="S89" t="s">
        <v>296</v>
      </c>
      <c r="T89" t="n">
        <v>0.875</v>
      </c>
    </row>
    <row r="90">
      <c r="A90" t="s">
        <v>30</v>
      </c>
      <c r="B90" t="n">
        <v>1.25</v>
      </c>
      <c r="C90" t="n">
        <v>1.25</v>
      </c>
      <c r="D90" t="n">
        <v>1.6</v>
      </c>
      <c r="E90" t="n">
        <v>-5.75</v>
      </c>
      <c r="F90" t="n">
        <v>-0.5</v>
      </c>
      <c r="G90" t="n">
        <v>41</v>
      </c>
      <c r="H90" t="n">
        <v>12</v>
      </c>
      <c r="I90" t="s">
        <v>298</v>
      </c>
      <c r="J90" t="n">
        <v>0</v>
      </c>
      <c r="K90" t="n">
        <v>0</v>
      </c>
      <c r="L90" t="n">
        <v>0</v>
      </c>
      <c r="M90" t="n">
        <v>12</v>
      </c>
      <c r="N90" t="n">
        <v>-0.25</v>
      </c>
      <c r="O90" t="n">
        <v>0</v>
      </c>
      <c r="P90" t="n">
        <v>82</v>
      </c>
      <c r="Q90" t="n">
        <v>12</v>
      </c>
      <c r="R90" t="s">
        <v>299</v>
      </c>
      <c r="S90" t="s">
        <v>298</v>
      </c>
      <c r="T90" t="n">
        <v>-0.25</v>
      </c>
    </row>
    <row r="91">
      <c r="A91" t="s">
        <v>30</v>
      </c>
      <c r="B91" t="n">
        <v>1</v>
      </c>
      <c r="C91" t="n">
        <v>1</v>
      </c>
      <c r="D91" t="n">
        <v>1</v>
      </c>
      <c r="E91" t="n">
        <v>-5.5</v>
      </c>
      <c r="F91" t="n">
        <v>-0.75</v>
      </c>
      <c r="G91" t="n">
        <v>100</v>
      </c>
      <c r="H91" t="n">
        <v>12</v>
      </c>
      <c r="I91" t="s">
        <v>297</v>
      </c>
      <c r="J91" t="n">
        <v>0</v>
      </c>
      <c r="K91" t="n">
        <v>0</v>
      </c>
      <c r="L91" t="n">
        <v>0</v>
      </c>
      <c r="M91" t="n">
        <v>12</v>
      </c>
      <c r="N91" t="n">
        <v>0.5</v>
      </c>
      <c r="O91" t="n">
        <v>0</v>
      </c>
      <c r="P91" t="n">
        <v>166</v>
      </c>
      <c r="Q91" t="n">
        <v>12</v>
      </c>
      <c r="R91" t="s">
        <v>297</v>
      </c>
      <c r="S91" t="s">
        <v>297</v>
      </c>
      <c r="T91" t="n">
        <v>0.5</v>
      </c>
    </row>
    <row r="92">
      <c r="A92" t="s">
        <v>30</v>
      </c>
      <c r="B92" t="n">
        <v>1</v>
      </c>
      <c r="C92" t="n">
        <v>1</v>
      </c>
      <c r="D92" t="n">
        <v>1</v>
      </c>
      <c r="E92" t="n">
        <v>-5.5</v>
      </c>
      <c r="F92" t="n">
        <v>-0.5</v>
      </c>
      <c r="G92" t="n">
        <v>96</v>
      </c>
      <c r="H92" t="n">
        <v>12</v>
      </c>
      <c r="I92" t="s">
        <v>297</v>
      </c>
      <c r="J92" t="n">
        <v>0</v>
      </c>
      <c r="K92" t="n">
        <v>0</v>
      </c>
      <c r="L92" t="n">
        <v>0</v>
      </c>
      <c r="M92" t="n">
        <v>12</v>
      </c>
      <c r="N92" t="n">
        <v>0.25</v>
      </c>
      <c r="O92" t="n">
        <v>0</v>
      </c>
      <c r="P92" t="n">
        <v>6</v>
      </c>
      <c r="Q92" t="n">
        <v>12</v>
      </c>
      <c r="R92" t="s">
        <v>297</v>
      </c>
      <c r="S92" t="s">
        <v>297</v>
      </c>
      <c r="T92" t="n">
        <v>0.25</v>
      </c>
    </row>
    <row r="93">
      <c r="A93" t="s">
        <v>30</v>
      </c>
      <c r="B93" t="n">
        <v>0.8</v>
      </c>
      <c r="C93" t="n">
        <v>0.63</v>
      </c>
      <c r="D93" t="n">
        <v>0.63</v>
      </c>
      <c r="E93" t="n">
        <v>0</v>
      </c>
      <c r="F93" t="n">
        <v>-0.75</v>
      </c>
      <c r="G93" t="n">
        <v>31</v>
      </c>
      <c r="H93" t="n">
        <v>12</v>
      </c>
      <c r="I93" t="s">
        <v>296</v>
      </c>
      <c r="J93" t="n">
        <v>0</v>
      </c>
      <c r="K93" t="n">
        <v>0</v>
      </c>
      <c r="L93" t="n">
        <v>0</v>
      </c>
      <c r="M93" t="n">
        <v>12</v>
      </c>
      <c r="N93" t="n">
        <v>0</v>
      </c>
      <c r="O93" t="n">
        <v>0</v>
      </c>
      <c r="P93" t="n">
        <v>166</v>
      </c>
      <c r="Q93" t="n">
        <v>12</v>
      </c>
      <c r="R93" t="s">
        <v>301</v>
      </c>
      <c r="S93" t="s">
        <v>301</v>
      </c>
      <c r="T93" t="n">
        <v>0</v>
      </c>
    </row>
    <row r="94">
      <c r="A94" t="s">
        <v>30</v>
      </c>
      <c r="B94" t="n">
        <v>0.8</v>
      </c>
      <c r="C94" t="n">
        <v>0.8</v>
      </c>
      <c r="D94" t="n">
        <v>0.8</v>
      </c>
      <c r="E94" t="n">
        <v>-2</v>
      </c>
      <c r="F94" t="n">
        <v>-0.25</v>
      </c>
      <c r="G94" t="n">
        <v>156</v>
      </c>
      <c r="H94" t="n">
        <v>12</v>
      </c>
      <c r="I94" t="s">
        <v>296</v>
      </c>
      <c r="J94" t="n">
        <v>0</v>
      </c>
      <c r="K94" t="n">
        <v>0</v>
      </c>
      <c r="L94" t="n">
        <v>0</v>
      </c>
      <c r="M94" t="n">
        <v>12</v>
      </c>
      <c r="N94" t="n">
        <v>0.25</v>
      </c>
      <c r="O94" t="n">
        <v>-0.25</v>
      </c>
      <c r="P94" t="n">
        <v>180</v>
      </c>
      <c r="Q94" t="n">
        <v>12</v>
      </c>
      <c r="R94" t="s">
        <v>296</v>
      </c>
      <c r="S94" t="s">
        <v>296</v>
      </c>
      <c r="T94" t="n">
        <v>0.125</v>
      </c>
    </row>
    <row r="95">
      <c r="A95" t="s">
        <v>30</v>
      </c>
      <c r="B95" t="n">
        <v>1</v>
      </c>
      <c r="C95" t="n">
        <v>1.25</v>
      </c>
      <c r="D95" t="n">
        <v>1.25</v>
      </c>
      <c r="E95" t="n">
        <v>-0.25</v>
      </c>
      <c r="F95" t="n">
        <v>-2</v>
      </c>
      <c r="G95" t="n">
        <v>23</v>
      </c>
      <c r="H95" t="n">
        <v>12</v>
      </c>
      <c r="I95" t="s">
        <v>297</v>
      </c>
      <c r="J95" t="n">
        <v>0</v>
      </c>
      <c r="K95" t="n">
        <v>0</v>
      </c>
      <c r="L95" t="n">
        <v>0</v>
      </c>
      <c r="M95" t="n">
        <v>12</v>
      </c>
      <c r="N95" t="n">
        <v>1</v>
      </c>
      <c r="O95" t="n">
        <v>-0.75</v>
      </c>
      <c r="P95" t="n">
        <v>42</v>
      </c>
      <c r="Q95" t="n">
        <v>12</v>
      </c>
      <c r="R95" t="s">
        <v>298</v>
      </c>
      <c r="S95" t="s">
        <v>298</v>
      </c>
      <c r="T95" t="n">
        <v>0.625</v>
      </c>
    </row>
    <row r="96">
      <c r="A96" t="s">
        <v>30</v>
      </c>
      <c r="B96" t="n">
        <v>1.25</v>
      </c>
      <c r="C96" t="n">
        <v>1.25</v>
      </c>
      <c r="D96" t="n">
        <v>1.25</v>
      </c>
      <c r="E96" t="n">
        <v>-1.5</v>
      </c>
      <c r="F96" t="n">
        <v>-0.5</v>
      </c>
      <c r="G96" t="n">
        <v>140</v>
      </c>
      <c r="H96" t="n">
        <v>12</v>
      </c>
      <c r="I96" t="s">
        <v>298</v>
      </c>
      <c r="J96" t="n">
        <v>0</v>
      </c>
      <c r="K96" t="n">
        <v>0</v>
      </c>
      <c r="L96" t="n">
        <v>0</v>
      </c>
      <c r="M96" t="n">
        <v>12</v>
      </c>
      <c r="N96" t="n">
        <v>-0.25</v>
      </c>
      <c r="O96" t="n">
        <v>-0.25</v>
      </c>
      <c r="P96" t="n">
        <v>77</v>
      </c>
      <c r="Q96" t="n">
        <v>12</v>
      </c>
      <c r="R96" t="s">
        <v>298</v>
      </c>
      <c r="S96" t="s">
        <v>298</v>
      </c>
      <c r="T96" t="n">
        <v>-0.375</v>
      </c>
    </row>
    <row r="97">
      <c r="A97" t="s">
        <v>30</v>
      </c>
      <c r="B97" t="n">
        <v>1.25</v>
      </c>
      <c r="C97" t="n">
        <v>1.25</v>
      </c>
      <c r="D97" t="n">
        <v>1.25</v>
      </c>
      <c r="E97" t="n">
        <v>-1</v>
      </c>
      <c r="F97" t="n">
        <v>-0.25</v>
      </c>
      <c r="G97" t="n">
        <v>42</v>
      </c>
      <c r="H97" t="n">
        <v>12</v>
      </c>
      <c r="I97" t="s">
        <v>298</v>
      </c>
      <c r="J97" t="n">
        <v>0</v>
      </c>
      <c r="K97" t="n">
        <v>0</v>
      </c>
      <c r="L97" t="n">
        <v>0</v>
      </c>
      <c r="M97" t="n">
        <v>12</v>
      </c>
      <c r="N97" t="n">
        <v>0</v>
      </c>
      <c r="O97" t="n">
        <v>-0.25</v>
      </c>
      <c r="P97" t="n">
        <v>92</v>
      </c>
      <c r="Q97" t="n">
        <v>12</v>
      </c>
      <c r="R97" t="s">
        <v>298</v>
      </c>
      <c r="S97" t="s">
        <v>298</v>
      </c>
      <c r="T97" t="n">
        <v>-0.125</v>
      </c>
    </row>
    <row r="98">
      <c r="A98" t="s">
        <v>30</v>
      </c>
      <c r="B98" t="n">
        <v>1.6</v>
      </c>
      <c r="C98" t="n">
        <v>1.25</v>
      </c>
      <c r="D98" t="n">
        <v>1.6</v>
      </c>
      <c r="E98" t="n">
        <v>-1</v>
      </c>
      <c r="F98" t="n">
        <v>-0.75</v>
      </c>
      <c r="G98" t="n">
        <v>4</v>
      </c>
      <c r="H98" t="n">
        <v>12</v>
      </c>
      <c r="I98" t="s">
        <v>299</v>
      </c>
      <c r="J98" t="n">
        <v>0</v>
      </c>
      <c r="K98" t="n">
        <v>0</v>
      </c>
      <c r="L98" t="n">
        <v>0</v>
      </c>
      <c r="M98" t="n">
        <v>12</v>
      </c>
      <c r="N98" t="n">
        <v>-0.5</v>
      </c>
      <c r="O98" t="n">
        <v>0</v>
      </c>
      <c r="P98" t="n">
        <v>130</v>
      </c>
      <c r="Q98" t="n">
        <v>12</v>
      </c>
      <c r="R98" t="s">
        <v>299</v>
      </c>
      <c r="S98" t="s">
        <v>298</v>
      </c>
      <c r="T98" t="n">
        <v>-0.5</v>
      </c>
    </row>
    <row r="99">
      <c r="A99" t="s">
        <v>30</v>
      </c>
      <c r="B99" t="n">
        <v>1.25</v>
      </c>
      <c r="C99" t="n">
        <v>1.25</v>
      </c>
      <c r="D99" t="n">
        <v>1.6</v>
      </c>
      <c r="E99" t="n">
        <v>-1.5</v>
      </c>
      <c r="F99" t="n">
        <v>-1.25</v>
      </c>
      <c r="G99" t="n">
        <v>2</v>
      </c>
      <c r="H99" t="n">
        <v>12</v>
      </c>
      <c r="I99" t="s">
        <v>298</v>
      </c>
      <c r="J99" t="n">
        <v>0</v>
      </c>
      <c r="K99" t="n">
        <v>0</v>
      </c>
      <c r="L99" t="n">
        <v>0</v>
      </c>
      <c r="M99" t="n">
        <v>12</v>
      </c>
      <c r="N99" t="n">
        <v>-0.25</v>
      </c>
      <c r="O99" t="n">
        <v>-0.5</v>
      </c>
      <c r="P99" t="n">
        <v>37</v>
      </c>
      <c r="Q99" t="n">
        <v>12</v>
      </c>
      <c r="R99" t="s">
        <v>299</v>
      </c>
      <c r="S99" t="s">
        <v>298</v>
      </c>
      <c r="T99" t="n">
        <v>-0.5</v>
      </c>
    </row>
    <row r="100">
      <c r="A100" t="s">
        <v>30</v>
      </c>
      <c r="B100" t="n">
        <v>1</v>
      </c>
      <c r="C100" t="n">
        <v>1.25</v>
      </c>
      <c r="D100" t="n">
        <v>1.25</v>
      </c>
      <c r="E100" t="n">
        <v>-2.75</v>
      </c>
      <c r="F100" t="n">
        <v>-0.5</v>
      </c>
      <c r="G100" t="n">
        <v>107</v>
      </c>
      <c r="H100" t="n">
        <v>12</v>
      </c>
      <c r="I100" t="s">
        <v>297</v>
      </c>
      <c r="J100" t="n">
        <v>0</v>
      </c>
      <c r="K100" t="n">
        <v>0</v>
      </c>
      <c r="L100" t="n">
        <v>0</v>
      </c>
      <c r="M100" t="n">
        <v>12</v>
      </c>
      <c r="N100" t="n">
        <v>-0.25</v>
      </c>
      <c r="O100" t="n">
        <v>0</v>
      </c>
      <c r="P100" t="n">
        <v>71</v>
      </c>
      <c r="Q100" t="n">
        <v>12</v>
      </c>
      <c r="R100" t="s">
        <v>298</v>
      </c>
      <c r="S100" t="s">
        <v>298</v>
      </c>
      <c r="T100" t="n">
        <v>-0.25</v>
      </c>
    </row>
    <row r="101">
      <c r="A101" t="s">
        <v>30</v>
      </c>
      <c r="B101" t="n">
        <v>1.25</v>
      </c>
      <c r="C101" t="n">
        <v>1.6</v>
      </c>
      <c r="D101" t="n">
        <v>1.6</v>
      </c>
      <c r="E101" t="n">
        <v>-1.75</v>
      </c>
      <c r="F101" t="n">
        <v>-0.25</v>
      </c>
      <c r="G101" t="n">
        <v>170</v>
      </c>
      <c r="H101" t="n">
        <v>12</v>
      </c>
      <c r="I101" t="s">
        <v>298</v>
      </c>
      <c r="J101" t="n">
        <v>0</v>
      </c>
      <c r="K101" t="n">
        <v>0</v>
      </c>
      <c r="L101" t="n">
        <v>0</v>
      </c>
      <c r="M101" t="n">
        <v>12</v>
      </c>
      <c r="N101" t="n">
        <v>-0.25</v>
      </c>
      <c r="O101" t="n">
        <v>-0.25</v>
      </c>
      <c r="P101" t="n">
        <v>24</v>
      </c>
      <c r="Q101" t="n">
        <v>12</v>
      </c>
      <c r="R101" t="s">
        <v>299</v>
      </c>
      <c r="S101" t="s">
        <v>299</v>
      </c>
      <c r="T101" t="n">
        <v>-0.375</v>
      </c>
    </row>
    <row r="102">
      <c r="A102" t="s">
        <v>30</v>
      </c>
      <c r="B102" t="n">
        <v>1.25</v>
      </c>
      <c r="C102" t="n">
        <v>1.6</v>
      </c>
      <c r="D102" t="n">
        <v>1.6</v>
      </c>
      <c r="E102" t="n">
        <v>-0.75</v>
      </c>
      <c r="F102" t="n">
        <v>-0.25</v>
      </c>
      <c r="G102" t="n">
        <v>179</v>
      </c>
      <c r="H102" t="n">
        <v>12</v>
      </c>
      <c r="I102" t="s">
        <v>298</v>
      </c>
      <c r="J102" t="n">
        <v>0</v>
      </c>
      <c r="K102" t="n">
        <v>0</v>
      </c>
      <c r="L102" t="n">
        <v>0</v>
      </c>
      <c r="M102" t="n">
        <v>12</v>
      </c>
      <c r="N102" t="n">
        <v>0</v>
      </c>
      <c r="O102" t="n">
        <v>-0.25</v>
      </c>
      <c r="P102" t="n">
        <v>21</v>
      </c>
      <c r="Q102" t="n">
        <v>12</v>
      </c>
      <c r="R102" t="s">
        <v>299</v>
      </c>
      <c r="S102" t="s">
        <v>299</v>
      </c>
      <c r="T102" t="n">
        <v>-0.125</v>
      </c>
    </row>
    <row r="103">
      <c r="A103" t="s">
        <v>30</v>
      </c>
      <c r="B103" t="n">
        <v>1</v>
      </c>
      <c r="C103" t="n">
        <v>1</v>
      </c>
      <c r="D103" t="n">
        <v>1</v>
      </c>
      <c r="E103" t="n">
        <v>-5.75</v>
      </c>
      <c r="F103" t="n">
        <v>-1.25</v>
      </c>
      <c r="G103" t="n">
        <v>156</v>
      </c>
      <c r="H103" t="n">
        <v>12</v>
      </c>
      <c r="I103" t="s">
        <v>297</v>
      </c>
      <c r="J103" t="n">
        <v>0</v>
      </c>
      <c r="K103" t="n">
        <v>0</v>
      </c>
      <c r="L103" t="n">
        <v>0</v>
      </c>
      <c r="M103" t="n">
        <v>12</v>
      </c>
      <c r="N103" t="n">
        <v>-0.25</v>
      </c>
      <c r="O103" t="n">
        <v>-0.25</v>
      </c>
      <c r="P103" t="n">
        <v>92</v>
      </c>
      <c r="Q103" t="n">
        <v>12</v>
      </c>
      <c r="R103" t="s">
        <v>297</v>
      </c>
      <c r="S103" t="s">
        <v>297</v>
      </c>
      <c r="T103" t="n">
        <v>-0.375</v>
      </c>
    </row>
    <row r="104">
      <c r="A104" t="s">
        <v>30</v>
      </c>
      <c r="B104" t="n">
        <v>1</v>
      </c>
      <c r="C104" t="n">
        <v>1</v>
      </c>
      <c r="D104" t="n">
        <v>1</v>
      </c>
      <c r="E104" t="n">
        <v>-4.75</v>
      </c>
      <c r="F104" t="n">
        <v>-2</v>
      </c>
      <c r="G104" t="n">
        <v>36</v>
      </c>
      <c r="H104" t="n">
        <v>12</v>
      </c>
      <c r="I104" t="s">
        <v>297</v>
      </c>
      <c r="J104" t="n">
        <v>0</v>
      </c>
      <c r="K104" t="n">
        <v>0</v>
      </c>
      <c r="L104" t="n">
        <v>0</v>
      </c>
      <c r="M104" t="n">
        <v>12</v>
      </c>
      <c r="N104" t="n">
        <v>-0.25</v>
      </c>
      <c r="O104" t="n">
        <v>-0.25</v>
      </c>
      <c r="P104" t="n">
        <v>80</v>
      </c>
      <c r="Q104" t="n">
        <v>12</v>
      </c>
      <c r="R104" t="s">
        <v>297</v>
      </c>
      <c r="S104" t="s">
        <v>297</v>
      </c>
      <c r="T104" t="n">
        <v>-0.375</v>
      </c>
    </row>
    <row r="105">
      <c r="A105" t="s">
        <v>30</v>
      </c>
      <c r="B105" t="n">
        <v>1</v>
      </c>
      <c r="C105" t="n">
        <v>1</v>
      </c>
      <c r="D105" t="n">
        <v>1</v>
      </c>
      <c r="E105" t="n">
        <v>-3.75</v>
      </c>
      <c r="F105" t="n">
        <v>-0.75</v>
      </c>
      <c r="G105" t="n">
        <v>35</v>
      </c>
      <c r="H105" t="n">
        <v>12</v>
      </c>
      <c r="I105" t="s">
        <v>297</v>
      </c>
      <c r="J105" t="n">
        <v>0</v>
      </c>
      <c r="K105" t="n">
        <v>0</v>
      </c>
      <c r="L105" t="n">
        <v>0</v>
      </c>
      <c r="M105" t="n">
        <v>12</v>
      </c>
      <c r="N105" t="n">
        <v>0.75</v>
      </c>
      <c r="O105" t="n">
        <v>-0.25</v>
      </c>
      <c r="P105" t="n">
        <v>7</v>
      </c>
      <c r="Q105" t="n">
        <v>12</v>
      </c>
      <c r="R105" t="s">
        <v>297</v>
      </c>
      <c r="S105" t="s">
        <v>297</v>
      </c>
      <c r="T105" t="n">
        <v>0.625</v>
      </c>
    </row>
    <row r="106">
      <c r="A106" t="s">
        <v>30</v>
      </c>
      <c r="B106" t="n">
        <v>1</v>
      </c>
      <c r="C106" t="n">
        <v>1</v>
      </c>
      <c r="D106" t="n">
        <v>1</v>
      </c>
      <c r="E106" t="n">
        <v>-3.75</v>
      </c>
      <c r="F106" t="n">
        <v>-0.5</v>
      </c>
      <c r="G106" t="n">
        <v>143</v>
      </c>
      <c r="H106" t="n">
        <v>12</v>
      </c>
      <c r="I106" t="s">
        <v>297</v>
      </c>
      <c r="J106" t="n">
        <v>0</v>
      </c>
      <c r="K106" t="n">
        <v>0</v>
      </c>
      <c r="L106" t="n">
        <v>0</v>
      </c>
      <c r="M106" t="n">
        <v>12</v>
      </c>
      <c r="N106" t="n">
        <v>0.25</v>
      </c>
      <c r="O106" t="n">
        <v>-0.25</v>
      </c>
      <c r="P106" t="n">
        <v>33</v>
      </c>
      <c r="Q106" t="n">
        <v>12</v>
      </c>
      <c r="R106" t="s">
        <v>297</v>
      </c>
      <c r="S106" t="s">
        <v>297</v>
      </c>
      <c r="T106" t="n">
        <v>0.125</v>
      </c>
    </row>
    <row r="107">
      <c r="A107" t="s">
        <v>30</v>
      </c>
      <c r="B107" t="n">
        <v>1</v>
      </c>
      <c r="C107" t="n">
        <v>1.25</v>
      </c>
      <c r="D107" t="n">
        <v>1.25</v>
      </c>
      <c r="E107" t="n">
        <v>-0.25</v>
      </c>
      <c r="F107" t="n">
        <v>-0.5</v>
      </c>
      <c r="G107" t="n">
        <v>68</v>
      </c>
      <c r="H107" t="n">
        <v>12</v>
      </c>
      <c r="I107" t="s">
        <v>297</v>
      </c>
      <c r="J107" t="n">
        <v>0</v>
      </c>
      <c r="K107" t="n">
        <v>0</v>
      </c>
      <c r="L107" t="n">
        <v>0</v>
      </c>
      <c r="M107" t="n">
        <v>12</v>
      </c>
      <c r="N107" t="n">
        <v>-0.25</v>
      </c>
      <c r="O107" t="n">
        <v>-0.25</v>
      </c>
      <c r="P107" t="n">
        <v>126</v>
      </c>
      <c r="Q107" t="n">
        <v>12</v>
      </c>
      <c r="R107" t="s">
        <v>298</v>
      </c>
      <c r="S107" t="s">
        <v>298</v>
      </c>
      <c r="T107" t="n">
        <v>-0.375</v>
      </c>
    </row>
    <row r="108">
      <c r="A108" t="s">
        <v>30</v>
      </c>
      <c r="B108" t="n">
        <v>0.8</v>
      </c>
      <c r="C108"/>
      <c r="D108"/>
      <c r="E108" t="n">
        <v>-4</v>
      </c>
      <c r="F108" t="n">
        <v>-1.25</v>
      </c>
      <c r="G108" t="n">
        <v>118</v>
      </c>
      <c r="H108" t="n">
        <v>12</v>
      </c>
      <c r="I108" t="s">
        <v>296</v>
      </c>
      <c r="J108" t="n">
        <v>0</v>
      </c>
      <c r="K108" t="n">
        <v>0</v>
      </c>
      <c r="L108" t="n">
        <v>0</v>
      </c>
      <c r="M108" t="n">
        <v>12</v>
      </c>
      <c r="N108"/>
      <c r="O108"/>
      <c r="P108"/>
      <c r="Q108" t="n">
        <v>12</v>
      </c>
      <c r="R108" t="s">
        <v>109</v>
      </c>
      <c r="S108" t="s">
        <v>109</v>
      </c>
      <c r="T108"/>
    </row>
    <row r="109">
      <c r="A109" t="s">
        <v>30</v>
      </c>
      <c r="B109" t="n">
        <v>1</v>
      </c>
      <c r="C109"/>
      <c r="D109"/>
      <c r="E109" t="n">
        <v>-3.25</v>
      </c>
      <c r="F109" t="n">
        <v>-0.75</v>
      </c>
      <c r="G109" t="n">
        <v>45</v>
      </c>
      <c r="H109" t="n">
        <v>12</v>
      </c>
      <c r="I109" t="s">
        <v>297</v>
      </c>
      <c r="J109" t="n">
        <v>0</v>
      </c>
      <c r="K109" t="n">
        <v>0</v>
      </c>
      <c r="L109" t="n">
        <v>0</v>
      </c>
      <c r="M109" t="n">
        <v>12</v>
      </c>
      <c r="N109"/>
      <c r="O109"/>
      <c r="P109"/>
      <c r="Q109" t="n">
        <v>12</v>
      </c>
      <c r="R109" t="s">
        <v>109</v>
      </c>
      <c r="S109" t="s">
        <v>109</v>
      </c>
      <c r="T109"/>
    </row>
    <row r="110">
      <c r="A110" t="s">
        <v>30</v>
      </c>
      <c r="B110" t="n">
        <v>1.25</v>
      </c>
      <c r="C110" t="n">
        <v>1.25</v>
      </c>
      <c r="D110" t="n">
        <v>1.25</v>
      </c>
      <c r="E110" t="n">
        <v>-2.5</v>
      </c>
      <c r="F110" t="n">
        <v>-1.25</v>
      </c>
      <c r="G110" t="n">
        <v>79</v>
      </c>
      <c r="H110" t="n">
        <v>12</v>
      </c>
      <c r="I110" t="s">
        <v>298</v>
      </c>
      <c r="J110" t="n">
        <v>0</v>
      </c>
      <c r="K110" t="n">
        <v>0</v>
      </c>
      <c r="L110" t="n">
        <v>0</v>
      </c>
      <c r="M110" t="n">
        <v>12</v>
      </c>
      <c r="N110" t="n">
        <v>0.5</v>
      </c>
      <c r="O110" t="n">
        <v>-0.5</v>
      </c>
      <c r="P110" t="n">
        <v>40</v>
      </c>
      <c r="Q110" t="n">
        <v>12</v>
      </c>
      <c r="R110" t="s">
        <v>298</v>
      </c>
      <c r="S110" t="s">
        <v>298</v>
      </c>
      <c r="T110" t="n">
        <v>0.25</v>
      </c>
    </row>
    <row r="111">
      <c r="A111" t="s">
        <v>30</v>
      </c>
      <c r="B111" t="n">
        <v>1.25</v>
      </c>
      <c r="C111" t="n">
        <v>1.6</v>
      </c>
      <c r="D111" t="n">
        <v>1.6</v>
      </c>
      <c r="E111" t="n">
        <v>-5.5</v>
      </c>
      <c r="F111" t="n">
        <v>-0.75</v>
      </c>
      <c r="G111" t="n">
        <v>81</v>
      </c>
      <c r="H111" t="n">
        <v>12</v>
      </c>
      <c r="I111" t="s">
        <v>298</v>
      </c>
      <c r="J111" t="n">
        <v>0</v>
      </c>
      <c r="K111" t="n">
        <v>0</v>
      </c>
      <c r="L111" t="n">
        <v>0</v>
      </c>
      <c r="M111" t="n">
        <v>12</v>
      </c>
      <c r="N111" t="n">
        <v>0.5</v>
      </c>
      <c r="O111" t="n">
        <v>-0.25</v>
      </c>
      <c r="P111" t="n">
        <v>130</v>
      </c>
      <c r="Q111" t="n">
        <v>12</v>
      </c>
      <c r="R111" t="s">
        <v>299</v>
      </c>
      <c r="S111" t="s">
        <v>299</v>
      </c>
      <c r="T111" t="n">
        <v>0.375</v>
      </c>
    </row>
    <row r="112">
      <c r="A112" t="s">
        <v>30</v>
      </c>
      <c r="B112" t="n">
        <v>1.25</v>
      </c>
      <c r="C112" t="n">
        <v>1.6</v>
      </c>
      <c r="D112" t="n">
        <v>1.6</v>
      </c>
      <c r="E112" t="n">
        <v>-4.25</v>
      </c>
      <c r="F112" t="n">
        <v>-0.75</v>
      </c>
      <c r="G112" t="n">
        <v>93</v>
      </c>
      <c r="H112" t="n">
        <v>12</v>
      </c>
      <c r="I112" t="s">
        <v>298</v>
      </c>
      <c r="J112" t="n">
        <v>0</v>
      </c>
      <c r="K112" t="n">
        <v>0</v>
      </c>
      <c r="L112" t="n">
        <v>0</v>
      </c>
      <c r="M112" t="n">
        <v>12</v>
      </c>
      <c r="N112" t="n">
        <v>0.75</v>
      </c>
      <c r="O112" t="n">
        <v>0</v>
      </c>
      <c r="P112" t="n">
        <v>102</v>
      </c>
      <c r="Q112" t="n">
        <v>12</v>
      </c>
      <c r="R112" t="s">
        <v>299</v>
      </c>
      <c r="S112" t="s">
        <v>299</v>
      </c>
      <c r="T112" t="n">
        <v>0.75</v>
      </c>
    </row>
    <row r="113">
      <c r="A113" t="s">
        <v>30</v>
      </c>
      <c r="B113" t="n">
        <v>1</v>
      </c>
      <c r="C113" t="n">
        <v>1</v>
      </c>
      <c r="D113" t="n">
        <v>1</v>
      </c>
      <c r="E113" t="n">
        <v>-3.25</v>
      </c>
      <c r="F113" t="n">
        <v>-0.25</v>
      </c>
      <c r="G113" t="n">
        <v>13</v>
      </c>
      <c r="H113" t="n">
        <v>12</v>
      </c>
      <c r="I113" t="s">
        <v>297</v>
      </c>
      <c r="J113" t="n">
        <v>0</v>
      </c>
      <c r="K113" t="n">
        <v>0</v>
      </c>
      <c r="L113" t="n">
        <v>0</v>
      </c>
      <c r="M113" t="n">
        <v>12</v>
      </c>
      <c r="N113" t="n">
        <v>0.5</v>
      </c>
      <c r="O113" t="n">
        <v>0</v>
      </c>
      <c r="P113" t="n">
        <v>58</v>
      </c>
      <c r="Q113" t="n">
        <v>12</v>
      </c>
      <c r="R113" t="s">
        <v>297</v>
      </c>
      <c r="S113" t="s">
        <v>297</v>
      </c>
      <c r="T113" t="n">
        <v>0.5</v>
      </c>
    </row>
    <row r="114">
      <c r="A114" t="s">
        <v>30</v>
      </c>
      <c r="B114" t="n">
        <v>1</v>
      </c>
      <c r="C114" t="n">
        <v>1</v>
      </c>
      <c r="D114" t="n">
        <v>1</v>
      </c>
      <c r="E114" t="n">
        <v>-3.5</v>
      </c>
      <c r="F114" t="n">
        <v>-1</v>
      </c>
      <c r="G114" t="n">
        <v>180</v>
      </c>
      <c r="H114" t="n">
        <v>12</v>
      </c>
      <c r="I114" t="s">
        <v>297</v>
      </c>
      <c r="J114" t="n">
        <v>0</v>
      </c>
      <c r="K114" t="n">
        <v>0</v>
      </c>
      <c r="L114" t="n">
        <v>0</v>
      </c>
      <c r="M114" t="n">
        <v>12</v>
      </c>
      <c r="N114" t="n">
        <v>0.5</v>
      </c>
      <c r="O114" t="n">
        <v>-0.25</v>
      </c>
      <c r="P114" t="n">
        <v>135</v>
      </c>
      <c r="Q114" t="n">
        <v>12</v>
      </c>
      <c r="R114" t="s">
        <v>297</v>
      </c>
      <c r="S114" t="s">
        <v>297</v>
      </c>
      <c r="T114" t="n">
        <v>0.375</v>
      </c>
    </row>
    <row r="115">
      <c r="A115" t="s">
        <v>30</v>
      </c>
      <c r="B115" t="n">
        <v>1.25</v>
      </c>
      <c r="C115" t="n">
        <v>1.25</v>
      </c>
      <c r="D115" t="n">
        <v>1.25</v>
      </c>
      <c r="E115" t="n">
        <v>-4.5</v>
      </c>
      <c r="F115" t="n">
        <v>-1</v>
      </c>
      <c r="G115" t="n">
        <v>4</v>
      </c>
      <c r="H115" t="n">
        <v>12</v>
      </c>
      <c r="I115" t="s">
        <v>298</v>
      </c>
      <c r="J115" t="n">
        <v>0</v>
      </c>
      <c r="K115" t="n">
        <v>0</v>
      </c>
      <c r="L115" t="n">
        <v>0</v>
      </c>
      <c r="M115" t="n">
        <v>12</v>
      </c>
      <c r="N115" t="n">
        <v>0.5</v>
      </c>
      <c r="O115" t="n">
        <v>-0.5</v>
      </c>
      <c r="P115" t="n">
        <v>17</v>
      </c>
      <c r="Q115" t="n">
        <v>12</v>
      </c>
      <c r="R115" t="s">
        <v>298</v>
      </c>
      <c r="S115" t="s">
        <v>298</v>
      </c>
      <c r="T115" t="n">
        <v>0.25</v>
      </c>
    </row>
    <row r="116">
      <c r="A116" t="s">
        <v>30</v>
      </c>
      <c r="B116" t="n">
        <v>1.25</v>
      </c>
      <c r="C116" t="n">
        <v>1</v>
      </c>
      <c r="D116" t="n">
        <v>1</v>
      </c>
      <c r="E116" t="n">
        <v>-2.25</v>
      </c>
      <c r="F116" t="n">
        <v>-0.75</v>
      </c>
      <c r="G116" t="n">
        <v>8</v>
      </c>
      <c r="H116" t="n">
        <v>12</v>
      </c>
      <c r="I116" t="s">
        <v>298</v>
      </c>
      <c r="J116" t="n">
        <v>0</v>
      </c>
      <c r="K116" t="n">
        <v>0</v>
      </c>
      <c r="L116" t="n">
        <v>0</v>
      </c>
      <c r="M116" t="n">
        <v>12</v>
      </c>
      <c r="N116" t="n">
        <v>0.25</v>
      </c>
      <c r="O116" t="n">
        <v>-0.25</v>
      </c>
      <c r="P116" t="n">
        <v>8</v>
      </c>
      <c r="Q116" t="n">
        <v>12</v>
      </c>
      <c r="R116" t="s">
        <v>297</v>
      </c>
      <c r="S116" t="s">
        <v>297</v>
      </c>
      <c r="T116" t="n">
        <v>0.125</v>
      </c>
    </row>
    <row r="117">
      <c r="A117" t="s">
        <v>30</v>
      </c>
      <c r="B117" t="n">
        <v>1</v>
      </c>
      <c r="C117" t="n">
        <v>1</v>
      </c>
      <c r="D117" t="n">
        <v>1</v>
      </c>
      <c r="E117" t="n">
        <v>-2.75</v>
      </c>
      <c r="F117" t="n">
        <v>-1.75</v>
      </c>
      <c r="G117" t="n">
        <v>168</v>
      </c>
      <c r="H117" t="n">
        <v>12</v>
      </c>
      <c r="I117" t="s">
        <v>297</v>
      </c>
      <c r="J117" t="n">
        <v>0</v>
      </c>
      <c r="K117" t="n">
        <v>0</v>
      </c>
      <c r="L117" t="n">
        <v>0</v>
      </c>
      <c r="M117" t="n">
        <v>12</v>
      </c>
      <c r="N117" t="n">
        <v>0.75</v>
      </c>
      <c r="O117" t="n">
        <v>-0.5</v>
      </c>
      <c r="P117" t="n">
        <v>7</v>
      </c>
      <c r="Q117" t="n">
        <v>12</v>
      </c>
      <c r="R117" t="s">
        <v>297</v>
      </c>
      <c r="S117" t="s">
        <v>297</v>
      </c>
      <c r="T117" t="n">
        <v>0.5</v>
      </c>
    </row>
    <row r="118">
      <c r="A118" t="s">
        <v>30</v>
      </c>
      <c r="B118" t="n">
        <v>1</v>
      </c>
      <c r="C118" t="n">
        <v>0.8</v>
      </c>
      <c r="D118" t="n">
        <v>1</v>
      </c>
      <c r="E118" t="n">
        <v>-2.25</v>
      </c>
      <c r="F118" t="n">
        <v>-1.25</v>
      </c>
      <c r="G118" t="n">
        <v>13</v>
      </c>
      <c r="H118" t="n">
        <v>12</v>
      </c>
      <c r="I118" t="s">
        <v>297</v>
      </c>
      <c r="J118" t="n">
        <v>0</v>
      </c>
      <c r="K118" t="n">
        <v>0</v>
      </c>
      <c r="L118" t="n">
        <v>0</v>
      </c>
      <c r="M118" t="n">
        <v>12</v>
      </c>
      <c r="N118" t="n">
        <v>-0.25</v>
      </c>
      <c r="O118" t="n">
        <v>-0.5</v>
      </c>
      <c r="P118" t="n">
        <v>153</v>
      </c>
      <c r="Q118" t="n">
        <v>12</v>
      </c>
      <c r="R118" t="s">
        <v>297</v>
      </c>
      <c r="S118" t="s">
        <v>296</v>
      </c>
      <c r="T118" t="n">
        <v>-0.5</v>
      </c>
    </row>
    <row r="119">
      <c r="A119" t="s">
        <v>30</v>
      </c>
      <c r="B119" t="n">
        <v>1</v>
      </c>
      <c r="C119" t="n">
        <v>0.8</v>
      </c>
      <c r="D119" t="n">
        <v>0.8</v>
      </c>
      <c r="E119" t="n">
        <v>0</v>
      </c>
      <c r="F119" t="n">
        <v>-0.75</v>
      </c>
      <c r="G119" t="n">
        <v>2</v>
      </c>
      <c r="H119" t="n">
        <v>12</v>
      </c>
      <c r="I119" t="s">
        <v>297</v>
      </c>
      <c r="J119" t="n">
        <v>0</v>
      </c>
      <c r="K119" t="n">
        <v>0</v>
      </c>
      <c r="L119" t="n">
        <v>0</v>
      </c>
      <c r="M119" t="n">
        <v>12</v>
      </c>
      <c r="N119" t="n">
        <v>0.75</v>
      </c>
      <c r="O119" t="n">
        <v>-0.25</v>
      </c>
      <c r="P119" t="n">
        <v>1</v>
      </c>
      <c r="Q119" t="n">
        <v>12</v>
      </c>
      <c r="R119" t="s">
        <v>296</v>
      </c>
      <c r="S119" t="s">
        <v>296</v>
      </c>
      <c r="T119" t="n">
        <v>0.625</v>
      </c>
    </row>
    <row r="120">
      <c r="A120" t="s">
        <v>30</v>
      </c>
      <c r="B120" t="n">
        <v>1</v>
      </c>
      <c r="C120" t="n">
        <v>1</v>
      </c>
      <c r="D120" t="n">
        <v>1</v>
      </c>
      <c r="E120" t="n">
        <v>-0.75</v>
      </c>
      <c r="F120" t="n">
        <v>-0.75</v>
      </c>
      <c r="G120" t="n">
        <v>180</v>
      </c>
      <c r="H120" t="n">
        <v>12</v>
      </c>
      <c r="I120" t="s">
        <v>297</v>
      </c>
      <c r="J120" t="n">
        <v>0</v>
      </c>
      <c r="K120" t="n">
        <v>0</v>
      </c>
      <c r="L120" t="n">
        <v>0</v>
      </c>
      <c r="M120" t="n">
        <v>12</v>
      </c>
      <c r="N120" t="n">
        <v>0.25</v>
      </c>
      <c r="O120" t="n">
        <v>-0.25</v>
      </c>
      <c r="P120" t="n">
        <v>173</v>
      </c>
      <c r="Q120" t="n">
        <v>12</v>
      </c>
      <c r="R120" t="s">
        <v>297</v>
      </c>
      <c r="S120" t="s">
        <v>297</v>
      </c>
      <c r="T120" t="n">
        <v>0.125</v>
      </c>
    </row>
    <row r="121">
      <c r="A121" t="s">
        <v>30</v>
      </c>
      <c r="B121" t="n">
        <v>1.25</v>
      </c>
      <c r="C121" t="n">
        <v>1.6</v>
      </c>
      <c r="D121" t="n">
        <v>1.6</v>
      </c>
      <c r="E121" t="n">
        <v>-1.75</v>
      </c>
      <c r="F121" t="n">
        <v>-0.5</v>
      </c>
      <c r="G121" t="n">
        <v>44</v>
      </c>
      <c r="H121" t="n">
        <v>12</v>
      </c>
      <c r="I121" t="s">
        <v>298</v>
      </c>
      <c r="J121" t="n">
        <v>0</v>
      </c>
      <c r="K121" t="n">
        <v>0</v>
      </c>
      <c r="L121" t="n">
        <v>0</v>
      </c>
      <c r="M121" t="n">
        <v>12</v>
      </c>
      <c r="N121" t="n">
        <v>0.25</v>
      </c>
      <c r="O121" t="n">
        <v>-0.25</v>
      </c>
      <c r="P121" t="n">
        <v>21</v>
      </c>
      <c r="Q121" t="n">
        <v>12</v>
      </c>
      <c r="R121" t="s">
        <v>299</v>
      </c>
      <c r="S121" t="s">
        <v>299</v>
      </c>
      <c r="T121" t="n">
        <v>0.125</v>
      </c>
    </row>
    <row r="122">
      <c r="A122" t="s">
        <v>30</v>
      </c>
      <c r="B122" t="n">
        <v>1</v>
      </c>
      <c r="C122" t="n">
        <v>1.25</v>
      </c>
      <c r="D122" t="n">
        <v>1.6</v>
      </c>
      <c r="E122" t="n">
        <v>-4.25</v>
      </c>
      <c r="F122" t="n">
        <v>-0.5</v>
      </c>
      <c r="G122" t="n">
        <v>125</v>
      </c>
      <c r="H122" t="n">
        <v>12</v>
      </c>
      <c r="I122" t="s">
        <v>297</v>
      </c>
      <c r="J122" t="n">
        <v>0</v>
      </c>
      <c r="K122" t="n">
        <v>0</v>
      </c>
      <c r="L122" t="n">
        <v>0</v>
      </c>
      <c r="M122" t="n">
        <v>12</v>
      </c>
      <c r="N122" t="n">
        <v>-0.5</v>
      </c>
      <c r="O122" t="n">
        <v>-0.5</v>
      </c>
      <c r="P122" t="n">
        <v>158</v>
      </c>
      <c r="Q122" t="n">
        <v>12</v>
      </c>
      <c r="R122" t="s">
        <v>299</v>
      </c>
      <c r="S122" t="s">
        <v>298</v>
      </c>
      <c r="T122" t="n">
        <v>-0.75</v>
      </c>
    </row>
    <row r="123">
      <c r="A123" t="s">
        <v>30</v>
      </c>
      <c r="B123" t="n">
        <v>1</v>
      </c>
      <c r="C123" t="n">
        <v>0.8</v>
      </c>
      <c r="D123" t="n">
        <v>1</v>
      </c>
      <c r="E123" t="n">
        <v>-2.5</v>
      </c>
      <c r="F123" t="n">
        <v>-1.25</v>
      </c>
      <c r="G123" t="n">
        <v>16</v>
      </c>
      <c r="H123" t="n">
        <v>12</v>
      </c>
      <c r="I123" t="s">
        <v>297</v>
      </c>
      <c r="J123" t="n">
        <v>0</v>
      </c>
      <c r="K123" t="n">
        <v>0</v>
      </c>
      <c r="L123" t="n">
        <v>0</v>
      </c>
      <c r="M123" t="n">
        <v>12</v>
      </c>
      <c r="N123" t="n">
        <v>0.25</v>
      </c>
      <c r="O123" t="n">
        <v>-0.5</v>
      </c>
      <c r="P123" t="n">
        <v>29</v>
      </c>
      <c r="Q123" t="n">
        <v>12</v>
      </c>
      <c r="R123" t="s">
        <v>297</v>
      </c>
      <c r="S123" t="s">
        <v>296</v>
      </c>
      <c r="T123" t="n">
        <v>0</v>
      </c>
    </row>
    <row r="124">
      <c r="A124" t="s">
        <v>30</v>
      </c>
      <c r="B124" t="n">
        <v>1</v>
      </c>
      <c r="C124" t="n">
        <v>1</v>
      </c>
      <c r="D124" t="n">
        <v>1</v>
      </c>
      <c r="E124" t="n">
        <v>-4.75</v>
      </c>
      <c r="F124" t="n">
        <v>-1.5</v>
      </c>
      <c r="G124" t="n">
        <v>166</v>
      </c>
      <c r="H124" t="n">
        <v>12</v>
      </c>
      <c r="I124" t="s">
        <v>297</v>
      </c>
      <c r="J124" t="n">
        <v>0</v>
      </c>
      <c r="K124" t="n">
        <v>0</v>
      </c>
      <c r="L124" t="n">
        <v>0</v>
      </c>
      <c r="M124" t="n">
        <v>12</v>
      </c>
      <c r="N124" t="n">
        <v>0.25</v>
      </c>
      <c r="O124" t="n">
        <v>-0.5</v>
      </c>
      <c r="P124" t="n">
        <v>162</v>
      </c>
      <c r="Q124" t="n">
        <v>12</v>
      </c>
      <c r="R124" t="s">
        <v>297</v>
      </c>
      <c r="S124" t="s">
        <v>297</v>
      </c>
      <c r="T124" t="n">
        <v>0</v>
      </c>
    </row>
    <row r="125">
      <c r="A125" t="s">
        <v>30</v>
      </c>
      <c r="B125" t="n">
        <v>1</v>
      </c>
      <c r="C125" t="n">
        <v>1</v>
      </c>
      <c r="D125" t="n">
        <v>1</v>
      </c>
      <c r="E125" t="n">
        <v>-3.75</v>
      </c>
      <c r="F125" t="n">
        <v>-0.75</v>
      </c>
      <c r="G125" t="n">
        <v>7</v>
      </c>
      <c r="H125" t="n">
        <v>12</v>
      </c>
      <c r="I125" t="s">
        <v>297</v>
      </c>
      <c r="J125" t="n">
        <v>0</v>
      </c>
      <c r="K125" t="n">
        <v>0</v>
      </c>
      <c r="L125" t="n">
        <v>0</v>
      </c>
      <c r="M125" t="n">
        <v>12</v>
      </c>
      <c r="N125" t="n">
        <v>-0.25</v>
      </c>
      <c r="O125" t="n">
        <v>0</v>
      </c>
      <c r="P125" t="n">
        <v>139</v>
      </c>
      <c r="Q125" t="n">
        <v>12</v>
      </c>
      <c r="R125" t="s">
        <v>297</v>
      </c>
      <c r="S125" t="s">
        <v>297</v>
      </c>
      <c r="T125" t="n">
        <v>-0.25</v>
      </c>
    </row>
    <row r="126">
      <c r="A126" t="s">
        <v>30</v>
      </c>
      <c r="B126" t="n">
        <v>1</v>
      </c>
      <c r="C126" t="n">
        <v>1.25</v>
      </c>
      <c r="D126" t="n">
        <v>1.25</v>
      </c>
      <c r="E126" t="n">
        <v>-2.5</v>
      </c>
      <c r="F126" t="n">
        <v>-0.75</v>
      </c>
      <c r="G126" t="n">
        <v>89</v>
      </c>
      <c r="H126" t="n">
        <v>12</v>
      </c>
      <c r="I126" t="s">
        <v>297</v>
      </c>
      <c r="J126" t="n">
        <v>0</v>
      </c>
      <c r="K126" t="n">
        <v>0</v>
      </c>
      <c r="L126" t="n">
        <v>0</v>
      </c>
      <c r="M126" t="n">
        <v>12</v>
      </c>
      <c r="N126" t="n">
        <v>1</v>
      </c>
      <c r="O126" t="n">
        <v>-0.25</v>
      </c>
      <c r="P126" t="n">
        <v>80</v>
      </c>
      <c r="Q126" t="n">
        <v>12</v>
      </c>
      <c r="R126" t="s">
        <v>298</v>
      </c>
      <c r="S126" t="s">
        <v>298</v>
      </c>
      <c r="T126" t="n">
        <v>0.875</v>
      </c>
    </row>
    <row r="127">
      <c r="A127" t="s">
        <v>30</v>
      </c>
      <c r="B127" t="n">
        <v>1.25</v>
      </c>
      <c r="C127" t="n">
        <v>1.25</v>
      </c>
      <c r="D127" t="n">
        <v>1.25</v>
      </c>
      <c r="E127" t="n">
        <v>-2.25</v>
      </c>
      <c r="F127" t="n">
        <v>-0.5</v>
      </c>
      <c r="G127" t="n">
        <v>165</v>
      </c>
      <c r="H127" t="n">
        <v>12</v>
      </c>
      <c r="I127" t="s">
        <v>298</v>
      </c>
      <c r="J127" t="n">
        <v>0</v>
      </c>
      <c r="K127" t="n">
        <v>0</v>
      </c>
      <c r="L127" t="n">
        <v>0</v>
      </c>
      <c r="M127" t="n">
        <v>12</v>
      </c>
      <c r="N127" t="n">
        <v>0</v>
      </c>
      <c r="O127" t="n">
        <v>-0.25</v>
      </c>
      <c r="P127" t="n">
        <v>170</v>
      </c>
      <c r="Q127" t="n">
        <v>12</v>
      </c>
      <c r="R127" t="s">
        <v>298</v>
      </c>
      <c r="S127" t="s">
        <v>298</v>
      </c>
      <c r="T127" t="n">
        <v>-0.125</v>
      </c>
    </row>
    <row r="128">
      <c r="A128" t="s">
        <v>30</v>
      </c>
      <c r="B128" t="n">
        <v>1</v>
      </c>
      <c r="C128" t="n">
        <v>1</v>
      </c>
      <c r="D128" t="n">
        <v>1</v>
      </c>
      <c r="E128" t="n">
        <v>-3.25</v>
      </c>
      <c r="F128" t="n">
        <v>-0.5</v>
      </c>
      <c r="G128" t="n">
        <v>21</v>
      </c>
      <c r="H128" t="n">
        <v>12</v>
      </c>
      <c r="I128" t="s">
        <v>297</v>
      </c>
      <c r="J128" t="n">
        <v>0</v>
      </c>
      <c r="K128" t="n">
        <v>0</v>
      </c>
      <c r="L128" t="n">
        <v>0</v>
      </c>
      <c r="M128" t="n">
        <v>12</v>
      </c>
      <c r="N128" t="n">
        <v>0.5</v>
      </c>
      <c r="O128" t="n">
        <v>-0.25</v>
      </c>
      <c r="P128" t="n">
        <v>19</v>
      </c>
      <c r="Q128" t="n">
        <v>12</v>
      </c>
      <c r="R128" t="s">
        <v>297</v>
      </c>
      <c r="S128" t="s">
        <v>297</v>
      </c>
      <c r="T128" t="n">
        <v>0.375</v>
      </c>
    </row>
    <row r="129">
      <c r="A129" t="s">
        <v>30</v>
      </c>
      <c r="B129" t="n">
        <v>1</v>
      </c>
      <c r="C129" t="n">
        <v>1.25</v>
      </c>
      <c r="D129" t="n">
        <v>1.25</v>
      </c>
      <c r="E129" t="n">
        <v>-4</v>
      </c>
      <c r="F129" t="n">
        <v>-1</v>
      </c>
      <c r="G129" t="n">
        <v>167</v>
      </c>
      <c r="H129" t="n">
        <v>12</v>
      </c>
      <c r="I129" t="s">
        <v>297</v>
      </c>
      <c r="J129" t="n">
        <v>0</v>
      </c>
      <c r="K129" t="n">
        <v>0</v>
      </c>
      <c r="L129" t="n">
        <v>0</v>
      </c>
      <c r="M129" t="n">
        <v>12</v>
      </c>
      <c r="N129" t="n">
        <v>-0.5</v>
      </c>
      <c r="O129" t="n">
        <v>0</v>
      </c>
      <c r="P129" t="n">
        <v>20</v>
      </c>
      <c r="Q129" t="n">
        <v>12</v>
      </c>
      <c r="R129" t="s">
        <v>298</v>
      </c>
      <c r="S129" t="s">
        <v>298</v>
      </c>
      <c r="T129" t="n">
        <v>-0.5</v>
      </c>
    </row>
    <row r="130">
      <c r="A130" t="s">
        <v>30</v>
      </c>
      <c r="B130" t="n">
        <v>1</v>
      </c>
      <c r="C130" t="n">
        <v>1.25</v>
      </c>
      <c r="D130" t="n">
        <v>1.25</v>
      </c>
      <c r="E130" t="n">
        <v>-3</v>
      </c>
      <c r="F130" t="n">
        <v>-0.5</v>
      </c>
      <c r="G130" t="n">
        <v>10</v>
      </c>
      <c r="H130" t="n">
        <v>12</v>
      </c>
      <c r="I130" t="s">
        <v>297</v>
      </c>
      <c r="J130" t="n">
        <v>0</v>
      </c>
      <c r="K130" t="n">
        <v>0</v>
      </c>
      <c r="L130" t="n">
        <v>0</v>
      </c>
      <c r="M130" t="n">
        <v>12</v>
      </c>
      <c r="N130" t="n">
        <v>0.25</v>
      </c>
      <c r="O130" t="n">
        <v>0</v>
      </c>
      <c r="P130" t="n">
        <v>82</v>
      </c>
      <c r="Q130" t="n">
        <v>12</v>
      </c>
      <c r="R130" t="s">
        <v>298</v>
      </c>
      <c r="S130" t="s">
        <v>298</v>
      </c>
      <c r="T130" t="n">
        <v>0.25</v>
      </c>
    </row>
    <row r="131">
      <c r="A131" t="s">
        <v>30</v>
      </c>
      <c r="B131" t="n">
        <v>1.25</v>
      </c>
      <c r="C131" t="n">
        <v>0.8</v>
      </c>
      <c r="D131" t="n">
        <v>1.25</v>
      </c>
      <c r="E131" t="n">
        <v>0</v>
      </c>
      <c r="F131" t="n">
        <v>-0.75</v>
      </c>
      <c r="G131" t="n">
        <v>145</v>
      </c>
      <c r="H131" t="n">
        <v>12</v>
      </c>
      <c r="I131" t="s">
        <v>298</v>
      </c>
      <c r="J131" t="n">
        <v>0</v>
      </c>
      <c r="K131" t="n">
        <v>0</v>
      </c>
      <c r="L131" t="n">
        <v>0</v>
      </c>
      <c r="M131" t="n">
        <v>12</v>
      </c>
      <c r="N131" t="n">
        <v>-0.75</v>
      </c>
      <c r="O131" t="n">
        <v>-0.25</v>
      </c>
      <c r="P131" t="n">
        <v>155</v>
      </c>
      <c r="Q131" t="n">
        <v>12</v>
      </c>
      <c r="R131" t="s">
        <v>298</v>
      </c>
      <c r="S131" t="s">
        <v>296</v>
      </c>
      <c r="T131" t="n">
        <v>-0.875</v>
      </c>
    </row>
    <row r="132">
      <c r="A132" t="s">
        <v>30</v>
      </c>
      <c r="B132" t="n">
        <v>1</v>
      </c>
      <c r="C132" t="n">
        <v>0.5</v>
      </c>
      <c r="D132" t="n">
        <v>1</v>
      </c>
      <c r="E132" t="n">
        <v>-0.25</v>
      </c>
      <c r="F132" t="n">
        <v>-1.25</v>
      </c>
      <c r="G132" t="n">
        <v>31</v>
      </c>
      <c r="H132" t="n">
        <v>12</v>
      </c>
      <c r="I132" t="s">
        <v>297</v>
      </c>
      <c r="J132" t="n">
        <v>0</v>
      </c>
      <c r="K132" t="n">
        <v>0</v>
      </c>
      <c r="L132" t="n">
        <v>0</v>
      </c>
      <c r="M132" t="n">
        <v>12</v>
      </c>
      <c r="N132" t="n">
        <v>-1</v>
      </c>
      <c r="O132" t="n">
        <v>-0.5</v>
      </c>
      <c r="P132" t="n">
        <v>20</v>
      </c>
      <c r="Q132" t="n">
        <v>12</v>
      </c>
      <c r="R132" t="s">
        <v>297</v>
      </c>
      <c r="S132" t="s">
        <v>300</v>
      </c>
      <c r="T132" t="n">
        <v>-1.25</v>
      </c>
    </row>
    <row r="133">
      <c r="A133" t="s">
        <v>30</v>
      </c>
      <c r="B133" t="n">
        <v>1</v>
      </c>
      <c r="C133" t="n">
        <v>1</v>
      </c>
      <c r="D133" t="n">
        <v>1</v>
      </c>
      <c r="E133" t="n">
        <v>-1</v>
      </c>
      <c r="F133" t="n">
        <v>-0.5</v>
      </c>
      <c r="G133" t="n">
        <v>166</v>
      </c>
      <c r="H133" t="n">
        <v>12</v>
      </c>
      <c r="I133" t="s">
        <v>297</v>
      </c>
      <c r="J133" t="n">
        <v>0</v>
      </c>
      <c r="K133" t="n">
        <v>0</v>
      </c>
      <c r="L133" t="n">
        <v>0</v>
      </c>
      <c r="M133" t="n">
        <v>12</v>
      </c>
      <c r="N133" t="n">
        <v>0.75</v>
      </c>
      <c r="O133" t="n">
        <v>-0.25</v>
      </c>
      <c r="P133" t="n">
        <v>149</v>
      </c>
      <c r="Q133" t="n">
        <v>12</v>
      </c>
      <c r="R133" t="s">
        <v>297</v>
      </c>
      <c r="S133" t="s">
        <v>297</v>
      </c>
      <c r="T133" t="n">
        <v>0.625</v>
      </c>
    </row>
    <row r="134">
      <c r="A134" t="s">
        <v>30</v>
      </c>
      <c r="B134" t="n">
        <v>1</v>
      </c>
      <c r="C134" t="n">
        <v>1</v>
      </c>
      <c r="D134" t="n">
        <v>1</v>
      </c>
      <c r="E134" t="n">
        <v>-1.75</v>
      </c>
      <c r="F134" t="n">
        <v>-0.25</v>
      </c>
      <c r="G134" t="n">
        <v>12</v>
      </c>
      <c r="H134" t="n">
        <v>12</v>
      </c>
      <c r="I134" t="s">
        <v>297</v>
      </c>
      <c r="J134" t="n">
        <v>0</v>
      </c>
      <c r="K134" t="n">
        <v>0</v>
      </c>
      <c r="L134" t="n">
        <v>0</v>
      </c>
      <c r="M134" t="n">
        <v>12</v>
      </c>
      <c r="N134" t="n">
        <v>0.5</v>
      </c>
      <c r="O134" t="n">
        <v>-0.25</v>
      </c>
      <c r="P134" t="n">
        <v>28</v>
      </c>
      <c r="Q134" t="n">
        <v>12</v>
      </c>
      <c r="R134" t="s">
        <v>297</v>
      </c>
      <c r="S134" t="s">
        <v>297</v>
      </c>
      <c r="T134" t="n">
        <v>0.375</v>
      </c>
    </row>
    <row r="135">
      <c r="A135" t="s">
        <v>30</v>
      </c>
      <c r="B135" t="n">
        <v>1</v>
      </c>
      <c r="C135"/>
      <c r="D135"/>
      <c r="E135" t="n">
        <v>-2.75</v>
      </c>
      <c r="F135" t="n">
        <v>-0.5</v>
      </c>
      <c r="G135" t="n">
        <v>160</v>
      </c>
      <c r="H135" t="n">
        <v>12</v>
      </c>
      <c r="I135" t="s">
        <v>297</v>
      </c>
      <c r="J135" t="n">
        <v>0</v>
      </c>
      <c r="K135" t="n">
        <v>0</v>
      </c>
      <c r="L135" t="n">
        <v>0</v>
      </c>
      <c r="M135" t="n">
        <v>12</v>
      </c>
      <c r="N135"/>
      <c r="O135"/>
      <c r="P135"/>
      <c r="Q135" t="n">
        <v>12</v>
      </c>
      <c r="R135" t="s">
        <v>109</v>
      </c>
      <c r="S135" t="s">
        <v>109</v>
      </c>
      <c r="T135"/>
    </row>
    <row r="136">
      <c r="A136" t="s">
        <v>30</v>
      </c>
      <c r="B136" t="n">
        <v>1</v>
      </c>
      <c r="C136"/>
      <c r="D136"/>
      <c r="E136" t="n">
        <v>-3.25</v>
      </c>
      <c r="F136" t="n">
        <v>-0.5</v>
      </c>
      <c r="G136" t="n">
        <v>23</v>
      </c>
      <c r="H136" t="n">
        <v>12</v>
      </c>
      <c r="I136" t="s">
        <v>297</v>
      </c>
      <c r="J136" t="n">
        <v>0</v>
      </c>
      <c r="K136" t="n">
        <v>0</v>
      </c>
      <c r="L136" t="n">
        <v>0</v>
      </c>
      <c r="M136" t="n">
        <v>12</v>
      </c>
      <c r="N136"/>
      <c r="O136"/>
      <c r="P136"/>
      <c r="Q136" t="n">
        <v>12</v>
      </c>
      <c r="R136" t="s">
        <v>109</v>
      </c>
      <c r="S136" t="s">
        <v>109</v>
      </c>
      <c r="T136"/>
    </row>
    <row r="137">
      <c r="A137" t="s">
        <v>30</v>
      </c>
      <c r="B137" t="n">
        <v>1.25</v>
      </c>
      <c r="C137" t="n">
        <v>1.25</v>
      </c>
      <c r="D137" t="n">
        <v>1.25</v>
      </c>
      <c r="E137" t="n">
        <v>-2</v>
      </c>
      <c r="F137" t="n">
        <v>-0.25</v>
      </c>
      <c r="G137" t="n">
        <v>35</v>
      </c>
      <c r="H137" t="n">
        <v>12</v>
      </c>
      <c r="I137" t="s">
        <v>298</v>
      </c>
      <c r="J137" t="n">
        <v>0</v>
      </c>
      <c r="K137" t="n">
        <v>0</v>
      </c>
      <c r="L137" t="n">
        <v>0</v>
      </c>
      <c r="M137" t="n">
        <v>12</v>
      </c>
      <c r="N137" t="n">
        <v>0.25</v>
      </c>
      <c r="O137" t="n">
        <v>0</v>
      </c>
      <c r="P137" t="n">
        <v>20</v>
      </c>
      <c r="Q137" t="n">
        <v>12</v>
      </c>
      <c r="R137" t="s">
        <v>298</v>
      </c>
      <c r="S137" t="s">
        <v>298</v>
      </c>
      <c r="T137" t="n">
        <v>0.25</v>
      </c>
    </row>
    <row r="138">
      <c r="A138" t="s">
        <v>30</v>
      </c>
      <c r="B138" t="n">
        <v>1.6</v>
      </c>
      <c r="C138" t="n">
        <v>1.25</v>
      </c>
      <c r="D138" t="n">
        <v>1.25</v>
      </c>
      <c r="E138" t="n">
        <v>-2.25</v>
      </c>
      <c r="F138" t="n">
        <v>-0.25</v>
      </c>
      <c r="G138" t="n">
        <v>147</v>
      </c>
      <c r="H138" t="n">
        <v>12</v>
      </c>
      <c r="I138" t="s">
        <v>299</v>
      </c>
      <c r="J138" t="n">
        <v>0</v>
      </c>
      <c r="K138" t="n">
        <v>0</v>
      </c>
      <c r="L138" t="n">
        <v>0</v>
      </c>
      <c r="M138" t="n">
        <v>12</v>
      </c>
      <c r="N138" t="n">
        <v>0.25</v>
      </c>
      <c r="O138" t="n">
        <v>0</v>
      </c>
      <c r="P138" t="n">
        <v>29</v>
      </c>
      <c r="Q138" t="n">
        <v>12</v>
      </c>
      <c r="R138" t="s">
        <v>298</v>
      </c>
      <c r="S138" t="s">
        <v>298</v>
      </c>
      <c r="T138" t="n">
        <v>0.25</v>
      </c>
    </row>
    <row r="139">
      <c r="A139" t="s">
        <v>30</v>
      </c>
      <c r="B139" t="n">
        <v>1</v>
      </c>
      <c r="C139" t="n">
        <v>0.63</v>
      </c>
      <c r="D139" t="n">
        <v>0.63</v>
      </c>
      <c r="E139" t="n">
        <v>-1.75</v>
      </c>
      <c r="F139" t="n">
        <v>-0.25</v>
      </c>
      <c r="G139" t="n">
        <v>97</v>
      </c>
      <c r="H139" t="n">
        <v>12</v>
      </c>
      <c r="I139" t="s">
        <v>297</v>
      </c>
      <c r="J139" t="n">
        <v>0</v>
      </c>
      <c r="K139" t="n">
        <v>0</v>
      </c>
      <c r="L139" t="n">
        <v>0</v>
      </c>
      <c r="M139" t="n">
        <v>12</v>
      </c>
      <c r="N139" t="n">
        <v>0.75</v>
      </c>
      <c r="O139" t="n">
        <v>0</v>
      </c>
      <c r="P139" t="n">
        <v>141</v>
      </c>
      <c r="Q139" t="n">
        <v>12</v>
      </c>
      <c r="R139" t="s">
        <v>301</v>
      </c>
      <c r="S139" t="s">
        <v>301</v>
      </c>
      <c r="T139" t="n">
        <v>0.75</v>
      </c>
    </row>
    <row r="140">
      <c r="A140" t="s">
        <v>30</v>
      </c>
      <c r="B140" t="n">
        <v>1.25</v>
      </c>
      <c r="C140" t="n">
        <v>1</v>
      </c>
      <c r="D140" t="n">
        <v>1</v>
      </c>
      <c r="E140" t="n">
        <v>-1.75</v>
      </c>
      <c r="F140" t="n">
        <v>-0.75</v>
      </c>
      <c r="G140" t="n">
        <v>93</v>
      </c>
      <c r="H140" t="n">
        <v>12</v>
      </c>
      <c r="I140" t="s">
        <v>298</v>
      </c>
      <c r="J140" t="n">
        <v>-1</v>
      </c>
      <c r="K140" t="n">
        <v>0</v>
      </c>
      <c r="L140" t="n">
        <v>0</v>
      </c>
      <c r="M140" t="n">
        <v>12</v>
      </c>
      <c r="N140" t="n">
        <v>-0.25</v>
      </c>
      <c r="O140" t="n">
        <v>-0.25</v>
      </c>
      <c r="P140" t="n">
        <v>155</v>
      </c>
      <c r="Q140" t="n">
        <v>12</v>
      </c>
      <c r="R140" t="s">
        <v>297</v>
      </c>
      <c r="S140" t="s">
        <v>297</v>
      </c>
      <c r="T140" t="n">
        <v>-0.375</v>
      </c>
    </row>
    <row r="141">
      <c r="A141" t="s">
        <v>30</v>
      </c>
      <c r="B141" t="n">
        <v>1</v>
      </c>
      <c r="C141" t="n">
        <v>1</v>
      </c>
      <c r="D141" t="n">
        <v>1</v>
      </c>
      <c r="E141" t="n">
        <v>-0.75</v>
      </c>
      <c r="F141" t="n">
        <v>-0.75</v>
      </c>
      <c r="G141" t="n">
        <v>166</v>
      </c>
      <c r="H141" t="n">
        <v>12</v>
      </c>
      <c r="I141" t="s">
        <v>297</v>
      </c>
      <c r="J141" t="n">
        <v>0</v>
      </c>
      <c r="K141" t="n">
        <v>0</v>
      </c>
      <c r="L141" t="n">
        <v>0</v>
      </c>
      <c r="M141" t="n">
        <v>12</v>
      </c>
      <c r="N141" t="n">
        <v>0.75</v>
      </c>
      <c r="O141" t="n">
        <v>-0.25</v>
      </c>
      <c r="P141" t="n">
        <v>110</v>
      </c>
      <c r="Q141" t="n">
        <v>12</v>
      </c>
      <c r="R141" t="s">
        <v>297</v>
      </c>
      <c r="S141" t="s">
        <v>297</v>
      </c>
      <c r="T141" t="n">
        <v>0.625</v>
      </c>
    </row>
    <row r="142">
      <c r="A142" t="s">
        <v>30</v>
      </c>
      <c r="B142" t="n">
        <v>1</v>
      </c>
      <c r="C142" t="n">
        <v>1</v>
      </c>
      <c r="D142" t="n">
        <v>1</v>
      </c>
      <c r="E142" t="n">
        <v>0</v>
      </c>
      <c r="F142" t="n">
        <v>-1</v>
      </c>
      <c r="G142" t="n">
        <v>180</v>
      </c>
      <c r="H142" t="n">
        <v>12</v>
      </c>
      <c r="I142" t="s">
        <v>297</v>
      </c>
      <c r="J142" t="n">
        <v>0</v>
      </c>
      <c r="K142" t="n">
        <v>0</v>
      </c>
      <c r="L142" t="n">
        <v>0</v>
      </c>
      <c r="M142" t="n">
        <v>12</v>
      </c>
      <c r="N142" t="n">
        <v>0.25</v>
      </c>
      <c r="O142" t="n">
        <v>-0.25</v>
      </c>
      <c r="P142" t="n">
        <v>69</v>
      </c>
      <c r="Q142" t="n">
        <v>12</v>
      </c>
      <c r="R142" t="s">
        <v>297</v>
      </c>
      <c r="S142" t="s">
        <v>297</v>
      </c>
      <c r="T142" t="n">
        <v>0.125</v>
      </c>
    </row>
    <row r="143">
      <c r="A143" t="s">
        <v>30</v>
      </c>
      <c r="B143" t="n">
        <v>1</v>
      </c>
      <c r="C143" t="n">
        <v>0.8</v>
      </c>
      <c r="D143" t="n">
        <v>1</v>
      </c>
      <c r="E143" t="n">
        <v>-4.25</v>
      </c>
      <c r="F143" t="n">
        <v>-1.75</v>
      </c>
      <c r="G143" t="n">
        <v>61</v>
      </c>
      <c r="H143" t="n">
        <v>12</v>
      </c>
      <c r="I143" t="s">
        <v>297</v>
      </c>
      <c r="J143" t="n">
        <v>0</v>
      </c>
      <c r="K143" t="n">
        <v>0</v>
      </c>
      <c r="L143" t="n">
        <v>0</v>
      </c>
      <c r="M143" t="n">
        <v>12</v>
      </c>
      <c r="N143" t="n">
        <v>-0.25</v>
      </c>
      <c r="O143" t="n">
        <v>-0.25</v>
      </c>
      <c r="P143" t="n">
        <v>6</v>
      </c>
      <c r="Q143" t="n">
        <v>12</v>
      </c>
      <c r="R143" t="s">
        <v>297</v>
      </c>
      <c r="S143" t="s">
        <v>296</v>
      </c>
      <c r="T143" t="n">
        <v>-0.375</v>
      </c>
    </row>
    <row r="144">
      <c r="A144" t="s">
        <v>30</v>
      </c>
      <c r="B144" t="n">
        <v>1</v>
      </c>
      <c r="C144" t="n">
        <v>1</v>
      </c>
      <c r="D144" t="n">
        <v>1</v>
      </c>
      <c r="E144" t="n">
        <v>-3.5</v>
      </c>
      <c r="F144" t="n">
        <v>-2</v>
      </c>
      <c r="G144" t="n">
        <v>134</v>
      </c>
      <c r="H144" t="n">
        <v>12</v>
      </c>
      <c r="I144" t="s">
        <v>297</v>
      </c>
      <c r="J144" t="n">
        <v>0</v>
      </c>
      <c r="K144" t="n">
        <v>0</v>
      </c>
      <c r="L144" t="n">
        <v>0</v>
      </c>
      <c r="M144" t="n">
        <v>12</v>
      </c>
      <c r="N144" t="n">
        <v>0</v>
      </c>
      <c r="O144" t="n">
        <v>-0.25</v>
      </c>
      <c r="P144" t="n">
        <v>79</v>
      </c>
      <c r="Q144" t="n">
        <v>12</v>
      </c>
      <c r="R144" t="s">
        <v>297</v>
      </c>
      <c r="S144" t="s">
        <v>297</v>
      </c>
      <c r="T144" t="n">
        <v>-0.125</v>
      </c>
    </row>
    <row r="145">
      <c r="A145" t="s">
        <v>30</v>
      </c>
      <c r="B145" t="n">
        <v>1.25</v>
      </c>
      <c r="C145" t="n">
        <v>1.25</v>
      </c>
      <c r="D145" t="n">
        <v>1.25</v>
      </c>
      <c r="E145" t="n">
        <v>-5.25</v>
      </c>
      <c r="F145" t="n">
        <v>-1.5</v>
      </c>
      <c r="G145" t="n">
        <v>171</v>
      </c>
      <c r="H145" t="n">
        <v>12</v>
      </c>
      <c r="I145" t="s">
        <v>298</v>
      </c>
      <c r="J145" t="n">
        <v>0</v>
      </c>
      <c r="K145" t="n">
        <v>0</v>
      </c>
      <c r="L145" t="n">
        <v>0</v>
      </c>
      <c r="M145" t="n">
        <v>12</v>
      </c>
      <c r="N145" t="n">
        <v>0.75</v>
      </c>
      <c r="O145" t="n">
        <v>-0.5</v>
      </c>
      <c r="P145" t="n">
        <v>8</v>
      </c>
      <c r="Q145" t="n">
        <v>12</v>
      </c>
      <c r="R145" t="s">
        <v>298</v>
      </c>
      <c r="S145" t="s">
        <v>298</v>
      </c>
      <c r="T145" t="n">
        <v>0.5</v>
      </c>
    </row>
    <row r="146">
      <c r="A146" t="s">
        <v>30</v>
      </c>
      <c r="B146" t="n">
        <v>1.25</v>
      </c>
      <c r="C146" t="n">
        <v>1.6</v>
      </c>
      <c r="D146" t="n">
        <v>1.6</v>
      </c>
      <c r="E146" t="n">
        <v>-5.5</v>
      </c>
      <c r="F146" t="n">
        <v>-1</v>
      </c>
      <c r="G146" t="n">
        <v>15</v>
      </c>
      <c r="H146" t="n">
        <v>12</v>
      </c>
      <c r="I146" t="s">
        <v>298</v>
      </c>
      <c r="J146" t="n">
        <v>0</v>
      </c>
      <c r="K146" t="n">
        <v>0</v>
      </c>
      <c r="L146" t="n">
        <v>0</v>
      </c>
      <c r="M146" t="n">
        <v>12</v>
      </c>
      <c r="N146" t="n">
        <v>0.25</v>
      </c>
      <c r="O146" t="n">
        <v>-0.25</v>
      </c>
      <c r="P146" t="n">
        <v>177</v>
      </c>
      <c r="Q146" t="n">
        <v>12</v>
      </c>
      <c r="R146" t="s">
        <v>299</v>
      </c>
      <c r="S146" t="s">
        <v>299</v>
      </c>
      <c r="T146" t="n">
        <v>0.125</v>
      </c>
    </row>
    <row r="147">
      <c r="A147" t="s">
        <v>30</v>
      </c>
      <c r="B147" t="n">
        <v>1</v>
      </c>
      <c r="C147"/>
      <c r="D147"/>
      <c r="E147" t="n">
        <v>-5.5</v>
      </c>
      <c r="F147" t="n">
        <v>-0.25</v>
      </c>
      <c r="G147" t="n">
        <v>7</v>
      </c>
      <c r="H147" t="n">
        <v>12</v>
      </c>
      <c r="I147" t="s">
        <v>297</v>
      </c>
      <c r="J147" t="n">
        <v>0</v>
      </c>
      <c r="K147" t="n">
        <v>0</v>
      </c>
      <c r="L147" t="n">
        <v>0</v>
      </c>
      <c r="M147" t="n">
        <v>12</v>
      </c>
      <c r="N147"/>
      <c r="O147"/>
      <c r="P147"/>
      <c r="Q147" t="n">
        <v>12</v>
      </c>
      <c r="R147" t="s">
        <v>109</v>
      </c>
      <c r="S147" t="s">
        <v>109</v>
      </c>
      <c r="T147"/>
    </row>
    <row r="148">
      <c r="A148" t="s">
        <v>30</v>
      </c>
      <c r="B148" t="n">
        <v>1</v>
      </c>
      <c r="C148"/>
      <c r="D148"/>
      <c r="E148" t="n">
        <v>-4.5</v>
      </c>
      <c r="F148" t="n">
        <v>-0.25</v>
      </c>
      <c r="G148" t="n">
        <v>169</v>
      </c>
      <c r="H148" t="n">
        <v>12</v>
      </c>
      <c r="I148" t="s">
        <v>297</v>
      </c>
      <c r="J148" t="n">
        <v>0</v>
      </c>
      <c r="K148" t="n">
        <v>0</v>
      </c>
      <c r="L148" t="n">
        <v>0</v>
      </c>
      <c r="M148" t="n">
        <v>12</v>
      </c>
      <c r="N148"/>
      <c r="O148"/>
      <c r="P148"/>
      <c r="Q148" t="n">
        <v>12</v>
      </c>
      <c r="R148" t="s">
        <v>109</v>
      </c>
      <c r="S148" t="s">
        <v>109</v>
      </c>
      <c r="T148"/>
    </row>
    <row r="149">
      <c r="A149" t="s">
        <v>30</v>
      </c>
      <c r="B149" t="n">
        <v>1.25</v>
      </c>
      <c r="C149" t="n">
        <v>1</v>
      </c>
      <c r="D149" t="n">
        <v>1.25</v>
      </c>
      <c r="E149" t="n">
        <v>-1</v>
      </c>
      <c r="F149" t="n">
        <v>-2.75</v>
      </c>
      <c r="G149" t="n">
        <v>154</v>
      </c>
      <c r="H149" t="n">
        <v>12</v>
      </c>
      <c r="I149" t="s">
        <v>298</v>
      </c>
      <c r="J149" t="n">
        <v>0</v>
      </c>
      <c r="K149" t="n">
        <v>0</v>
      </c>
      <c r="L149" t="n">
        <v>0</v>
      </c>
      <c r="M149" t="n">
        <v>12</v>
      </c>
      <c r="N149" t="n">
        <v>0.75</v>
      </c>
      <c r="O149" t="n">
        <v>-1</v>
      </c>
      <c r="P149" t="n">
        <v>122</v>
      </c>
      <c r="Q149" t="n">
        <v>12</v>
      </c>
      <c r="R149" t="s">
        <v>298</v>
      </c>
      <c r="S149" t="s">
        <v>297</v>
      </c>
      <c r="T149" t="n">
        <v>0.25</v>
      </c>
    </row>
    <row r="150">
      <c r="A150" t="s">
        <v>30</v>
      </c>
      <c r="B150" t="n">
        <v>1</v>
      </c>
      <c r="C150" t="n">
        <v>1</v>
      </c>
      <c r="D150" t="n">
        <v>1</v>
      </c>
      <c r="E150" t="n">
        <v>0</v>
      </c>
      <c r="F150" t="n">
        <v>-0.75</v>
      </c>
      <c r="G150" t="n">
        <v>14</v>
      </c>
      <c r="H150" t="n">
        <v>12</v>
      </c>
      <c r="I150" t="s">
        <v>297</v>
      </c>
      <c r="J150" t="n">
        <v>0</v>
      </c>
      <c r="K150" t="n">
        <v>0</v>
      </c>
      <c r="L150" t="n">
        <v>0</v>
      </c>
      <c r="M150" t="n">
        <v>12</v>
      </c>
      <c r="N150" t="n">
        <v>0.25</v>
      </c>
      <c r="O150" t="n">
        <v>0</v>
      </c>
      <c r="P150" t="n">
        <v>14</v>
      </c>
      <c r="Q150" t="n">
        <v>12</v>
      </c>
      <c r="R150" t="s">
        <v>297</v>
      </c>
      <c r="S150" t="s">
        <v>297</v>
      </c>
      <c r="T150" t="n">
        <v>0.25</v>
      </c>
    </row>
    <row r="151">
      <c r="A151" t="s">
        <v>30</v>
      </c>
      <c r="B151" t="n">
        <v>1.25</v>
      </c>
      <c r="C151" t="n">
        <v>1.6</v>
      </c>
      <c r="D151" t="n">
        <v>1.6</v>
      </c>
      <c r="E151" t="n">
        <v>-2.75</v>
      </c>
      <c r="F151" t="n">
        <v>-1.25</v>
      </c>
      <c r="G151" t="n">
        <v>16</v>
      </c>
      <c r="H151" t="n">
        <v>12</v>
      </c>
      <c r="I151" t="s">
        <v>298</v>
      </c>
      <c r="J151" t="n">
        <v>0</v>
      </c>
      <c r="K151" t="n">
        <v>0</v>
      </c>
      <c r="L151" t="n">
        <v>0</v>
      </c>
      <c r="M151" t="n">
        <v>12</v>
      </c>
      <c r="N151" t="n">
        <v>0.25</v>
      </c>
      <c r="O151" t="n">
        <v>-0.5</v>
      </c>
      <c r="P151" t="n">
        <v>174</v>
      </c>
      <c r="Q151" t="n">
        <v>12</v>
      </c>
      <c r="R151" t="s">
        <v>299</v>
      </c>
      <c r="S151" t="s">
        <v>299</v>
      </c>
      <c r="T151" t="n">
        <v>0</v>
      </c>
    </row>
    <row r="152">
      <c r="A152" t="s">
        <v>30</v>
      </c>
      <c r="B152" t="n">
        <v>1.25</v>
      </c>
      <c r="C152" t="n">
        <v>1.25</v>
      </c>
      <c r="D152" t="n">
        <v>1.6</v>
      </c>
      <c r="E152" t="n">
        <v>-3.5</v>
      </c>
      <c r="F152" t="n">
        <v>-1.5</v>
      </c>
      <c r="G152" t="n">
        <v>156</v>
      </c>
      <c r="H152" t="n">
        <v>12</v>
      </c>
      <c r="I152" t="s">
        <v>298</v>
      </c>
      <c r="J152" t="n">
        <v>0</v>
      </c>
      <c r="K152" t="n">
        <v>0</v>
      </c>
      <c r="L152" t="n">
        <v>0</v>
      </c>
      <c r="M152" t="n">
        <v>12</v>
      </c>
      <c r="N152" t="n">
        <v>0.75</v>
      </c>
      <c r="O152" t="n">
        <v>-0.75</v>
      </c>
      <c r="P152" t="n">
        <v>1</v>
      </c>
      <c r="Q152" t="n">
        <v>12</v>
      </c>
      <c r="R152" t="s">
        <v>299</v>
      </c>
      <c r="S152" t="s">
        <v>298</v>
      </c>
      <c r="T152" t="n">
        <v>0.375</v>
      </c>
    </row>
    <row r="153">
      <c r="A153" t="s">
        <v>30</v>
      </c>
      <c r="B153" t="n">
        <v>0.8</v>
      </c>
      <c r="C153" t="n">
        <v>1</v>
      </c>
      <c r="D153" t="n">
        <v>1.25</v>
      </c>
      <c r="E153" t="n">
        <v>-4.5</v>
      </c>
      <c r="F153" t="n">
        <v>-1.25</v>
      </c>
      <c r="G153" t="n">
        <v>4</v>
      </c>
      <c r="H153" t="n">
        <v>12</v>
      </c>
      <c r="I153" t="s">
        <v>296</v>
      </c>
      <c r="J153" t="n">
        <v>0</v>
      </c>
      <c r="K153" t="n">
        <v>0</v>
      </c>
      <c r="L153" t="n">
        <v>0</v>
      </c>
      <c r="M153" t="n">
        <v>12</v>
      </c>
      <c r="N153" t="n">
        <v>0</v>
      </c>
      <c r="O153" t="n">
        <v>-0.5</v>
      </c>
      <c r="P153" t="n">
        <v>161</v>
      </c>
      <c r="Q153" t="n">
        <v>12</v>
      </c>
      <c r="R153" t="s">
        <v>298</v>
      </c>
      <c r="S153" t="s">
        <v>297</v>
      </c>
      <c r="T153" t="n">
        <v>-0.25</v>
      </c>
    </row>
    <row r="154">
      <c r="A154" t="s">
        <v>30</v>
      </c>
      <c r="B154" t="n">
        <v>1.25</v>
      </c>
      <c r="C154" t="n">
        <v>0.8</v>
      </c>
      <c r="D154" t="n">
        <v>1.25</v>
      </c>
      <c r="E154" t="n">
        <v>-0.75</v>
      </c>
      <c r="F154" t="n">
        <v>-3</v>
      </c>
      <c r="G154" t="n">
        <v>8</v>
      </c>
      <c r="H154" t="n">
        <v>12</v>
      </c>
      <c r="I154" t="s">
        <v>298</v>
      </c>
      <c r="J154" t="n">
        <v>0</v>
      </c>
      <c r="K154" t="n">
        <v>0</v>
      </c>
      <c r="L154" t="n">
        <v>0</v>
      </c>
      <c r="M154" t="n">
        <v>12</v>
      </c>
      <c r="N154" t="n">
        <v>1.5</v>
      </c>
      <c r="O154" t="n">
        <v>-1.5</v>
      </c>
      <c r="P154" t="n">
        <v>55</v>
      </c>
      <c r="Q154" t="n">
        <v>12</v>
      </c>
      <c r="R154" t="s">
        <v>298</v>
      </c>
      <c r="S154" t="s">
        <v>296</v>
      </c>
      <c r="T154" t="n">
        <v>0.75</v>
      </c>
    </row>
    <row r="155">
      <c r="A155" t="s">
        <v>30</v>
      </c>
      <c r="B155" t="n">
        <v>1.25</v>
      </c>
      <c r="C155" t="n">
        <v>0.8</v>
      </c>
      <c r="D155" t="n">
        <v>1</v>
      </c>
      <c r="E155" t="n">
        <v>-0.75</v>
      </c>
      <c r="F155" t="n">
        <v>-2.25</v>
      </c>
      <c r="G155" t="n">
        <v>10</v>
      </c>
      <c r="H155" t="n">
        <v>12</v>
      </c>
      <c r="I155" t="s">
        <v>298</v>
      </c>
      <c r="J155" t="n">
        <v>0</v>
      </c>
      <c r="K155" t="n">
        <v>0</v>
      </c>
      <c r="L155" t="n">
        <v>0</v>
      </c>
      <c r="M155" t="n">
        <v>12</v>
      </c>
      <c r="N155" t="n">
        <v>0.5</v>
      </c>
      <c r="O155" t="n">
        <v>-0.5</v>
      </c>
      <c r="P155" t="n">
        <v>77</v>
      </c>
      <c r="Q155" t="n">
        <v>12</v>
      </c>
      <c r="R155" t="s">
        <v>297</v>
      </c>
      <c r="S155" t="s">
        <v>296</v>
      </c>
      <c r="T155" t="n">
        <v>0.25</v>
      </c>
    </row>
    <row r="156">
      <c r="A156" t="s">
        <v>30</v>
      </c>
      <c r="B156" t="n">
        <v>0.8</v>
      </c>
      <c r="C156" t="n">
        <v>0.5</v>
      </c>
      <c r="D156" t="n">
        <v>0.8</v>
      </c>
      <c r="E156" t="n">
        <v>-0.25</v>
      </c>
      <c r="F156" t="n">
        <v>-2.25</v>
      </c>
      <c r="G156" t="n">
        <v>79</v>
      </c>
      <c r="H156" t="n">
        <v>12</v>
      </c>
      <c r="I156" t="s">
        <v>296</v>
      </c>
      <c r="J156" t="n">
        <v>0</v>
      </c>
      <c r="K156" t="n">
        <v>0</v>
      </c>
      <c r="L156" t="n">
        <v>0</v>
      </c>
      <c r="M156" t="n">
        <v>12</v>
      </c>
      <c r="N156" t="n">
        <v>0</v>
      </c>
      <c r="O156" t="n">
        <v>-0.75</v>
      </c>
      <c r="P156" t="n">
        <v>60</v>
      </c>
      <c r="Q156" t="n">
        <v>12</v>
      </c>
      <c r="R156" t="s">
        <v>296</v>
      </c>
      <c r="S156" t="s">
        <v>300</v>
      </c>
      <c r="T156" t="n">
        <v>-0.375</v>
      </c>
    </row>
    <row r="157">
      <c r="A157" t="s">
        <v>30</v>
      </c>
      <c r="B157" t="n">
        <v>1</v>
      </c>
      <c r="C157" t="n">
        <v>1</v>
      </c>
      <c r="D157" t="n">
        <v>1</v>
      </c>
      <c r="E157" t="n">
        <v>0.5</v>
      </c>
      <c r="F157" t="n">
        <v>-1.75</v>
      </c>
      <c r="G157" t="n">
        <v>91</v>
      </c>
      <c r="H157" t="n">
        <v>12</v>
      </c>
      <c r="I157" t="s">
        <v>297</v>
      </c>
      <c r="J157" t="n">
        <v>0</v>
      </c>
      <c r="K157" t="n">
        <v>0</v>
      </c>
      <c r="L157" t="n">
        <v>0</v>
      </c>
      <c r="M157" t="n">
        <v>12</v>
      </c>
      <c r="N157" t="n">
        <v>0.75</v>
      </c>
      <c r="O157" t="n">
        <v>-0.25</v>
      </c>
      <c r="P157" t="n">
        <v>78</v>
      </c>
      <c r="Q157" t="n">
        <v>12</v>
      </c>
      <c r="R157" t="s">
        <v>297</v>
      </c>
      <c r="S157" t="s">
        <v>297</v>
      </c>
      <c r="T157" t="n">
        <v>0.625</v>
      </c>
    </row>
    <row r="158">
      <c r="A158" t="s">
        <v>30</v>
      </c>
      <c r="B158" t="n">
        <v>1</v>
      </c>
      <c r="C158" t="n">
        <v>1.25</v>
      </c>
      <c r="D158" t="n">
        <v>1.25</v>
      </c>
      <c r="E158" t="n">
        <v>-4.5</v>
      </c>
      <c r="F158" t="n">
        <v>-0.5</v>
      </c>
      <c r="G158" t="n">
        <v>91</v>
      </c>
      <c r="H158" t="n">
        <v>12</v>
      </c>
      <c r="I158" t="s">
        <v>297</v>
      </c>
      <c r="J158" t="n">
        <v>0</v>
      </c>
      <c r="K158" t="n">
        <v>0</v>
      </c>
      <c r="L158" t="n">
        <v>0</v>
      </c>
      <c r="M158" t="n">
        <v>12</v>
      </c>
      <c r="N158" t="n">
        <v>0.5</v>
      </c>
      <c r="O158" t="n">
        <v>-0.25</v>
      </c>
      <c r="P158" t="n">
        <v>76</v>
      </c>
      <c r="Q158" t="n">
        <v>12</v>
      </c>
      <c r="R158" t="s">
        <v>298</v>
      </c>
      <c r="S158" t="s">
        <v>298</v>
      </c>
      <c r="T158" t="n">
        <v>0.375</v>
      </c>
    </row>
    <row r="159">
      <c r="A159" t="s">
        <v>30</v>
      </c>
      <c r="B159" t="n">
        <v>1</v>
      </c>
      <c r="C159" t="n">
        <v>1</v>
      </c>
      <c r="D159" t="n">
        <v>1</v>
      </c>
      <c r="E159" t="n">
        <v>-5.25</v>
      </c>
      <c r="F159" t="n">
        <v>-0.75</v>
      </c>
      <c r="G159" t="n">
        <v>168</v>
      </c>
      <c r="H159" t="n">
        <v>12</v>
      </c>
      <c r="I159" t="s">
        <v>297</v>
      </c>
      <c r="J159" t="n">
        <v>0</v>
      </c>
      <c r="K159" t="n">
        <v>0</v>
      </c>
      <c r="L159" t="n">
        <v>0</v>
      </c>
      <c r="M159" t="n">
        <v>12</v>
      </c>
      <c r="N159" t="n">
        <v>0</v>
      </c>
      <c r="O159" t="n">
        <v>0</v>
      </c>
      <c r="P159" t="n">
        <v>137</v>
      </c>
      <c r="Q159" t="n">
        <v>12</v>
      </c>
      <c r="R159" t="s">
        <v>297</v>
      </c>
      <c r="S159" t="s">
        <v>297</v>
      </c>
      <c r="T159" t="n">
        <v>0</v>
      </c>
    </row>
    <row r="160">
      <c r="A160" t="s">
        <v>30</v>
      </c>
      <c r="B160" t="n">
        <v>1</v>
      </c>
      <c r="C160" t="n">
        <v>0.8</v>
      </c>
      <c r="D160" t="n">
        <v>1</v>
      </c>
      <c r="E160" t="n">
        <v>-4.25</v>
      </c>
      <c r="F160" t="n">
        <v>-0.75</v>
      </c>
      <c r="G160" t="n">
        <v>17</v>
      </c>
      <c r="H160" t="n">
        <v>12</v>
      </c>
      <c r="I160" t="s">
        <v>297</v>
      </c>
      <c r="J160" t="n">
        <v>0</v>
      </c>
      <c r="K160" t="n">
        <v>0</v>
      </c>
      <c r="L160" t="n">
        <v>0</v>
      </c>
      <c r="M160" t="n">
        <v>12</v>
      </c>
      <c r="N160" t="n">
        <v>-0.5</v>
      </c>
      <c r="O160" t="n">
        <v>0</v>
      </c>
      <c r="P160" t="n">
        <v>31</v>
      </c>
      <c r="Q160" t="n">
        <v>12</v>
      </c>
      <c r="R160" t="s">
        <v>297</v>
      </c>
      <c r="S160" t="s">
        <v>296</v>
      </c>
      <c r="T160" t="n">
        <v>-0.5</v>
      </c>
    </row>
    <row r="161">
      <c r="A161" t="s">
        <v>30</v>
      </c>
      <c r="B161" t="n">
        <v>1.25</v>
      </c>
      <c r="C161" t="n">
        <v>1.25</v>
      </c>
      <c r="D161" t="n">
        <v>1.25</v>
      </c>
      <c r="E161" t="n">
        <v>-3.75</v>
      </c>
      <c r="F161" t="n">
        <v>-1</v>
      </c>
      <c r="G161" t="n">
        <v>180</v>
      </c>
      <c r="H161" t="n">
        <v>12</v>
      </c>
      <c r="I161" t="s">
        <v>298</v>
      </c>
      <c r="J161" t="n">
        <v>0</v>
      </c>
      <c r="K161" t="n">
        <v>0</v>
      </c>
      <c r="L161" t="n">
        <v>0</v>
      </c>
      <c r="M161" t="n">
        <v>12</v>
      </c>
      <c r="N161" t="n">
        <v>0.5</v>
      </c>
      <c r="O161" t="n">
        <v>-0.5</v>
      </c>
      <c r="P161" t="n">
        <v>159</v>
      </c>
      <c r="Q161" t="n">
        <v>12</v>
      </c>
      <c r="R161" t="s">
        <v>298</v>
      </c>
      <c r="S161" t="s">
        <v>298</v>
      </c>
      <c r="T161" t="n">
        <v>0.25</v>
      </c>
    </row>
    <row r="162">
      <c r="A162" t="s">
        <v>30</v>
      </c>
      <c r="B162" t="n">
        <v>1.25</v>
      </c>
      <c r="C162" t="n">
        <v>1.25</v>
      </c>
      <c r="D162" t="n">
        <v>1.25</v>
      </c>
      <c r="E162" t="n">
        <v>-4.5</v>
      </c>
      <c r="F162" t="n">
        <v>-0.75</v>
      </c>
      <c r="G162" t="n">
        <v>176</v>
      </c>
      <c r="H162" t="n">
        <v>12</v>
      </c>
      <c r="I162" t="s">
        <v>298</v>
      </c>
      <c r="J162" t="n">
        <v>0</v>
      </c>
      <c r="K162" t="n">
        <v>0</v>
      </c>
      <c r="L162" t="n">
        <v>0</v>
      </c>
      <c r="M162" t="n">
        <v>12</v>
      </c>
      <c r="N162" t="n">
        <v>-0.25</v>
      </c>
      <c r="O162" t="n">
        <v>-0.25</v>
      </c>
      <c r="P162" t="n">
        <v>160</v>
      </c>
      <c r="Q162" t="n">
        <v>12</v>
      </c>
      <c r="R162" t="s">
        <v>298</v>
      </c>
      <c r="S162" t="s">
        <v>298</v>
      </c>
      <c r="T162" t="n">
        <v>-0.375</v>
      </c>
    </row>
    <row r="163">
      <c r="A163" t="s">
        <v>30</v>
      </c>
      <c r="B163" t="n">
        <v>0.8</v>
      </c>
      <c r="C163" t="n">
        <v>1</v>
      </c>
      <c r="D163" t="n">
        <v>1</v>
      </c>
      <c r="E163" t="n">
        <v>-4.75</v>
      </c>
      <c r="F163" t="n">
        <v>-0.25</v>
      </c>
      <c r="G163" t="n">
        <v>129</v>
      </c>
      <c r="H163" t="n">
        <v>12</v>
      </c>
      <c r="I163" t="s">
        <v>296</v>
      </c>
      <c r="J163" t="n">
        <v>0</v>
      </c>
      <c r="K163" t="n">
        <v>0</v>
      </c>
      <c r="L163" t="n">
        <v>0</v>
      </c>
      <c r="M163" t="n">
        <v>12</v>
      </c>
      <c r="N163" t="n">
        <v>0.5</v>
      </c>
      <c r="O163" t="n">
        <v>-0.25</v>
      </c>
      <c r="P163" t="n">
        <v>122</v>
      </c>
      <c r="Q163" t="n">
        <v>12</v>
      </c>
      <c r="R163" t="s">
        <v>297</v>
      </c>
      <c r="S163" t="s">
        <v>297</v>
      </c>
      <c r="T163" t="n">
        <v>0.375</v>
      </c>
    </row>
    <row r="164">
      <c r="A164" t="s">
        <v>30</v>
      </c>
      <c r="B164" t="n">
        <v>0.8</v>
      </c>
      <c r="C164" t="n">
        <v>0.8</v>
      </c>
      <c r="D164" t="n">
        <v>0.8</v>
      </c>
      <c r="E164" t="n">
        <v>-4.5</v>
      </c>
      <c r="F164" t="n">
        <v>-0.5</v>
      </c>
      <c r="G164" t="n">
        <v>60</v>
      </c>
      <c r="H164" t="n">
        <v>12</v>
      </c>
      <c r="I164" t="s">
        <v>296</v>
      </c>
      <c r="J164" t="n">
        <v>0</v>
      </c>
      <c r="K164" t="n">
        <v>0</v>
      </c>
      <c r="L164" t="n">
        <v>0</v>
      </c>
      <c r="M164" t="n">
        <v>12</v>
      </c>
      <c r="N164" t="n">
        <v>0.5</v>
      </c>
      <c r="O164" t="n">
        <v>-0.25</v>
      </c>
      <c r="P164" t="n">
        <v>78</v>
      </c>
      <c r="Q164" t="n">
        <v>12</v>
      </c>
      <c r="R164" t="s">
        <v>296</v>
      </c>
      <c r="S164" t="s">
        <v>296</v>
      </c>
      <c r="T164" t="n">
        <v>0.375</v>
      </c>
    </row>
    <row r="165">
      <c r="A165" t="s">
        <v>30</v>
      </c>
      <c r="B165" t="n">
        <v>1.25</v>
      </c>
      <c r="C165" t="n">
        <v>1</v>
      </c>
      <c r="D165" t="n">
        <v>1.25</v>
      </c>
      <c r="E165" t="n">
        <v>-0.75</v>
      </c>
      <c r="F165" t="n">
        <v>-0.75</v>
      </c>
      <c r="G165" t="n">
        <v>167</v>
      </c>
      <c r="H165" t="n">
        <v>12</v>
      </c>
      <c r="I165" t="s">
        <v>298</v>
      </c>
      <c r="J165" t="n">
        <v>0</v>
      </c>
      <c r="K165" t="n">
        <v>0</v>
      </c>
      <c r="L165" t="n">
        <v>0</v>
      </c>
      <c r="M165" t="n">
        <v>12</v>
      </c>
      <c r="N165" t="n">
        <v>0.75</v>
      </c>
      <c r="O165" t="n">
        <v>-0.5</v>
      </c>
      <c r="P165" t="n">
        <v>39</v>
      </c>
      <c r="Q165" t="n">
        <v>12</v>
      </c>
      <c r="R165" t="s">
        <v>298</v>
      </c>
      <c r="S165" t="s">
        <v>297</v>
      </c>
      <c r="T165" t="n">
        <v>0.5</v>
      </c>
    </row>
    <row r="166">
      <c r="A166" t="s">
        <v>30</v>
      </c>
      <c r="B166" t="n">
        <v>0.8</v>
      </c>
      <c r="C166" t="n">
        <v>0.63</v>
      </c>
      <c r="D166" t="n">
        <v>0.8</v>
      </c>
      <c r="E166" t="n">
        <v>-3.25</v>
      </c>
      <c r="F166" t="n">
        <v>-1.5</v>
      </c>
      <c r="G166" t="n">
        <v>8</v>
      </c>
      <c r="H166" t="n">
        <v>12</v>
      </c>
      <c r="I166" t="s">
        <v>296</v>
      </c>
      <c r="J166" t="n">
        <v>0</v>
      </c>
      <c r="K166" t="n">
        <v>0</v>
      </c>
      <c r="L166" t="n">
        <v>0</v>
      </c>
      <c r="M166" t="n">
        <v>12</v>
      </c>
      <c r="N166" t="n">
        <v>-0.25</v>
      </c>
      <c r="O166" t="n">
        <v>-0.25</v>
      </c>
      <c r="P166" t="n">
        <v>34</v>
      </c>
      <c r="Q166" t="n">
        <v>12</v>
      </c>
      <c r="R166" t="s">
        <v>296</v>
      </c>
      <c r="S166" t="s">
        <v>301</v>
      </c>
      <c r="T166" t="n">
        <v>-0.375</v>
      </c>
    </row>
    <row r="167">
      <c r="A167" t="s">
        <v>30</v>
      </c>
      <c r="B167" t="n">
        <v>1</v>
      </c>
      <c r="C167" t="n">
        <v>1</v>
      </c>
      <c r="D167" t="n">
        <v>1</v>
      </c>
      <c r="E167" t="n">
        <v>-4.25</v>
      </c>
      <c r="F167" t="n">
        <v>-0.75</v>
      </c>
      <c r="G167" t="n">
        <v>171</v>
      </c>
      <c r="H167" t="n">
        <v>12</v>
      </c>
      <c r="I167" t="s">
        <v>297</v>
      </c>
      <c r="J167" t="n">
        <v>0</v>
      </c>
      <c r="K167" t="n">
        <v>0</v>
      </c>
      <c r="L167" t="n">
        <v>0</v>
      </c>
      <c r="M167" t="n">
        <v>12</v>
      </c>
      <c r="N167" t="n">
        <v>0.25</v>
      </c>
      <c r="O167" t="n">
        <v>0</v>
      </c>
      <c r="P167" t="n">
        <v>138</v>
      </c>
      <c r="Q167" t="n">
        <v>12</v>
      </c>
      <c r="R167" t="s">
        <v>297</v>
      </c>
      <c r="S167" t="s">
        <v>297</v>
      </c>
      <c r="T167" t="n">
        <v>0.25</v>
      </c>
    </row>
    <row r="168">
      <c r="A168" t="s">
        <v>30</v>
      </c>
      <c r="B168" t="n">
        <v>0.8</v>
      </c>
      <c r="C168" t="n">
        <v>1</v>
      </c>
      <c r="D168" t="n">
        <v>1</v>
      </c>
      <c r="E168" t="n">
        <v>-4.75</v>
      </c>
      <c r="F168" t="n">
        <v>-0.5</v>
      </c>
      <c r="G168" t="n">
        <v>6</v>
      </c>
      <c r="H168" t="n">
        <v>12</v>
      </c>
      <c r="I168" t="s">
        <v>296</v>
      </c>
      <c r="J168" t="n">
        <v>0</v>
      </c>
      <c r="K168" t="n">
        <v>0</v>
      </c>
      <c r="L168" t="n">
        <v>0</v>
      </c>
      <c r="M168" t="n">
        <v>12</v>
      </c>
      <c r="N168" t="n">
        <v>0.5</v>
      </c>
      <c r="O168" t="n">
        <v>-0.25</v>
      </c>
      <c r="P168" t="n">
        <v>31</v>
      </c>
      <c r="Q168" t="n">
        <v>12</v>
      </c>
      <c r="R168" t="s">
        <v>297</v>
      </c>
      <c r="S168" t="s">
        <v>297</v>
      </c>
      <c r="T168" t="n">
        <v>0.375</v>
      </c>
    </row>
    <row r="169">
      <c r="A169" t="s">
        <v>30</v>
      </c>
      <c r="B169" t="n">
        <v>1</v>
      </c>
      <c r="C169" t="n">
        <v>1.6</v>
      </c>
      <c r="D169" t="n">
        <v>1.6</v>
      </c>
      <c r="E169" t="n">
        <v>-5</v>
      </c>
      <c r="F169" t="n">
        <v>-0.75</v>
      </c>
      <c r="G169" t="n">
        <v>179</v>
      </c>
      <c r="H169" t="n">
        <v>12</v>
      </c>
      <c r="I169" t="s">
        <v>297</v>
      </c>
      <c r="J169" t="n">
        <v>0</v>
      </c>
      <c r="K169" t="n">
        <v>0</v>
      </c>
      <c r="L169" t="n">
        <v>0</v>
      </c>
      <c r="M169" t="n">
        <v>12</v>
      </c>
      <c r="N169" t="n">
        <v>0</v>
      </c>
      <c r="O169" t="n">
        <v>-0.25</v>
      </c>
      <c r="P169" t="n">
        <v>138</v>
      </c>
      <c r="Q169" t="n">
        <v>12</v>
      </c>
      <c r="R169" t="s">
        <v>299</v>
      </c>
      <c r="S169" t="s">
        <v>299</v>
      </c>
      <c r="T169" t="n">
        <v>-0.125</v>
      </c>
    </row>
    <row r="170">
      <c r="A170" t="s">
        <v>30</v>
      </c>
      <c r="B170" t="n">
        <v>1.25</v>
      </c>
      <c r="C170" t="n">
        <v>1</v>
      </c>
      <c r="D170" t="n">
        <v>1.25</v>
      </c>
      <c r="E170" t="n">
        <v>0.25</v>
      </c>
      <c r="F170" t="n">
        <v>-1.5</v>
      </c>
      <c r="G170" t="n">
        <v>7</v>
      </c>
      <c r="H170" t="n">
        <v>12</v>
      </c>
      <c r="I170" t="s">
        <v>298</v>
      </c>
      <c r="J170" t="n">
        <v>0</v>
      </c>
      <c r="K170" t="n">
        <v>0</v>
      </c>
      <c r="L170" t="n">
        <v>0</v>
      </c>
      <c r="M170" t="n">
        <v>12</v>
      </c>
      <c r="N170" t="n">
        <v>0</v>
      </c>
      <c r="O170" t="n">
        <v>-0.25</v>
      </c>
      <c r="P170" t="n">
        <v>123</v>
      </c>
      <c r="Q170" t="n">
        <v>12</v>
      </c>
      <c r="R170" t="s">
        <v>298</v>
      </c>
      <c r="S170" t="s">
        <v>297</v>
      </c>
      <c r="T170" t="n">
        <v>-0.125</v>
      </c>
    </row>
    <row r="171">
      <c r="A171" t="s">
        <v>30</v>
      </c>
      <c r="B171" t="n">
        <v>1.25</v>
      </c>
      <c r="C171" t="n">
        <v>1.25</v>
      </c>
      <c r="D171" t="n">
        <v>1.25</v>
      </c>
      <c r="E171" t="n">
        <v>-0.5</v>
      </c>
      <c r="F171" t="n">
        <v>-1</v>
      </c>
      <c r="G171" t="n">
        <v>4</v>
      </c>
      <c r="H171" t="n">
        <v>12</v>
      </c>
      <c r="I171" t="s">
        <v>298</v>
      </c>
      <c r="J171" t="n">
        <v>0</v>
      </c>
      <c r="K171" t="n">
        <v>0</v>
      </c>
      <c r="L171" t="n">
        <v>0</v>
      </c>
      <c r="M171" t="n">
        <v>12</v>
      </c>
      <c r="N171" t="n">
        <v>0</v>
      </c>
      <c r="O171" t="n">
        <v>0</v>
      </c>
      <c r="P171" t="n">
        <v>71</v>
      </c>
      <c r="Q171" t="n">
        <v>12</v>
      </c>
      <c r="R171" t="s">
        <v>298</v>
      </c>
      <c r="S171" t="s">
        <v>298</v>
      </c>
      <c r="T171" t="n">
        <v>0</v>
      </c>
    </row>
    <row r="172">
      <c r="A172" t="s">
        <v>30</v>
      </c>
      <c r="B172" t="n">
        <v>1.25</v>
      </c>
      <c r="C172" t="n">
        <v>1.25</v>
      </c>
      <c r="D172" t="n">
        <v>1.25</v>
      </c>
      <c r="E172" t="n">
        <v>0</v>
      </c>
      <c r="F172" t="n">
        <v>-0.75</v>
      </c>
      <c r="G172" t="n">
        <v>152</v>
      </c>
      <c r="H172" t="n">
        <v>12</v>
      </c>
      <c r="I172" t="s">
        <v>298</v>
      </c>
      <c r="J172" t="n">
        <v>0</v>
      </c>
      <c r="K172" t="n">
        <v>0</v>
      </c>
      <c r="L172" t="n">
        <v>0</v>
      </c>
      <c r="M172" t="n">
        <v>12</v>
      </c>
      <c r="N172" t="n">
        <v>0.25</v>
      </c>
      <c r="O172" t="n">
        <v>-0.25</v>
      </c>
      <c r="P172" t="n">
        <v>13</v>
      </c>
      <c r="Q172" t="n">
        <v>12</v>
      </c>
      <c r="R172" t="s">
        <v>298</v>
      </c>
      <c r="S172" t="s">
        <v>298</v>
      </c>
      <c r="T172" t="n">
        <v>0.125</v>
      </c>
    </row>
    <row r="173">
      <c r="A173" t="s">
        <v>30</v>
      </c>
      <c r="B173" t="n">
        <v>1.25</v>
      </c>
      <c r="C173" t="n">
        <v>1.25</v>
      </c>
      <c r="D173" t="n">
        <v>1.25</v>
      </c>
      <c r="E173" t="n">
        <v>-1.25</v>
      </c>
      <c r="F173" t="n">
        <v>-1</v>
      </c>
      <c r="G173" t="n">
        <v>29</v>
      </c>
      <c r="H173" t="n">
        <v>12</v>
      </c>
      <c r="I173" t="s">
        <v>298</v>
      </c>
      <c r="J173" t="n">
        <v>0</v>
      </c>
      <c r="K173" t="n">
        <v>0</v>
      </c>
      <c r="L173" t="n">
        <v>0</v>
      </c>
      <c r="M173" t="n">
        <v>12</v>
      </c>
      <c r="N173" t="n">
        <v>0.5</v>
      </c>
      <c r="O173" t="n">
        <v>-0.25</v>
      </c>
      <c r="P173" t="n">
        <v>47</v>
      </c>
      <c r="Q173" t="n">
        <v>12</v>
      </c>
      <c r="R173" t="s">
        <v>298</v>
      </c>
      <c r="S173" t="s">
        <v>298</v>
      </c>
      <c r="T173" t="n">
        <v>0.375</v>
      </c>
    </row>
    <row r="174">
      <c r="A174" t="s">
        <v>30</v>
      </c>
      <c r="B174" t="n">
        <v>1.25</v>
      </c>
      <c r="C174"/>
      <c r="D174"/>
      <c r="E174" t="n">
        <v>-2</v>
      </c>
      <c r="F174" t="n">
        <v>-1.75</v>
      </c>
      <c r="G174" t="n">
        <v>71</v>
      </c>
      <c r="H174" t="n">
        <v>12</v>
      </c>
      <c r="I174" t="s">
        <v>298</v>
      </c>
      <c r="J174" t="n">
        <v>0</v>
      </c>
      <c r="K174" t="n">
        <v>0</v>
      </c>
      <c r="L174" t="n">
        <v>0</v>
      </c>
      <c r="M174" t="n">
        <v>12</v>
      </c>
      <c r="N174"/>
      <c r="O174"/>
      <c r="P174"/>
      <c r="Q174" t="n">
        <v>12</v>
      </c>
      <c r="R174" t="s">
        <v>109</v>
      </c>
      <c r="S174" t="s">
        <v>109</v>
      </c>
      <c r="T174"/>
    </row>
    <row r="175">
      <c r="A175" t="s">
        <v>30</v>
      </c>
      <c r="B175" t="n">
        <v>1</v>
      </c>
      <c r="C175"/>
      <c r="D175"/>
      <c r="E175" t="n">
        <v>-3.25</v>
      </c>
      <c r="F175" t="n">
        <v>-0.75</v>
      </c>
      <c r="G175" t="n">
        <v>116</v>
      </c>
      <c r="H175" t="n">
        <v>12</v>
      </c>
      <c r="I175" t="s">
        <v>297</v>
      </c>
      <c r="J175" t="n">
        <v>0</v>
      </c>
      <c r="K175" t="n">
        <v>0</v>
      </c>
      <c r="L175" t="n">
        <v>0</v>
      </c>
      <c r="M175" t="n">
        <v>12</v>
      </c>
      <c r="N175"/>
      <c r="O175"/>
      <c r="P175"/>
      <c r="Q175" t="n">
        <v>12</v>
      </c>
      <c r="R175" t="s">
        <v>109</v>
      </c>
      <c r="S175" t="s">
        <v>109</v>
      </c>
      <c r="T175"/>
    </row>
    <row r="176">
      <c r="A176" t="s">
        <v>30</v>
      </c>
      <c r="B176" t="n">
        <v>1.25</v>
      </c>
      <c r="C176"/>
      <c r="D176"/>
      <c r="E176" t="n">
        <v>-2.25</v>
      </c>
      <c r="F176" t="n">
        <v>-2.25</v>
      </c>
      <c r="G176" t="n">
        <v>6</v>
      </c>
      <c r="H176" t="n">
        <v>12</v>
      </c>
      <c r="I176" t="s">
        <v>298</v>
      </c>
      <c r="J176" t="n">
        <v>0</v>
      </c>
      <c r="K176" t="n">
        <v>0</v>
      </c>
      <c r="L176" t="n">
        <v>0</v>
      </c>
      <c r="M176" t="n">
        <v>12</v>
      </c>
      <c r="N176"/>
      <c r="O176"/>
      <c r="P176"/>
      <c r="Q176" t="n">
        <v>12</v>
      </c>
      <c r="R176" t="s">
        <v>109</v>
      </c>
      <c r="S176" t="s">
        <v>109</v>
      </c>
      <c r="T176"/>
    </row>
    <row r="177">
      <c r="A177" t="s">
        <v>30</v>
      </c>
      <c r="B177" t="n">
        <v>1</v>
      </c>
      <c r="C177" t="n">
        <v>1</v>
      </c>
      <c r="D177" t="n">
        <v>1</v>
      </c>
      <c r="E177" t="n">
        <v>-5.5</v>
      </c>
      <c r="F177" t="n">
        <v>-0.25</v>
      </c>
      <c r="G177" t="n">
        <v>175</v>
      </c>
      <c r="H177" t="n">
        <v>12</v>
      </c>
      <c r="I177" t="s">
        <v>297</v>
      </c>
      <c r="J177" t="n">
        <v>0</v>
      </c>
      <c r="K177" t="n">
        <v>0</v>
      </c>
      <c r="L177" t="n">
        <v>0</v>
      </c>
      <c r="M177" t="n">
        <v>12</v>
      </c>
      <c r="N177" t="n">
        <v>-0.25</v>
      </c>
      <c r="O177" t="n">
        <v>0</v>
      </c>
      <c r="P177" t="n">
        <v>132</v>
      </c>
      <c r="Q177" t="n">
        <v>12</v>
      </c>
      <c r="R177" t="s">
        <v>297</v>
      </c>
      <c r="S177" t="s">
        <v>297</v>
      </c>
      <c r="T177" t="n">
        <v>-0.25</v>
      </c>
    </row>
    <row r="178">
      <c r="A178" t="s">
        <v>30</v>
      </c>
      <c r="B178" t="n">
        <v>1.25</v>
      </c>
      <c r="C178" t="n">
        <v>1.25</v>
      </c>
      <c r="D178" t="n">
        <v>1.25</v>
      </c>
      <c r="E178" t="n">
        <v>-5.75</v>
      </c>
      <c r="F178" t="n">
        <v>-0.25</v>
      </c>
      <c r="G178" t="n">
        <v>1</v>
      </c>
      <c r="H178" t="n">
        <v>12</v>
      </c>
      <c r="I178" t="s">
        <v>298</v>
      </c>
      <c r="J178" t="n">
        <v>0</v>
      </c>
      <c r="K178" t="n">
        <v>0</v>
      </c>
      <c r="L178" t="n">
        <v>0</v>
      </c>
      <c r="M178" t="n">
        <v>12</v>
      </c>
      <c r="N178" t="n">
        <v>-0.25</v>
      </c>
      <c r="O178" t="n">
        <v>0</v>
      </c>
      <c r="P178" t="n">
        <v>1</v>
      </c>
      <c r="Q178" t="n">
        <v>12</v>
      </c>
      <c r="R178" t="s">
        <v>298</v>
      </c>
      <c r="S178" t="s">
        <v>298</v>
      </c>
      <c r="T178" t="n">
        <v>-0.25</v>
      </c>
    </row>
    <row r="179">
      <c r="A179" t="s">
        <v>30</v>
      </c>
      <c r="B179" t="n">
        <v>1</v>
      </c>
      <c r="C179" t="n">
        <v>1</v>
      </c>
      <c r="D179" t="n">
        <v>1</v>
      </c>
      <c r="E179" t="n">
        <v>-4.75</v>
      </c>
      <c r="F179" t="n">
        <v>0</v>
      </c>
      <c r="G179" t="n">
        <v>64</v>
      </c>
      <c r="H179" t="n">
        <v>12</v>
      </c>
      <c r="I179" t="s">
        <v>297</v>
      </c>
      <c r="J179" t="n">
        <v>0</v>
      </c>
      <c r="K179" t="n">
        <v>0</v>
      </c>
      <c r="L179" t="n">
        <v>0</v>
      </c>
      <c r="M179" t="n">
        <v>12</v>
      </c>
      <c r="N179" t="n">
        <v>0.5</v>
      </c>
      <c r="O179" t="n">
        <v>-0.25</v>
      </c>
      <c r="P179" t="n">
        <v>145</v>
      </c>
      <c r="Q179" t="n">
        <v>12</v>
      </c>
      <c r="R179" t="s">
        <v>297</v>
      </c>
      <c r="S179" t="s">
        <v>297</v>
      </c>
      <c r="T179" t="n">
        <v>0.375</v>
      </c>
    </row>
    <row r="180">
      <c r="A180" t="s">
        <v>30</v>
      </c>
      <c r="B180" t="n">
        <v>0.8</v>
      </c>
      <c r="C180" t="n">
        <v>0.63</v>
      </c>
      <c r="D180" t="n">
        <v>0.63</v>
      </c>
      <c r="E180" t="n">
        <v>-3.5</v>
      </c>
      <c r="F180" t="n">
        <v>-1</v>
      </c>
      <c r="G180" t="n">
        <v>88</v>
      </c>
      <c r="H180" t="n">
        <v>12</v>
      </c>
      <c r="I180" t="s">
        <v>296</v>
      </c>
      <c r="J180" t="n">
        <v>0</v>
      </c>
      <c r="K180" t="n">
        <v>0</v>
      </c>
      <c r="L180" t="n">
        <v>0</v>
      </c>
      <c r="M180" t="n">
        <v>12</v>
      </c>
      <c r="N180" t="n">
        <v>0</v>
      </c>
      <c r="O180" t="n">
        <v>-0.25</v>
      </c>
      <c r="P180" t="n">
        <v>132</v>
      </c>
      <c r="Q180" t="n">
        <v>12</v>
      </c>
      <c r="R180" t="s">
        <v>301</v>
      </c>
      <c r="S180" t="s">
        <v>301</v>
      </c>
      <c r="T180" t="n">
        <v>-0.125</v>
      </c>
    </row>
    <row r="181">
      <c r="A181" t="s">
        <v>30</v>
      </c>
      <c r="B181" t="n">
        <v>1.25</v>
      </c>
      <c r="C181" t="n">
        <v>1</v>
      </c>
      <c r="D181" t="n">
        <v>1.6</v>
      </c>
      <c r="E181" t="n">
        <v>-5.75</v>
      </c>
      <c r="F181" t="n">
        <v>-1</v>
      </c>
      <c r="G181" t="n">
        <v>164</v>
      </c>
      <c r="H181" t="n">
        <v>12</v>
      </c>
      <c r="I181" t="s">
        <v>298</v>
      </c>
      <c r="J181" t="n">
        <v>0</v>
      </c>
      <c r="K181" t="n">
        <v>0</v>
      </c>
      <c r="L181" t="n">
        <v>0</v>
      </c>
      <c r="M181" t="n">
        <v>12</v>
      </c>
      <c r="N181" t="n">
        <v>-0.25</v>
      </c>
      <c r="O181" t="n">
        <v>-0.75</v>
      </c>
      <c r="P181" t="n">
        <v>131</v>
      </c>
      <c r="Q181" t="n">
        <v>12</v>
      </c>
      <c r="R181" t="s">
        <v>299</v>
      </c>
      <c r="S181" t="s">
        <v>297</v>
      </c>
      <c r="T181" t="n">
        <v>-0.625</v>
      </c>
    </row>
    <row r="182">
      <c r="A182" t="s">
        <v>30</v>
      </c>
      <c r="B182" t="n">
        <v>1</v>
      </c>
      <c r="C182"/>
      <c r="D182" t="n">
        <v>1.6</v>
      </c>
      <c r="E182" t="n">
        <v>-5</v>
      </c>
      <c r="F182" t="n">
        <v>-0.5</v>
      </c>
      <c r="G182" t="n">
        <v>163</v>
      </c>
      <c r="H182" t="n">
        <v>12</v>
      </c>
      <c r="I182" t="s">
        <v>297</v>
      </c>
      <c r="J182" t="n">
        <v>0</v>
      </c>
      <c r="K182" t="n">
        <v>0</v>
      </c>
      <c r="L182" t="n">
        <v>0</v>
      </c>
      <c r="M182" t="n">
        <v>12</v>
      </c>
      <c r="N182" t="n">
        <v>0.25</v>
      </c>
      <c r="O182" t="n">
        <v>-0.5</v>
      </c>
      <c r="P182" t="n">
        <v>127</v>
      </c>
      <c r="Q182" t="n">
        <v>12</v>
      </c>
      <c r="R182" t="s">
        <v>299</v>
      </c>
      <c r="S182" t="s">
        <v>109</v>
      </c>
      <c r="T182" t="n">
        <v>0</v>
      </c>
    </row>
    <row r="183">
      <c r="A183" t="s">
        <v>30</v>
      </c>
      <c r="B183" t="n">
        <v>1.25</v>
      </c>
      <c r="C183" t="n">
        <v>1.6</v>
      </c>
      <c r="D183" t="n">
        <v>1.6</v>
      </c>
      <c r="E183" t="n">
        <v>-1.75</v>
      </c>
      <c r="F183" t="n">
        <v>-0.75</v>
      </c>
      <c r="G183" t="n">
        <v>26</v>
      </c>
      <c r="H183" t="n">
        <v>12</v>
      </c>
      <c r="I183" t="s">
        <v>298</v>
      </c>
      <c r="J183" t="n">
        <v>0</v>
      </c>
      <c r="K183" t="n">
        <v>0</v>
      </c>
      <c r="L183" t="n">
        <v>0</v>
      </c>
      <c r="M183" t="n">
        <v>12</v>
      </c>
      <c r="N183" t="n">
        <v>0.25</v>
      </c>
      <c r="O183" t="n">
        <v>0</v>
      </c>
      <c r="P183" t="n">
        <v>66</v>
      </c>
      <c r="Q183" t="n">
        <v>12</v>
      </c>
      <c r="R183" t="s">
        <v>299</v>
      </c>
      <c r="S183" t="s">
        <v>299</v>
      </c>
      <c r="T183" t="n">
        <v>0.25</v>
      </c>
    </row>
    <row r="184">
      <c r="A184" t="s">
        <v>30</v>
      </c>
      <c r="B184" t="n">
        <v>1.25</v>
      </c>
      <c r="C184" t="n">
        <v>1.25</v>
      </c>
      <c r="D184" t="n">
        <v>1.25</v>
      </c>
      <c r="E184" t="n">
        <v>-2</v>
      </c>
      <c r="F184" t="n">
        <v>-1.75</v>
      </c>
      <c r="G184" t="n">
        <v>148</v>
      </c>
      <c r="H184" t="n">
        <v>12</v>
      </c>
      <c r="I184" t="s">
        <v>298</v>
      </c>
      <c r="J184" t="n">
        <v>0</v>
      </c>
      <c r="K184" t="n">
        <v>0</v>
      </c>
      <c r="L184" t="n">
        <v>0</v>
      </c>
      <c r="M184" t="n">
        <v>12</v>
      </c>
      <c r="N184" t="n">
        <v>0.25</v>
      </c>
      <c r="O184" t="n">
        <v>-0.25</v>
      </c>
      <c r="P184" t="n">
        <v>112</v>
      </c>
      <c r="Q184" t="n">
        <v>12</v>
      </c>
      <c r="R184" t="s">
        <v>298</v>
      </c>
      <c r="S184" t="s">
        <v>298</v>
      </c>
      <c r="T184" t="n">
        <v>0.125</v>
      </c>
    </row>
    <row r="185">
      <c r="A185" t="s">
        <v>30</v>
      </c>
      <c r="B185" t="n">
        <v>1</v>
      </c>
      <c r="C185" t="n">
        <v>1</v>
      </c>
      <c r="D185" t="n">
        <v>1</v>
      </c>
      <c r="E185" t="n">
        <v>-6.75</v>
      </c>
      <c r="F185" t="n">
        <v>-0.75</v>
      </c>
      <c r="G185" t="n">
        <v>38</v>
      </c>
      <c r="H185" t="n">
        <v>12</v>
      </c>
      <c r="I185" t="s">
        <v>297</v>
      </c>
      <c r="J185" t="n">
        <v>0</v>
      </c>
      <c r="K185" t="n">
        <v>0</v>
      </c>
      <c r="L185" t="n">
        <v>0</v>
      </c>
      <c r="M185" t="n">
        <v>12</v>
      </c>
      <c r="N185" t="n">
        <v>0</v>
      </c>
      <c r="O185" t="n">
        <v>-0.25</v>
      </c>
      <c r="P185" t="n">
        <v>156</v>
      </c>
      <c r="Q185" t="n">
        <v>12</v>
      </c>
      <c r="R185" t="s">
        <v>297</v>
      </c>
      <c r="S185" t="s">
        <v>297</v>
      </c>
      <c r="T185" t="n">
        <v>-0.125</v>
      </c>
    </row>
    <row r="186">
      <c r="A186" t="s">
        <v>30</v>
      </c>
      <c r="B186" t="n">
        <v>1.25</v>
      </c>
      <c r="C186" t="n">
        <v>1.6</v>
      </c>
      <c r="D186" t="n">
        <v>1.6</v>
      </c>
      <c r="E186" t="n">
        <v>-6.25</v>
      </c>
      <c r="F186" t="n">
        <v>-0.25</v>
      </c>
      <c r="G186" t="n">
        <v>97</v>
      </c>
      <c r="H186" t="n">
        <v>12</v>
      </c>
      <c r="I186" t="s">
        <v>298</v>
      </c>
      <c r="J186" t="n">
        <v>0</v>
      </c>
      <c r="K186" t="n">
        <v>0</v>
      </c>
      <c r="L186" t="n">
        <v>0</v>
      </c>
      <c r="M186" t="n">
        <v>12</v>
      </c>
      <c r="N186" t="n">
        <v>-0.25</v>
      </c>
      <c r="O186" t="n">
        <v>0</v>
      </c>
      <c r="P186" t="n">
        <v>166</v>
      </c>
      <c r="Q186" t="n">
        <v>12</v>
      </c>
      <c r="R186" t="s">
        <v>299</v>
      </c>
      <c r="S186" t="s">
        <v>299</v>
      </c>
      <c r="T186" t="n">
        <v>-0.25</v>
      </c>
    </row>
    <row r="187">
      <c r="A187" t="s">
        <v>30</v>
      </c>
      <c r="B187" t="n">
        <v>1</v>
      </c>
      <c r="C187" t="n">
        <v>1</v>
      </c>
      <c r="D187" t="n">
        <v>1</v>
      </c>
      <c r="E187" t="n">
        <v>-2.75</v>
      </c>
      <c r="F187" t="n">
        <v>-1.25</v>
      </c>
      <c r="G187" t="n">
        <v>3</v>
      </c>
      <c r="H187" t="n">
        <v>12</v>
      </c>
      <c r="I187" t="s">
        <v>297</v>
      </c>
      <c r="J187" t="n">
        <v>0</v>
      </c>
      <c r="K187" t="n">
        <v>0</v>
      </c>
      <c r="L187" t="n">
        <v>0</v>
      </c>
      <c r="M187" t="n">
        <v>12</v>
      </c>
      <c r="N187" t="n">
        <v>0.25</v>
      </c>
      <c r="O187" t="n">
        <v>-0.5</v>
      </c>
      <c r="P187" t="n">
        <v>168</v>
      </c>
      <c r="Q187" t="n">
        <v>12</v>
      </c>
      <c r="R187" t="s">
        <v>297</v>
      </c>
      <c r="S187" t="s">
        <v>297</v>
      </c>
      <c r="T187" t="n">
        <v>0</v>
      </c>
    </row>
    <row r="188">
      <c r="A188" t="s">
        <v>30</v>
      </c>
      <c r="B188" t="n">
        <v>1</v>
      </c>
      <c r="C188" t="n">
        <v>1</v>
      </c>
      <c r="D188" t="n">
        <v>1</v>
      </c>
      <c r="E188" t="n">
        <v>-3.5</v>
      </c>
      <c r="F188" t="n">
        <v>-1.5</v>
      </c>
      <c r="G188" t="n">
        <v>16</v>
      </c>
      <c r="H188" t="n">
        <v>12</v>
      </c>
      <c r="I188" t="s">
        <v>297</v>
      </c>
      <c r="J188" t="n">
        <v>0</v>
      </c>
      <c r="K188" t="n">
        <v>0</v>
      </c>
      <c r="L188" t="n">
        <v>0</v>
      </c>
      <c r="M188" t="n">
        <v>12</v>
      </c>
      <c r="N188" t="n">
        <v>0.25</v>
      </c>
      <c r="O188" t="n">
        <v>-0.5</v>
      </c>
      <c r="P188" t="n">
        <v>40</v>
      </c>
      <c r="Q188" t="n">
        <v>12</v>
      </c>
      <c r="R188" t="s">
        <v>297</v>
      </c>
      <c r="S188" t="s">
        <v>297</v>
      </c>
      <c r="T188" t="n">
        <v>0</v>
      </c>
    </row>
    <row r="189">
      <c r="A189" t="s">
        <v>30</v>
      </c>
      <c r="B189" t="n">
        <v>1.25</v>
      </c>
      <c r="C189" t="n">
        <v>1.25</v>
      </c>
      <c r="D189" t="n">
        <v>1.25</v>
      </c>
      <c r="E189" t="n">
        <v>-3.5</v>
      </c>
      <c r="F189" t="n">
        <v>-0.5</v>
      </c>
      <c r="G189" t="n">
        <v>42</v>
      </c>
      <c r="H189" t="n">
        <v>12</v>
      </c>
      <c r="I189" t="s">
        <v>298</v>
      </c>
      <c r="J189" t="n">
        <v>0</v>
      </c>
      <c r="K189" t="n">
        <v>0</v>
      </c>
      <c r="L189" t="n">
        <v>0</v>
      </c>
      <c r="M189" t="n">
        <v>12</v>
      </c>
      <c r="N189" t="n">
        <v>0</v>
      </c>
      <c r="O189" t="n">
        <v>-0.5</v>
      </c>
      <c r="P189" t="n">
        <v>91</v>
      </c>
      <c r="Q189" t="n">
        <v>12</v>
      </c>
      <c r="R189" t="s">
        <v>298</v>
      </c>
      <c r="S189" t="s">
        <v>298</v>
      </c>
      <c r="T189" t="n">
        <v>-0.25</v>
      </c>
    </row>
    <row r="190">
      <c r="A190" t="s">
        <v>30</v>
      </c>
      <c r="B190" t="n">
        <v>1.25</v>
      </c>
      <c r="C190" t="n">
        <v>1.25</v>
      </c>
      <c r="D190" t="n">
        <v>1.25</v>
      </c>
      <c r="E190" t="n">
        <v>-3</v>
      </c>
      <c r="F190" t="n">
        <v>-0.75</v>
      </c>
      <c r="G190" t="n">
        <v>139</v>
      </c>
      <c r="H190" t="n">
        <v>12</v>
      </c>
      <c r="I190" t="s">
        <v>298</v>
      </c>
      <c r="J190" t="n">
        <v>0</v>
      </c>
      <c r="K190" t="n">
        <v>0</v>
      </c>
      <c r="L190" t="n">
        <v>0</v>
      </c>
      <c r="M190" t="n">
        <v>12</v>
      </c>
      <c r="N190" t="n">
        <v>-0.25</v>
      </c>
      <c r="O190" t="n">
        <v>-0.25</v>
      </c>
      <c r="P190" t="n">
        <v>87</v>
      </c>
      <c r="Q190" t="n">
        <v>12</v>
      </c>
      <c r="R190" t="s">
        <v>298</v>
      </c>
      <c r="S190" t="s">
        <v>298</v>
      </c>
      <c r="T190" t="n">
        <v>-0.375</v>
      </c>
    </row>
    <row r="191">
      <c r="A191" t="s">
        <v>30</v>
      </c>
      <c r="B191" t="n">
        <v>1.25</v>
      </c>
      <c r="C191"/>
      <c r="D191"/>
      <c r="E191" t="n">
        <v>-4.5</v>
      </c>
      <c r="F191" t="n">
        <v>-1</v>
      </c>
      <c r="G191" t="n">
        <v>129</v>
      </c>
      <c r="H191" t="n">
        <v>12</v>
      </c>
      <c r="I191" t="s">
        <v>298</v>
      </c>
      <c r="J191" t="n">
        <v>0</v>
      </c>
      <c r="K191" t="n">
        <v>0</v>
      </c>
      <c r="L191" t="n">
        <v>0</v>
      </c>
      <c r="M191" t="n">
        <v>12</v>
      </c>
      <c r="N191"/>
      <c r="O191"/>
      <c r="P191"/>
      <c r="Q191" t="n">
        <v>12</v>
      </c>
      <c r="R191" t="s">
        <v>109</v>
      </c>
      <c r="S191" t="s">
        <v>109</v>
      </c>
      <c r="T191"/>
    </row>
    <row r="192">
      <c r="A192" t="s">
        <v>30</v>
      </c>
      <c r="B192" t="n">
        <v>1.25</v>
      </c>
      <c r="C192"/>
      <c r="D192"/>
      <c r="E192" t="n">
        <v>-3.75</v>
      </c>
      <c r="F192" t="n">
        <v>-0.75</v>
      </c>
      <c r="G192" t="n">
        <v>54</v>
      </c>
      <c r="H192" t="n">
        <v>12</v>
      </c>
      <c r="I192" t="s">
        <v>298</v>
      </c>
      <c r="J192" t="n">
        <v>0</v>
      </c>
      <c r="K192" t="n">
        <v>0</v>
      </c>
      <c r="L192" t="n">
        <v>0</v>
      </c>
      <c r="M192" t="n">
        <v>12</v>
      </c>
      <c r="N192"/>
      <c r="O192"/>
      <c r="P192"/>
      <c r="Q192" t="n">
        <v>12</v>
      </c>
      <c r="R192" t="s">
        <v>109</v>
      </c>
      <c r="S192" t="s">
        <v>109</v>
      </c>
      <c r="T192"/>
    </row>
    <row r="193">
      <c r="A193" t="s">
        <v>30</v>
      </c>
      <c r="B193" t="n">
        <v>1.6</v>
      </c>
      <c r="C193" t="n">
        <v>1.6</v>
      </c>
      <c r="D193" t="n">
        <v>1.6</v>
      </c>
      <c r="E193" t="n">
        <v>0</v>
      </c>
      <c r="F193" t="n">
        <v>-1.25</v>
      </c>
      <c r="G193" t="n">
        <v>180</v>
      </c>
      <c r="H193" t="n">
        <v>12</v>
      </c>
      <c r="I193" t="s">
        <v>299</v>
      </c>
      <c r="J193" t="n">
        <v>0</v>
      </c>
      <c r="K193" t="n">
        <v>0</v>
      </c>
      <c r="L193" t="n">
        <v>0</v>
      </c>
      <c r="M193" t="n">
        <v>12</v>
      </c>
      <c r="N193" t="n">
        <v>0.5</v>
      </c>
      <c r="O193" t="n">
        <v>-0.75</v>
      </c>
      <c r="P193" t="n">
        <v>152</v>
      </c>
      <c r="Q193" t="n">
        <v>12</v>
      </c>
      <c r="R193" t="s">
        <v>299</v>
      </c>
      <c r="S193" t="s">
        <v>299</v>
      </c>
      <c r="T193" t="n">
        <v>0.125</v>
      </c>
    </row>
    <row r="194">
      <c r="A194" t="s">
        <v>30</v>
      </c>
      <c r="B194" t="n">
        <v>1.6</v>
      </c>
      <c r="C194" t="n">
        <v>1.25</v>
      </c>
      <c r="D194" t="n">
        <v>1.6</v>
      </c>
      <c r="E194" t="n">
        <v>-0.25</v>
      </c>
      <c r="F194" t="n">
        <v>-1.25</v>
      </c>
      <c r="G194" t="n">
        <v>171</v>
      </c>
      <c r="H194" t="n">
        <v>12</v>
      </c>
      <c r="I194" t="s">
        <v>299</v>
      </c>
      <c r="J194" t="n">
        <v>0</v>
      </c>
      <c r="K194" t="n">
        <v>0</v>
      </c>
      <c r="L194" t="n">
        <v>0</v>
      </c>
      <c r="M194" t="n">
        <v>12</v>
      </c>
      <c r="N194" t="n">
        <v>0.25</v>
      </c>
      <c r="O194" t="n">
        <v>-0.75</v>
      </c>
      <c r="P194" t="n">
        <v>26</v>
      </c>
      <c r="Q194" t="n">
        <v>12</v>
      </c>
      <c r="R194" t="s">
        <v>299</v>
      </c>
      <c r="S194" t="s">
        <v>298</v>
      </c>
      <c r="T194" t="n">
        <v>-0.125</v>
      </c>
    </row>
    <row r="195">
      <c r="A195" t="s">
        <v>30</v>
      </c>
      <c r="B195" t="n">
        <v>1</v>
      </c>
      <c r="C195" t="n">
        <v>1</v>
      </c>
      <c r="D195" t="n">
        <v>1</v>
      </c>
      <c r="E195" t="n">
        <v>-3.5</v>
      </c>
      <c r="F195" t="n">
        <v>-1</v>
      </c>
      <c r="G195" t="n">
        <v>18</v>
      </c>
      <c r="H195" t="n">
        <v>12</v>
      </c>
      <c r="I195" t="s">
        <v>297</v>
      </c>
      <c r="J195" t="n">
        <v>0</v>
      </c>
      <c r="K195" t="n">
        <v>0</v>
      </c>
      <c r="L195" t="n">
        <v>0</v>
      </c>
      <c r="M195" t="n">
        <v>12</v>
      </c>
      <c r="N195" t="n">
        <v>0.25</v>
      </c>
      <c r="O195" t="n">
        <v>-0.25</v>
      </c>
      <c r="P195" t="n">
        <v>48</v>
      </c>
      <c r="Q195" t="n">
        <v>12</v>
      </c>
      <c r="R195" t="s">
        <v>297</v>
      </c>
      <c r="S195" t="s">
        <v>297</v>
      </c>
      <c r="T195" t="n">
        <v>0.125</v>
      </c>
    </row>
    <row r="196">
      <c r="A196" t="s">
        <v>30</v>
      </c>
      <c r="B196" t="n">
        <v>1</v>
      </c>
      <c r="C196" t="n">
        <v>1.25</v>
      </c>
      <c r="D196" t="n">
        <v>1.25</v>
      </c>
      <c r="E196" t="n">
        <v>-3.25</v>
      </c>
      <c r="F196" t="n">
        <v>-1.5</v>
      </c>
      <c r="G196" t="n">
        <v>157</v>
      </c>
      <c r="H196" t="n">
        <v>12</v>
      </c>
      <c r="I196" t="s">
        <v>297</v>
      </c>
      <c r="J196" t="n">
        <v>0</v>
      </c>
      <c r="K196" t="n">
        <v>0</v>
      </c>
      <c r="L196" t="n">
        <v>0</v>
      </c>
      <c r="M196" t="n">
        <v>12</v>
      </c>
      <c r="N196" t="n">
        <v>0.5</v>
      </c>
      <c r="O196" t="n">
        <v>-0.5</v>
      </c>
      <c r="P196" t="n">
        <v>177</v>
      </c>
      <c r="Q196" t="n">
        <v>12</v>
      </c>
      <c r="R196" t="s">
        <v>298</v>
      </c>
      <c r="S196" t="s">
        <v>298</v>
      </c>
      <c r="T196" t="n">
        <v>0.25</v>
      </c>
    </row>
    <row r="197">
      <c r="A197" t="s">
        <v>30</v>
      </c>
      <c r="B197" t="n">
        <v>1</v>
      </c>
      <c r="C197" t="n">
        <v>1</v>
      </c>
      <c r="D197" t="n">
        <v>1</v>
      </c>
      <c r="E197" t="n">
        <v>0.25</v>
      </c>
      <c r="F197" t="n">
        <v>-1.5</v>
      </c>
      <c r="G197" t="n">
        <v>165</v>
      </c>
      <c r="H197" t="n">
        <v>12</v>
      </c>
      <c r="I197" t="s">
        <v>297</v>
      </c>
      <c r="J197" t="n">
        <v>0</v>
      </c>
      <c r="K197" t="n">
        <v>0</v>
      </c>
      <c r="L197" t="n">
        <v>0</v>
      </c>
      <c r="M197" t="n">
        <v>12</v>
      </c>
      <c r="N197" t="n">
        <v>0.25</v>
      </c>
      <c r="O197" t="n">
        <v>-0.25</v>
      </c>
      <c r="P197" t="n">
        <v>157</v>
      </c>
      <c r="Q197" t="n">
        <v>12</v>
      </c>
      <c r="R197" t="s">
        <v>297</v>
      </c>
      <c r="S197" t="s">
        <v>297</v>
      </c>
      <c r="T197" t="n">
        <v>0.125</v>
      </c>
    </row>
    <row r="198">
      <c r="A198" t="s">
        <v>30</v>
      </c>
      <c r="B198" t="n">
        <v>1</v>
      </c>
      <c r="C198" t="n">
        <v>1</v>
      </c>
      <c r="D198" t="n">
        <v>1.25</v>
      </c>
      <c r="E198" t="n">
        <v>0</v>
      </c>
      <c r="F198" t="n">
        <v>-0.75</v>
      </c>
      <c r="G198" t="n">
        <v>15</v>
      </c>
      <c r="H198" t="n">
        <v>12</v>
      </c>
      <c r="I198" t="s">
        <v>297</v>
      </c>
      <c r="J198" t="n">
        <v>-0.75</v>
      </c>
      <c r="K198" t="n">
        <v>0</v>
      </c>
      <c r="L198" t="n">
        <v>0</v>
      </c>
      <c r="M198" t="n">
        <v>12</v>
      </c>
      <c r="N198" t="n">
        <v>-0.5</v>
      </c>
      <c r="O198" t="n">
        <v>0</v>
      </c>
      <c r="P198" t="n">
        <v>110</v>
      </c>
      <c r="Q198" t="n">
        <v>12</v>
      </c>
      <c r="R198" t="s">
        <v>298</v>
      </c>
      <c r="S198" t="s">
        <v>297</v>
      </c>
      <c r="T198" t="n">
        <v>-0.5</v>
      </c>
    </row>
    <row r="199">
      <c r="A199" t="s">
        <v>30</v>
      </c>
      <c r="B199" t="n">
        <v>1</v>
      </c>
      <c r="C199" t="n">
        <v>1.25</v>
      </c>
      <c r="D199" t="n">
        <v>1.25</v>
      </c>
      <c r="E199" t="n">
        <v>-3.25</v>
      </c>
      <c r="F199" t="n">
        <v>-0.5</v>
      </c>
      <c r="G199" t="n">
        <v>84</v>
      </c>
      <c r="H199" t="n">
        <v>12</v>
      </c>
      <c r="I199" t="s">
        <v>297</v>
      </c>
      <c r="J199" t="n">
        <v>0</v>
      </c>
      <c r="K199" t="n">
        <v>0</v>
      </c>
      <c r="L199" t="n">
        <v>0</v>
      </c>
      <c r="M199" t="n">
        <v>12</v>
      </c>
      <c r="N199" t="n">
        <v>0</v>
      </c>
      <c r="O199" t="n">
        <v>-0.25</v>
      </c>
      <c r="P199" t="n">
        <v>54</v>
      </c>
      <c r="Q199" t="n">
        <v>12</v>
      </c>
      <c r="R199" t="s">
        <v>298</v>
      </c>
      <c r="S199" t="s">
        <v>298</v>
      </c>
      <c r="T199" t="n">
        <v>-0.125</v>
      </c>
    </row>
    <row r="200">
      <c r="A200" t="s">
        <v>30</v>
      </c>
      <c r="B200" t="n">
        <v>1</v>
      </c>
      <c r="C200" t="n">
        <v>1</v>
      </c>
      <c r="D200" t="n">
        <v>1</v>
      </c>
      <c r="E200" t="n">
        <v>-4.5</v>
      </c>
      <c r="F200" t="n">
        <v>-0.25</v>
      </c>
      <c r="G200" t="n">
        <v>83</v>
      </c>
      <c r="H200" t="n">
        <v>12</v>
      </c>
      <c r="I200" t="s">
        <v>297</v>
      </c>
      <c r="J200" t="n">
        <v>0</v>
      </c>
      <c r="K200" t="n">
        <v>0</v>
      </c>
      <c r="L200" t="n">
        <v>0</v>
      </c>
      <c r="M200" t="n">
        <v>12</v>
      </c>
      <c r="N200" t="n">
        <v>0.25</v>
      </c>
      <c r="O200" t="n">
        <v>-0.25</v>
      </c>
      <c r="P200" t="n">
        <v>154</v>
      </c>
      <c r="Q200" t="n">
        <v>12</v>
      </c>
      <c r="R200" t="s">
        <v>297</v>
      </c>
      <c r="S200" t="s">
        <v>297</v>
      </c>
      <c r="T200" t="n">
        <v>0.125</v>
      </c>
    </row>
    <row r="201">
      <c r="A201" t="s">
        <v>30</v>
      </c>
      <c r="B201" t="n">
        <v>1.25</v>
      </c>
      <c r="C201" t="n">
        <v>1.25</v>
      </c>
      <c r="D201" t="n">
        <v>1.25</v>
      </c>
      <c r="E201" t="n">
        <v>-1.75</v>
      </c>
      <c r="F201" t="n">
        <v>-0.75</v>
      </c>
      <c r="G201" t="n">
        <v>10</v>
      </c>
      <c r="H201" t="n">
        <v>12</v>
      </c>
      <c r="I201" t="s">
        <v>298</v>
      </c>
      <c r="J201" t="n">
        <v>0</v>
      </c>
      <c r="K201" t="n">
        <v>0</v>
      </c>
      <c r="L201" t="n">
        <v>0</v>
      </c>
      <c r="M201" t="n">
        <v>12</v>
      </c>
      <c r="N201" t="n">
        <v>0.25</v>
      </c>
      <c r="O201" t="n">
        <v>-0.25</v>
      </c>
      <c r="P201" t="n">
        <v>68</v>
      </c>
      <c r="Q201" t="n">
        <v>12</v>
      </c>
      <c r="R201" t="s">
        <v>298</v>
      </c>
      <c r="S201" t="s">
        <v>298</v>
      </c>
      <c r="T201" t="n">
        <v>0.125</v>
      </c>
    </row>
    <row r="202">
      <c r="A202" t="s">
        <v>30</v>
      </c>
      <c r="B202" t="n">
        <v>1.25</v>
      </c>
      <c r="C202" t="n">
        <v>1.25</v>
      </c>
      <c r="D202" t="n">
        <v>1.25</v>
      </c>
      <c r="E202" t="n">
        <v>-0.5</v>
      </c>
      <c r="F202" t="n">
        <v>-1.25</v>
      </c>
      <c r="G202" t="n">
        <v>171</v>
      </c>
      <c r="H202" t="n">
        <v>12</v>
      </c>
      <c r="I202" t="s">
        <v>298</v>
      </c>
      <c r="J202" t="n">
        <v>0</v>
      </c>
      <c r="K202" t="n">
        <v>0</v>
      </c>
      <c r="L202" t="n">
        <v>0</v>
      </c>
      <c r="M202" t="n">
        <v>12</v>
      </c>
      <c r="N202" t="n">
        <v>0.25</v>
      </c>
      <c r="O202" t="n">
        <v>-0.25</v>
      </c>
      <c r="P202" t="n">
        <v>41</v>
      </c>
      <c r="Q202" t="n">
        <v>12</v>
      </c>
      <c r="R202" t="s">
        <v>298</v>
      </c>
      <c r="S202" t="s">
        <v>298</v>
      </c>
      <c r="T202" t="n">
        <v>0.125</v>
      </c>
    </row>
    <row r="203">
      <c r="A203" t="s">
        <v>30</v>
      </c>
      <c r="B203" t="n">
        <v>1.25</v>
      </c>
      <c r="C203" t="n">
        <v>1.25</v>
      </c>
      <c r="D203" t="n">
        <v>1.25</v>
      </c>
      <c r="E203" t="n">
        <v>-4.25</v>
      </c>
      <c r="F203" t="n">
        <v>-0.25</v>
      </c>
      <c r="G203" t="n">
        <v>165</v>
      </c>
      <c r="H203" t="n">
        <v>12</v>
      </c>
      <c r="I203" t="s">
        <v>298</v>
      </c>
      <c r="J203" t="n">
        <v>0</v>
      </c>
      <c r="K203" t="n">
        <v>0</v>
      </c>
      <c r="L203" t="n">
        <v>0</v>
      </c>
      <c r="M203" t="n">
        <v>12</v>
      </c>
      <c r="N203" t="n">
        <v>0.5</v>
      </c>
      <c r="O203" t="n">
        <v>-0.25</v>
      </c>
      <c r="P203" t="n">
        <v>117</v>
      </c>
      <c r="Q203" t="n">
        <v>12</v>
      </c>
      <c r="R203" t="s">
        <v>298</v>
      </c>
      <c r="S203" t="s">
        <v>298</v>
      </c>
      <c r="T203" t="n">
        <v>0.375</v>
      </c>
    </row>
    <row r="204">
      <c r="A204" t="s">
        <v>30</v>
      </c>
      <c r="B204" t="n">
        <v>1</v>
      </c>
      <c r="C204" t="n">
        <v>0.8</v>
      </c>
      <c r="D204" t="n">
        <v>1.6</v>
      </c>
      <c r="E204" t="n">
        <v>-5</v>
      </c>
      <c r="F204" t="n">
        <v>-0.5</v>
      </c>
      <c r="G204" t="n">
        <v>157</v>
      </c>
      <c r="H204" t="n">
        <v>12</v>
      </c>
      <c r="I204" t="s">
        <v>297</v>
      </c>
      <c r="J204" t="n">
        <v>0</v>
      </c>
      <c r="K204" t="n">
        <v>0</v>
      </c>
      <c r="L204" t="n">
        <v>0</v>
      </c>
      <c r="M204" t="n">
        <v>12</v>
      </c>
      <c r="N204" t="n">
        <v>-1</v>
      </c>
      <c r="O204" t="n">
        <v>0</v>
      </c>
      <c r="P204" t="n">
        <v>108</v>
      </c>
      <c r="Q204" t="n">
        <v>12</v>
      </c>
      <c r="R204" t="s">
        <v>299</v>
      </c>
      <c r="S204" t="s">
        <v>296</v>
      </c>
      <c r="T204" t="n">
        <v>-1</v>
      </c>
    </row>
    <row r="205">
      <c r="A205" t="s">
        <v>30</v>
      </c>
      <c r="B205" t="n">
        <v>1</v>
      </c>
      <c r="C205" t="n">
        <v>1</v>
      </c>
      <c r="D205" t="n">
        <v>1.6</v>
      </c>
      <c r="E205" t="n">
        <v>-4.5</v>
      </c>
      <c r="F205" t="n">
        <v>-0.75</v>
      </c>
      <c r="G205" t="n">
        <v>28</v>
      </c>
      <c r="H205" t="n">
        <v>12</v>
      </c>
      <c r="I205" t="s">
        <v>297</v>
      </c>
      <c r="J205" t="n">
        <v>0</v>
      </c>
      <c r="K205" t="n">
        <v>0</v>
      </c>
      <c r="L205" t="n">
        <v>0</v>
      </c>
      <c r="M205" t="n">
        <v>12</v>
      </c>
      <c r="N205" t="n">
        <v>-1</v>
      </c>
      <c r="O205" t="n">
        <v>0</v>
      </c>
      <c r="P205" t="n">
        <v>97</v>
      </c>
      <c r="Q205" t="n">
        <v>12</v>
      </c>
      <c r="R205" t="s">
        <v>299</v>
      </c>
      <c r="S205" t="s">
        <v>297</v>
      </c>
      <c r="T205" t="n">
        <v>-1</v>
      </c>
    </row>
    <row r="206">
      <c r="A206" t="s">
        <v>30</v>
      </c>
      <c r="B206" t="n">
        <v>1</v>
      </c>
      <c r="C206" t="n">
        <v>1.25</v>
      </c>
      <c r="D206" t="n">
        <v>1.25</v>
      </c>
      <c r="E206" t="n">
        <v>-5</v>
      </c>
      <c r="F206" t="n">
        <v>-0.5</v>
      </c>
      <c r="G206" t="n">
        <v>53</v>
      </c>
      <c r="H206" t="n">
        <v>12</v>
      </c>
      <c r="I206" t="s">
        <v>297</v>
      </c>
      <c r="J206" t="n">
        <v>0</v>
      </c>
      <c r="K206" t="n">
        <v>0</v>
      </c>
      <c r="L206" t="n">
        <v>0</v>
      </c>
      <c r="M206" t="n">
        <v>12</v>
      </c>
      <c r="N206" t="n">
        <v>0.25</v>
      </c>
      <c r="O206" t="n">
        <v>-0.25</v>
      </c>
      <c r="P206" t="n">
        <v>72</v>
      </c>
      <c r="Q206" t="n">
        <v>12</v>
      </c>
      <c r="R206" t="s">
        <v>298</v>
      </c>
      <c r="S206" t="s">
        <v>298</v>
      </c>
      <c r="T206" t="n">
        <v>0.125</v>
      </c>
    </row>
    <row r="207">
      <c r="A207" t="s">
        <v>30</v>
      </c>
      <c r="B207" t="n">
        <v>1.25</v>
      </c>
      <c r="C207" t="n">
        <v>1.6</v>
      </c>
      <c r="D207" t="n">
        <v>1.6</v>
      </c>
      <c r="E207" t="n">
        <v>-4</v>
      </c>
      <c r="F207" t="n">
        <v>-0.25</v>
      </c>
      <c r="G207" t="n">
        <v>130</v>
      </c>
      <c r="H207" t="n">
        <v>12</v>
      </c>
      <c r="I207" t="s">
        <v>298</v>
      </c>
      <c r="J207" t="n">
        <v>0</v>
      </c>
      <c r="K207" t="n">
        <v>0</v>
      </c>
      <c r="L207" t="n">
        <v>0</v>
      </c>
      <c r="M207" t="n">
        <v>12</v>
      </c>
      <c r="N207" t="n">
        <v>0</v>
      </c>
      <c r="O207" t="n">
        <v>0</v>
      </c>
      <c r="P207" t="n">
        <v>132</v>
      </c>
      <c r="Q207" t="n">
        <v>12</v>
      </c>
      <c r="R207" t="s">
        <v>299</v>
      </c>
      <c r="S207" t="s">
        <v>299</v>
      </c>
      <c r="T207" t="n">
        <v>0</v>
      </c>
    </row>
    <row r="208">
      <c r="A208" t="s">
        <v>30</v>
      </c>
      <c r="B208" t="n">
        <v>0.8</v>
      </c>
      <c r="C208"/>
      <c r="D208"/>
      <c r="E208" t="n">
        <v>-5.75</v>
      </c>
      <c r="F208" t="n">
        <v>-0.5</v>
      </c>
      <c r="G208" t="n">
        <v>126</v>
      </c>
      <c r="H208" t="n">
        <v>12</v>
      </c>
      <c r="I208" t="s">
        <v>296</v>
      </c>
      <c r="J208" t="n">
        <v>0</v>
      </c>
      <c r="K208" t="n">
        <v>0</v>
      </c>
      <c r="L208" t="n">
        <v>0</v>
      </c>
      <c r="M208" t="n">
        <v>12</v>
      </c>
      <c r="N208"/>
      <c r="O208"/>
      <c r="P208"/>
      <c r="Q208" t="n">
        <v>12</v>
      </c>
      <c r="R208" t="s">
        <v>109</v>
      </c>
      <c r="S208" t="s">
        <v>109</v>
      </c>
      <c r="T208"/>
    </row>
    <row r="209">
      <c r="A209" t="s">
        <v>30</v>
      </c>
      <c r="B209" t="n">
        <v>1</v>
      </c>
      <c r="C209" t="n">
        <v>0.8</v>
      </c>
      <c r="D209" t="n">
        <v>1</v>
      </c>
      <c r="E209" t="n">
        <v>-3.75</v>
      </c>
      <c r="F209" t="n">
        <v>-0.25</v>
      </c>
      <c r="G209" t="n">
        <v>9</v>
      </c>
      <c r="H209" t="n">
        <v>12</v>
      </c>
      <c r="I209" t="s">
        <v>297</v>
      </c>
      <c r="J209" t="n">
        <v>0</v>
      </c>
      <c r="K209" t="n">
        <v>0</v>
      </c>
      <c r="L209" t="n">
        <v>0</v>
      </c>
      <c r="M209" t="n">
        <v>12</v>
      </c>
      <c r="N209" t="n">
        <v>0</v>
      </c>
      <c r="O209" t="n">
        <v>0</v>
      </c>
      <c r="P209" t="n">
        <v>142</v>
      </c>
      <c r="Q209" t="n">
        <v>12</v>
      </c>
      <c r="R209" t="s">
        <v>297</v>
      </c>
      <c r="S209" t="s">
        <v>296</v>
      </c>
      <c r="T209" t="n">
        <v>0</v>
      </c>
    </row>
    <row r="210">
      <c r="A210" t="s">
        <v>30</v>
      </c>
      <c r="B210" t="n">
        <v>1</v>
      </c>
      <c r="C210" t="n">
        <v>0.63</v>
      </c>
      <c r="D210" t="n">
        <v>0.8</v>
      </c>
      <c r="E210" t="n">
        <v>-4</v>
      </c>
      <c r="F210" t="n">
        <v>-0.5</v>
      </c>
      <c r="G210" t="n">
        <v>165</v>
      </c>
      <c r="H210" t="n">
        <v>12</v>
      </c>
      <c r="I210" t="s">
        <v>297</v>
      </c>
      <c r="J210" t="n">
        <v>0</v>
      </c>
      <c r="K210" t="n">
        <v>0</v>
      </c>
      <c r="L210" t="n">
        <v>0</v>
      </c>
      <c r="M210" t="n">
        <v>12</v>
      </c>
      <c r="N210" t="n">
        <v>-0.25</v>
      </c>
      <c r="O210" t="n">
        <v>-0.25</v>
      </c>
      <c r="P210" t="n">
        <v>138</v>
      </c>
      <c r="Q210" t="n">
        <v>12</v>
      </c>
      <c r="R210" t="s">
        <v>296</v>
      </c>
      <c r="S210" t="s">
        <v>301</v>
      </c>
      <c r="T210" t="n">
        <v>-0.375</v>
      </c>
    </row>
    <row r="211">
      <c r="A211" t="s">
        <v>30</v>
      </c>
      <c r="B211" t="n">
        <v>0.8</v>
      </c>
      <c r="C211" t="n">
        <v>0.63</v>
      </c>
      <c r="D211" t="n">
        <v>0.8</v>
      </c>
      <c r="E211" t="n">
        <v>-5</v>
      </c>
      <c r="F211" t="n">
        <v>-0.5</v>
      </c>
      <c r="G211" t="n">
        <v>4</v>
      </c>
      <c r="H211" t="n">
        <v>12</v>
      </c>
      <c r="I211" t="s">
        <v>296</v>
      </c>
      <c r="J211" t="n">
        <v>0</v>
      </c>
      <c r="K211" t="n">
        <v>0</v>
      </c>
      <c r="L211" t="n">
        <v>0</v>
      </c>
      <c r="M211" t="n">
        <v>12</v>
      </c>
      <c r="N211" t="n">
        <v>0</v>
      </c>
      <c r="O211" t="n">
        <v>-0.25</v>
      </c>
      <c r="P211" t="n">
        <v>141</v>
      </c>
      <c r="Q211" t="n">
        <v>12</v>
      </c>
      <c r="R211" t="s">
        <v>296</v>
      </c>
      <c r="S211" t="s">
        <v>301</v>
      </c>
      <c r="T211" t="n">
        <v>-0.125</v>
      </c>
    </row>
    <row r="212">
      <c r="A212" t="s">
        <v>30</v>
      </c>
      <c r="B212" t="n">
        <v>1.25</v>
      </c>
      <c r="C212" t="n">
        <v>1.6</v>
      </c>
      <c r="D212" t="n">
        <v>1.6</v>
      </c>
      <c r="E212" t="n">
        <v>-2.75</v>
      </c>
      <c r="F212" t="n">
        <v>-0.25</v>
      </c>
      <c r="G212" t="n">
        <v>10</v>
      </c>
      <c r="H212" t="n">
        <v>12</v>
      </c>
      <c r="I212" t="s">
        <v>298</v>
      </c>
      <c r="J212" t="n">
        <v>0</v>
      </c>
      <c r="K212" t="n">
        <v>0</v>
      </c>
      <c r="L212" t="n">
        <v>0</v>
      </c>
      <c r="M212" t="n">
        <v>12</v>
      </c>
      <c r="N212" t="n">
        <v>-0.25</v>
      </c>
      <c r="O212" t="n">
        <v>-0.25</v>
      </c>
      <c r="P212" t="n">
        <v>66</v>
      </c>
      <c r="Q212" t="n">
        <v>12</v>
      </c>
      <c r="R212" t="s">
        <v>299</v>
      </c>
      <c r="S212" t="s">
        <v>299</v>
      </c>
      <c r="T212" t="n">
        <v>-0.375</v>
      </c>
    </row>
    <row r="213">
      <c r="A213" t="s">
        <v>30</v>
      </c>
      <c r="B213" t="n">
        <v>1.25</v>
      </c>
      <c r="C213" t="n">
        <v>1.6</v>
      </c>
      <c r="D213" t="n">
        <v>1.6</v>
      </c>
      <c r="E213" t="n">
        <v>-4.5</v>
      </c>
      <c r="F213" t="n">
        <v>-0.25</v>
      </c>
      <c r="G213" t="n">
        <v>174</v>
      </c>
      <c r="H213" t="n">
        <v>12</v>
      </c>
      <c r="I213" t="s">
        <v>298</v>
      </c>
      <c r="J213" t="n">
        <v>0</v>
      </c>
      <c r="K213" t="n">
        <v>0</v>
      </c>
      <c r="L213" t="n">
        <v>0</v>
      </c>
      <c r="M213" t="n">
        <v>12</v>
      </c>
      <c r="N213" t="n">
        <v>-0.25</v>
      </c>
      <c r="O213" t="n">
        <v>0</v>
      </c>
      <c r="P213" t="n">
        <v>31</v>
      </c>
      <c r="Q213" t="n">
        <v>12</v>
      </c>
      <c r="R213" t="s">
        <v>299</v>
      </c>
      <c r="S213" t="s">
        <v>299</v>
      </c>
      <c r="T213" t="n">
        <v>-0.25</v>
      </c>
    </row>
    <row r="214">
      <c r="A214" t="s">
        <v>30</v>
      </c>
      <c r="B214" t="n">
        <v>1</v>
      </c>
      <c r="C214" t="n">
        <v>0.8</v>
      </c>
      <c r="D214" t="n">
        <v>1</v>
      </c>
      <c r="E214" t="n">
        <v>-1</v>
      </c>
      <c r="F214" t="n">
        <v>-0.5</v>
      </c>
      <c r="G214" t="n">
        <v>162</v>
      </c>
      <c r="H214" t="n">
        <v>12</v>
      </c>
      <c r="I214" t="s">
        <v>297</v>
      </c>
      <c r="J214" t="n">
        <v>0</v>
      </c>
      <c r="K214" t="n">
        <v>0</v>
      </c>
      <c r="L214" t="n">
        <v>0</v>
      </c>
      <c r="M214" t="n">
        <v>12</v>
      </c>
      <c r="N214" t="n">
        <v>0.75</v>
      </c>
      <c r="O214" t="n">
        <v>-0.25</v>
      </c>
      <c r="P214" t="n">
        <v>96</v>
      </c>
      <c r="Q214" t="n">
        <v>12</v>
      </c>
      <c r="R214" t="s">
        <v>297</v>
      </c>
      <c r="S214" t="s">
        <v>296</v>
      </c>
      <c r="T214" t="n">
        <v>0.625</v>
      </c>
    </row>
    <row r="215">
      <c r="A215" t="s">
        <v>30</v>
      </c>
      <c r="B215" t="n">
        <v>1</v>
      </c>
      <c r="C215"/>
      <c r="D215" t="n">
        <v>1</v>
      </c>
      <c r="E215" t="n">
        <v>-4.5</v>
      </c>
      <c r="F215" t="n">
        <v>-0.25</v>
      </c>
      <c r="G215" t="n">
        <v>48</v>
      </c>
      <c r="H215" t="n">
        <v>12</v>
      </c>
      <c r="I215" t="s">
        <v>297</v>
      </c>
      <c r="J215" t="n">
        <v>0</v>
      </c>
      <c r="K215" t="n">
        <v>0</v>
      </c>
      <c r="L215" t="n">
        <v>0</v>
      </c>
      <c r="M215" t="n">
        <v>12</v>
      </c>
      <c r="N215" t="n">
        <v>0</v>
      </c>
      <c r="O215" t="n">
        <v>0</v>
      </c>
      <c r="P215" t="n">
        <v>9</v>
      </c>
      <c r="Q215" t="n">
        <v>12</v>
      </c>
      <c r="R215" t="s">
        <v>297</v>
      </c>
      <c r="S215" t="s">
        <v>109</v>
      </c>
      <c r="T215" t="n">
        <v>0</v>
      </c>
    </row>
    <row r="216">
      <c r="A216" t="s">
        <v>30</v>
      </c>
      <c r="B216" t="n">
        <v>1</v>
      </c>
      <c r="C216" t="n">
        <v>1</v>
      </c>
      <c r="D216" t="n">
        <v>1</v>
      </c>
      <c r="E216" t="n">
        <v>-6.5</v>
      </c>
      <c r="F216" t="n">
        <v>-0.5</v>
      </c>
      <c r="G216" t="n">
        <v>141</v>
      </c>
      <c r="H216" t="n">
        <v>12</v>
      </c>
      <c r="I216" t="s">
        <v>297</v>
      </c>
      <c r="J216" t="n">
        <v>0</v>
      </c>
      <c r="K216" t="n">
        <v>0</v>
      </c>
      <c r="L216" t="n">
        <v>0</v>
      </c>
      <c r="M216" t="n">
        <v>12</v>
      </c>
      <c r="N216" t="n">
        <v>0</v>
      </c>
      <c r="O216" t="n">
        <v>-0.25</v>
      </c>
      <c r="P216" t="n">
        <v>145</v>
      </c>
      <c r="Q216" t="n">
        <v>12</v>
      </c>
      <c r="R216" t="s">
        <v>297</v>
      </c>
      <c r="S216" t="s">
        <v>297</v>
      </c>
      <c r="T216" t="n">
        <v>-0.125</v>
      </c>
    </row>
    <row r="217">
      <c r="A217" t="s">
        <v>30</v>
      </c>
      <c r="B217" t="n">
        <v>1.25</v>
      </c>
      <c r="C217" t="n">
        <v>1.6</v>
      </c>
      <c r="D217" t="n">
        <v>1.6</v>
      </c>
      <c r="E217" t="n">
        <v>-5.75</v>
      </c>
      <c r="F217" t="n">
        <v>-0.5</v>
      </c>
      <c r="G217" t="n">
        <v>3</v>
      </c>
      <c r="H217" t="n">
        <v>12</v>
      </c>
      <c r="I217" t="s">
        <v>298</v>
      </c>
      <c r="J217" t="n">
        <v>0</v>
      </c>
      <c r="K217" t="n">
        <v>0</v>
      </c>
      <c r="L217" t="n">
        <v>0</v>
      </c>
      <c r="M217" t="n">
        <v>12</v>
      </c>
      <c r="N217" t="n">
        <v>0.25</v>
      </c>
      <c r="O217" t="n">
        <v>-0.25</v>
      </c>
      <c r="P217" t="n">
        <v>70</v>
      </c>
      <c r="Q217" t="n">
        <v>12</v>
      </c>
      <c r="R217" t="s">
        <v>299</v>
      </c>
      <c r="S217" t="s">
        <v>299</v>
      </c>
      <c r="T217" t="n">
        <v>0.125</v>
      </c>
    </row>
    <row r="218">
      <c r="A218" t="s">
        <v>30</v>
      </c>
      <c r="B218" t="n">
        <v>1.6</v>
      </c>
      <c r="C218" t="n">
        <v>1.6</v>
      </c>
      <c r="D218" t="n">
        <v>1.6</v>
      </c>
      <c r="E218" t="n">
        <v>-5</v>
      </c>
      <c r="F218" t="n">
        <v>-0.5</v>
      </c>
      <c r="G218" t="n">
        <v>177</v>
      </c>
      <c r="H218" t="n">
        <v>12</v>
      </c>
      <c r="I218" t="s">
        <v>299</v>
      </c>
      <c r="J218" t="n">
        <v>0</v>
      </c>
      <c r="K218" t="n">
        <v>0</v>
      </c>
      <c r="L218" t="n">
        <v>0</v>
      </c>
      <c r="M218" t="n">
        <v>12</v>
      </c>
      <c r="N218" t="n">
        <v>0.25</v>
      </c>
      <c r="O218" t="n">
        <v>-0.25</v>
      </c>
      <c r="P218" t="n">
        <v>110</v>
      </c>
      <c r="Q218" t="n">
        <v>12</v>
      </c>
      <c r="R218" t="s">
        <v>299</v>
      </c>
      <c r="S218" t="s">
        <v>299</v>
      </c>
      <c r="T218" t="n">
        <v>0.125</v>
      </c>
    </row>
    <row r="219">
      <c r="A219" t="s">
        <v>30</v>
      </c>
      <c r="B219" t="n">
        <v>1</v>
      </c>
      <c r="C219" t="n">
        <v>1</v>
      </c>
      <c r="D219" t="n">
        <v>1</v>
      </c>
      <c r="E219" t="n">
        <v>-3.5</v>
      </c>
      <c r="F219" t="n">
        <v>-0.5</v>
      </c>
      <c r="G219" t="n">
        <v>12</v>
      </c>
      <c r="H219" t="n">
        <v>12</v>
      </c>
      <c r="I219" t="s">
        <v>297</v>
      </c>
      <c r="J219" t="n">
        <v>0</v>
      </c>
      <c r="K219" t="n">
        <v>0</v>
      </c>
      <c r="L219" t="n">
        <v>0</v>
      </c>
      <c r="M219" t="n">
        <v>12</v>
      </c>
      <c r="N219" t="n">
        <v>0</v>
      </c>
      <c r="O219" t="n">
        <v>-0.25</v>
      </c>
      <c r="P219" t="n">
        <v>157</v>
      </c>
      <c r="Q219" t="n">
        <v>12</v>
      </c>
      <c r="R219" t="s">
        <v>297</v>
      </c>
      <c r="S219" t="s">
        <v>297</v>
      </c>
      <c r="T219" t="n">
        <v>-0.125</v>
      </c>
    </row>
    <row r="220">
      <c r="A220" t="s">
        <v>30</v>
      </c>
      <c r="B220" t="n">
        <v>1</v>
      </c>
      <c r="C220" t="n">
        <v>1</v>
      </c>
      <c r="D220" t="n">
        <v>1</v>
      </c>
      <c r="E220" t="n">
        <v>-3.25</v>
      </c>
      <c r="F220" t="n">
        <v>-0.75</v>
      </c>
      <c r="G220" t="n">
        <v>171</v>
      </c>
      <c r="H220" t="n">
        <v>12</v>
      </c>
      <c r="I220" t="s">
        <v>297</v>
      </c>
      <c r="J220" t="n">
        <v>0</v>
      </c>
      <c r="K220" t="n">
        <v>0</v>
      </c>
      <c r="L220" t="n">
        <v>0</v>
      </c>
      <c r="M220" t="n">
        <v>12</v>
      </c>
      <c r="N220" t="n">
        <v>0.25</v>
      </c>
      <c r="O220" t="n">
        <v>-0.25</v>
      </c>
      <c r="P220" t="n">
        <v>42</v>
      </c>
      <c r="Q220" t="n">
        <v>12</v>
      </c>
      <c r="R220" t="s">
        <v>297</v>
      </c>
      <c r="S220" t="s">
        <v>297</v>
      </c>
      <c r="T220" t="n">
        <v>0.125</v>
      </c>
    </row>
    <row r="221">
      <c r="A221" t="s">
        <v>30</v>
      </c>
      <c r="B221" t="n">
        <v>1.25</v>
      </c>
      <c r="C221" t="n">
        <v>1.25</v>
      </c>
      <c r="D221" t="n">
        <v>1.25</v>
      </c>
      <c r="E221" t="n">
        <v>-4.25</v>
      </c>
      <c r="F221" t="n">
        <v>-0.75</v>
      </c>
      <c r="G221" t="n">
        <v>131</v>
      </c>
      <c r="H221" t="n">
        <v>12</v>
      </c>
      <c r="I221" t="s">
        <v>298</v>
      </c>
      <c r="J221" t="n">
        <v>0</v>
      </c>
      <c r="K221" t="n">
        <v>0</v>
      </c>
      <c r="L221" t="n">
        <v>0</v>
      </c>
      <c r="M221" t="n">
        <v>12</v>
      </c>
      <c r="N221" t="n">
        <v>0.25</v>
      </c>
      <c r="O221" t="n">
        <v>-0.25</v>
      </c>
      <c r="P221" t="n">
        <v>71</v>
      </c>
      <c r="Q221" t="n">
        <v>12</v>
      </c>
      <c r="R221" t="s">
        <v>298</v>
      </c>
      <c r="S221" t="s">
        <v>298</v>
      </c>
      <c r="T221" t="n">
        <v>0.125</v>
      </c>
    </row>
    <row r="222">
      <c r="A222" t="s">
        <v>30</v>
      </c>
      <c r="B222" t="n">
        <v>1.25</v>
      </c>
      <c r="C222" t="n">
        <v>1.25</v>
      </c>
      <c r="D222" t="n">
        <v>1.25</v>
      </c>
      <c r="E222" t="n">
        <v>-3.5</v>
      </c>
      <c r="F222" t="n">
        <v>-0.25</v>
      </c>
      <c r="G222" t="n">
        <v>53</v>
      </c>
      <c r="H222" t="n">
        <v>12</v>
      </c>
      <c r="I222" t="s">
        <v>298</v>
      </c>
      <c r="J222" t="n">
        <v>0</v>
      </c>
      <c r="K222" t="n">
        <v>0</v>
      </c>
      <c r="L222" t="n">
        <v>0</v>
      </c>
      <c r="M222" t="n">
        <v>12</v>
      </c>
      <c r="N222" t="n">
        <v>0.25</v>
      </c>
      <c r="O222" t="n">
        <v>-0.25</v>
      </c>
      <c r="P222" t="n">
        <v>136</v>
      </c>
      <c r="Q222" t="n">
        <v>12</v>
      </c>
      <c r="R222" t="s">
        <v>298</v>
      </c>
      <c r="S222" t="s">
        <v>298</v>
      </c>
      <c r="T222" t="n">
        <v>0.125</v>
      </c>
    </row>
    <row r="223">
      <c r="A223" t="s">
        <v>30</v>
      </c>
      <c r="B223" t="n">
        <v>1</v>
      </c>
      <c r="C223" t="n">
        <v>1.25</v>
      </c>
      <c r="D223" t="n">
        <v>1.25</v>
      </c>
      <c r="E223" t="n">
        <v>-2.75</v>
      </c>
      <c r="F223" t="n">
        <v>-0.75</v>
      </c>
      <c r="G223" t="n">
        <v>173</v>
      </c>
      <c r="H223" t="n">
        <v>12</v>
      </c>
      <c r="I223" t="s">
        <v>297</v>
      </c>
      <c r="J223" t="n">
        <v>0</v>
      </c>
      <c r="K223" t="n">
        <v>0</v>
      </c>
      <c r="L223" t="n">
        <v>0</v>
      </c>
      <c r="M223" t="n">
        <v>12</v>
      </c>
      <c r="N223" t="n">
        <v>-0.5</v>
      </c>
      <c r="O223" t="n">
        <v>0</v>
      </c>
      <c r="P223" t="n">
        <v>80</v>
      </c>
      <c r="Q223" t="n">
        <v>12</v>
      </c>
      <c r="R223" t="s">
        <v>298</v>
      </c>
      <c r="S223" t="s">
        <v>298</v>
      </c>
      <c r="T223" t="n">
        <v>-0.5</v>
      </c>
    </row>
    <row r="224">
      <c r="A224" t="s">
        <v>30</v>
      </c>
      <c r="B224" t="n">
        <v>1</v>
      </c>
      <c r="C224" t="n">
        <v>1.25</v>
      </c>
      <c r="D224" t="n">
        <v>1.25</v>
      </c>
      <c r="E224" t="n">
        <v>-3.25</v>
      </c>
      <c r="F224" t="n">
        <v>-0.5</v>
      </c>
      <c r="G224" t="n">
        <v>14</v>
      </c>
      <c r="H224" t="n">
        <v>12</v>
      </c>
      <c r="I224" t="s">
        <v>297</v>
      </c>
      <c r="J224" t="n">
        <v>0</v>
      </c>
      <c r="K224" t="n">
        <v>0</v>
      </c>
      <c r="L224" t="n">
        <v>0</v>
      </c>
      <c r="M224" t="n">
        <v>12</v>
      </c>
      <c r="N224" t="n">
        <v>0</v>
      </c>
      <c r="O224" t="n">
        <v>-0.25</v>
      </c>
      <c r="P224" t="n">
        <v>165</v>
      </c>
      <c r="Q224" t="n">
        <v>12</v>
      </c>
      <c r="R224" t="s">
        <v>298</v>
      </c>
      <c r="S224" t="s">
        <v>298</v>
      </c>
      <c r="T224" t="n">
        <v>-0.125</v>
      </c>
    </row>
    <row r="225">
      <c r="A225" t="s">
        <v>30</v>
      </c>
      <c r="B225" t="n">
        <v>1.25</v>
      </c>
      <c r="C225" t="n">
        <v>1.25</v>
      </c>
      <c r="D225" t="n">
        <v>1.25</v>
      </c>
      <c r="E225" t="n">
        <v>-4</v>
      </c>
      <c r="F225" t="n">
        <v>-0.5</v>
      </c>
      <c r="G225" t="n">
        <v>152</v>
      </c>
      <c r="H225" t="n">
        <v>12</v>
      </c>
      <c r="I225" t="s">
        <v>298</v>
      </c>
      <c r="J225" t="n">
        <v>0</v>
      </c>
      <c r="K225" t="n">
        <v>0</v>
      </c>
      <c r="L225" t="n">
        <v>0</v>
      </c>
      <c r="M225" t="n">
        <v>12</v>
      </c>
      <c r="N225" t="n">
        <v>-0.25</v>
      </c>
      <c r="O225" t="n">
        <v>-0.25</v>
      </c>
      <c r="P225" t="n">
        <v>1</v>
      </c>
      <c r="Q225" t="n">
        <v>12</v>
      </c>
      <c r="R225" t="s">
        <v>298</v>
      </c>
      <c r="S225" t="s">
        <v>298</v>
      </c>
      <c r="T225" t="n">
        <v>-0.375</v>
      </c>
    </row>
    <row r="226">
      <c r="A226" t="s">
        <v>30</v>
      </c>
      <c r="B226" t="n">
        <v>1</v>
      </c>
      <c r="C226" t="n">
        <v>1.25</v>
      </c>
      <c r="D226" t="n">
        <v>1.25</v>
      </c>
      <c r="E226" t="n">
        <v>-6.5</v>
      </c>
      <c r="F226" t="n">
        <v>-0.75</v>
      </c>
      <c r="G226" t="n">
        <v>93</v>
      </c>
      <c r="H226" t="n">
        <v>12</v>
      </c>
      <c r="I226" t="s">
        <v>297</v>
      </c>
      <c r="J226" t="n">
        <v>0</v>
      </c>
      <c r="K226" t="n">
        <v>0</v>
      </c>
      <c r="L226" t="n">
        <v>0</v>
      </c>
      <c r="M226" t="n">
        <v>12</v>
      </c>
      <c r="N226" t="n">
        <v>0</v>
      </c>
      <c r="O226" t="n">
        <v>-0.5</v>
      </c>
      <c r="P226" t="n">
        <v>64</v>
      </c>
      <c r="Q226" t="n">
        <v>12</v>
      </c>
      <c r="R226" t="s">
        <v>298</v>
      </c>
      <c r="S226" t="s">
        <v>298</v>
      </c>
      <c r="T226" t="n">
        <v>-0.25</v>
      </c>
    </row>
    <row r="227">
      <c r="A227" t="s">
        <v>30</v>
      </c>
      <c r="B227" t="n">
        <v>1</v>
      </c>
      <c r="C227" t="n">
        <v>1.25</v>
      </c>
      <c r="D227" t="n">
        <v>1.25</v>
      </c>
      <c r="E227" t="n">
        <v>-4.75</v>
      </c>
      <c r="F227" t="n">
        <v>-1.5</v>
      </c>
      <c r="G227" t="n">
        <v>166</v>
      </c>
      <c r="H227" t="n">
        <v>12</v>
      </c>
      <c r="I227" t="s">
        <v>297</v>
      </c>
      <c r="J227" t="n">
        <v>0</v>
      </c>
      <c r="K227" t="n">
        <v>0</v>
      </c>
      <c r="L227" t="n">
        <v>0</v>
      </c>
      <c r="M227" t="n">
        <v>12</v>
      </c>
      <c r="N227" t="n">
        <v>0.5</v>
      </c>
      <c r="O227" t="n">
        <v>-0.25</v>
      </c>
      <c r="P227" t="n">
        <v>5</v>
      </c>
      <c r="Q227" t="n">
        <v>12</v>
      </c>
      <c r="R227" t="s">
        <v>298</v>
      </c>
      <c r="S227" t="s">
        <v>298</v>
      </c>
      <c r="T227" t="n">
        <v>0.375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5" t="s">
        <v>279</v>
      </c>
      <c r="B1" s="5" t="s">
        <v>280</v>
      </c>
      <c r="C1" s="5" t="s">
        <v>281</v>
      </c>
      <c r="D1" s="5" t="s">
        <v>282</v>
      </c>
      <c r="E1" s="6" t="s">
        <v>283</v>
      </c>
      <c r="F1" s="6" t="s">
        <v>284</v>
      </c>
      <c r="G1" s="6" t="s">
        <v>285</v>
      </c>
      <c r="H1" s="6" t="s">
        <v>286</v>
      </c>
      <c r="I1" s="6" t="s">
        <v>82</v>
      </c>
      <c r="J1" s="7" t="s">
        <v>287</v>
      </c>
      <c r="K1" s="7" t="s">
        <v>288</v>
      </c>
      <c r="L1" s="7" t="s">
        <v>289</v>
      </c>
      <c r="M1" s="7" t="s">
        <v>290</v>
      </c>
      <c r="N1" s="8" t="s">
        <v>291</v>
      </c>
      <c r="O1" s="8" t="s">
        <v>292</v>
      </c>
      <c r="P1" s="8" t="s">
        <v>293</v>
      </c>
      <c r="Q1" s="8" t="s">
        <v>294</v>
      </c>
      <c r="R1" s="8" t="s">
        <v>203</v>
      </c>
      <c r="S1" s="8" t="s">
        <v>194</v>
      </c>
      <c r="T1" s="9" t="s">
        <v>295</v>
      </c>
    </row>
    <row r="2">
      <c r="A2" t="s">
        <v>31</v>
      </c>
      <c r="B2" t="n">
        <v>1</v>
      </c>
      <c r="C2"/>
      <c r="D2" t="n">
        <v>1</v>
      </c>
      <c r="E2" t="n">
        <v>-4</v>
      </c>
      <c r="F2" t="n">
        <v>-0.5</v>
      </c>
      <c r="G2" t="n">
        <v>5</v>
      </c>
      <c r="H2" t="n">
        <v>12</v>
      </c>
      <c r="I2" t="s">
        <v>297</v>
      </c>
      <c r="J2" t="n">
        <v>0</v>
      </c>
      <c r="K2" t="n">
        <v>0</v>
      </c>
      <c r="L2" t="n">
        <v>0</v>
      </c>
      <c r="M2" t="n">
        <v>12</v>
      </c>
      <c r="N2" t="n">
        <v>0</v>
      </c>
      <c r="O2" t="n">
        <v>-0.25</v>
      </c>
      <c r="P2" t="n">
        <v>175</v>
      </c>
      <c r="Q2" t="n">
        <v>12</v>
      </c>
      <c r="R2" t="s">
        <v>297</v>
      </c>
      <c r="S2" t="s">
        <v>109</v>
      </c>
      <c r="T2" t="n">
        <v>-0.125</v>
      </c>
    </row>
    <row r="3">
      <c r="A3" t="s">
        <v>31</v>
      </c>
      <c r="B3" t="n">
        <v>1</v>
      </c>
      <c r="C3" t="n">
        <v>1</v>
      </c>
      <c r="D3" t="n">
        <v>1</v>
      </c>
      <c r="E3" t="n">
        <v>-4.5</v>
      </c>
      <c r="F3" t="n">
        <v>-0.25</v>
      </c>
      <c r="G3" t="n">
        <v>172</v>
      </c>
      <c r="H3" t="n">
        <v>12</v>
      </c>
      <c r="I3" t="s">
        <v>297</v>
      </c>
      <c r="J3" t="n">
        <v>0</v>
      </c>
      <c r="K3" t="n">
        <v>0</v>
      </c>
      <c r="L3" t="n">
        <v>0</v>
      </c>
      <c r="M3" t="n">
        <v>12</v>
      </c>
      <c r="N3" t="n">
        <v>0</v>
      </c>
      <c r="O3" t="n">
        <v>-0.25</v>
      </c>
      <c r="P3" t="n">
        <v>17</v>
      </c>
      <c r="Q3" t="n">
        <v>12</v>
      </c>
      <c r="R3" t="s">
        <v>297</v>
      </c>
      <c r="S3" t="s">
        <v>297</v>
      </c>
      <c r="T3" t="n">
        <v>-0.125</v>
      </c>
    </row>
    <row r="4">
      <c r="A4" t="s">
        <v>31</v>
      </c>
      <c r="B4" t="n">
        <v>1</v>
      </c>
      <c r="C4" t="n">
        <v>0.8</v>
      </c>
      <c r="D4" t="n">
        <v>1</v>
      </c>
      <c r="E4" t="n">
        <v>-6</v>
      </c>
      <c r="F4" t="n">
        <v>-0.25</v>
      </c>
      <c r="G4" t="n">
        <v>9</v>
      </c>
      <c r="H4" t="n">
        <v>12</v>
      </c>
      <c r="I4" t="s">
        <v>297</v>
      </c>
      <c r="J4" t="n">
        <v>0</v>
      </c>
      <c r="K4" t="n">
        <v>0</v>
      </c>
      <c r="L4" t="n">
        <v>0</v>
      </c>
      <c r="M4" t="n">
        <v>12</v>
      </c>
      <c r="N4" t="n">
        <v>-0.75</v>
      </c>
      <c r="O4" t="n">
        <v>0</v>
      </c>
      <c r="P4" t="n">
        <v>10</v>
      </c>
      <c r="Q4" t="n">
        <v>12</v>
      </c>
      <c r="R4" t="s">
        <v>297</v>
      </c>
      <c r="S4" t="s">
        <v>296</v>
      </c>
      <c r="T4" t="n">
        <v>-0.75</v>
      </c>
    </row>
    <row r="5">
      <c r="A5" t="s">
        <v>31</v>
      </c>
      <c r="B5" t="n">
        <v>1</v>
      </c>
      <c r="C5" t="n">
        <v>1</v>
      </c>
      <c r="D5" t="n">
        <v>1</v>
      </c>
      <c r="E5" t="n">
        <v>-3</v>
      </c>
      <c r="F5" t="n">
        <v>-0.75</v>
      </c>
      <c r="G5" t="n">
        <v>177</v>
      </c>
      <c r="H5" t="n">
        <v>12</v>
      </c>
      <c r="I5" t="s">
        <v>297</v>
      </c>
      <c r="J5" t="n">
        <v>0</v>
      </c>
      <c r="K5" t="n">
        <v>0</v>
      </c>
      <c r="L5" t="n">
        <v>0</v>
      </c>
      <c r="M5" t="n">
        <v>12</v>
      </c>
      <c r="N5" t="n">
        <v>0</v>
      </c>
      <c r="O5" t="n">
        <v>-0.25</v>
      </c>
      <c r="P5" t="n">
        <v>136</v>
      </c>
      <c r="Q5" t="n">
        <v>12</v>
      </c>
      <c r="R5" t="s">
        <v>297</v>
      </c>
      <c r="S5" t="s">
        <v>297</v>
      </c>
      <c r="T5" t="n">
        <v>-0.125</v>
      </c>
    </row>
    <row r="6">
      <c r="A6" t="s">
        <v>31</v>
      </c>
      <c r="B6" t="n">
        <v>0.8</v>
      </c>
      <c r="C6" t="n">
        <v>0.8</v>
      </c>
      <c r="D6" t="n">
        <v>0.8</v>
      </c>
      <c r="E6" t="n">
        <v>-3.75</v>
      </c>
      <c r="F6" t="n">
        <v>-0.25</v>
      </c>
      <c r="G6" t="n">
        <v>14</v>
      </c>
      <c r="H6" t="n">
        <v>12</v>
      </c>
      <c r="I6" t="s">
        <v>296</v>
      </c>
      <c r="J6" t="n">
        <v>0</v>
      </c>
      <c r="K6" t="n">
        <v>0</v>
      </c>
      <c r="L6" t="n">
        <v>0</v>
      </c>
      <c r="M6" t="n">
        <v>12</v>
      </c>
      <c r="N6" t="n">
        <v>0</v>
      </c>
      <c r="O6" t="n">
        <v>-0.25</v>
      </c>
      <c r="P6" t="n">
        <v>48</v>
      </c>
      <c r="Q6" t="n">
        <v>12</v>
      </c>
      <c r="R6" t="s">
        <v>296</v>
      </c>
      <c r="S6" t="s">
        <v>296</v>
      </c>
      <c r="T6" t="n">
        <v>-0.125</v>
      </c>
    </row>
    <row r="7">
      <c r="A7" t="s">
        <v>31</v>
      </c>
      <c r="B7" t="n">
        <v>1.25</v>
      </c>
      <c r="C7" t="n">
        <v>1</v>
      </c>
      <c r="D7" t="n">
        <v>1.25</v>
      </c>
      <c r="E7" t="n">
        <v>-5</v>
      </c>
      <c r="F7" t="n">
        <v>-0.5</v>
      </c>
      <c r="G7" t="n">
        <v>124</v>
      </c>
      <c r="H7" t="n">
        <v>12</v>
      </c>
      <c r="I7" t="s">
        <v>298</v>
      </c>
      <c r="J7" t="n">
        <v>0</v>
      </c>
      <c r="K7" t="n">
        <v>0</v>
      </c>
      <c r="L7" t="n">
        <v>0</v>
      </c>
      <c r="M7" t="n">
        <v>12</v>
      </c>
      <c r="N7" t="n">
        <v>-0.25</v>
      </c>
      <c r="O7" t="n">
        <v>-0.5</v>
      </c>
      <c r="P7" t="n">
        <v>1</v>
      </c>
      <c r="Q7" t="n">
        <v>12</v>
      </c>
      <c r="R7" t="s">
        <v>298</v>
      </c>
      <c r="S7" t="s">
        <v>297</v>
      </c>
      <c r="T7" t="n">
        <v>-0.5</v>
      </c>
    </row>
    <row r="8">
      <c r="A8" t="s">
        <v>31</v>
      </c>
      <c r="B8" t="n">
        <v>1.25</v>
      </c>
      <c r="C8" t="n">
        <v>1.25</v>
      </c>
      <c r="D8" t="n">
        <v>1.25</v>
      </c>
      <c r="E8" t="n">
        <v>-5</v>
      </c>
      <c r="F8" t="n">
        <v>-0.25</v>
      </c>
      <c r="G8" t="n">
        <v>59</v>
      </c>
      <c r="H8" t="n">
        <v>12</v>
      </c>
      <c r="I8" t="s">
        <v>298</v>
      </c>
      <c r="J8" t="n">
        <v>0</v>
      </c>
      <c r="K8" t="n">
        <v>0</v>
      </c>
      <c r="L8" t="n">
        <v>0</v>
      </c>
      <c r="M8" t="n">
        <v>12</v>
      </c>
      <c r="N8" t="n">
        <v>0.25</v>
      </c>
      <c r="O8" t="n">
        <v>-0.25</v>
      </c>
      <c r="P8" t="n">
        <v>166</v>
      </c>
      <c r="Q8" t="n">
        <v>12</v>
      </c>
      <c r="R8" t="s">
        <v>298</v>
      </c>
      <c r="S8" t="s">
        <v>298</v>
      </c>
      <c r="T8" t="n">
        <v>0.125</v>
      </c>
    </row>
    <row r="9">
      <c r="A9" t="s">
        <v>31</v>
      </c>
      <c r="B9" t="n">
        <v>1</v>
      </c>
      <c r="C9" t="n">
        <v>1.25</v>
      </c>
      <c r="D9" t="n">
        <v>1.25</v>
      </c>
      <c r="E9" t="n">
        <v>-6.75</v>
      </c>
      <c r="F9" t="n">
        <v>-0.75</v>
      </c>
      <c r="G9" t="n">
        <v>89</v>
      </c>
      <c r="H9" t="n">
        <v>12</v>
      </c>
      <c r="I9" t="s">
        <v>297</v>
      </c>
      <c r="J9" t="n">
        <v>0</v>
      </c>
      <c r="K9" t="n">
        <v>0</v>
      </c>
      <c r="L9" t="n">
        <v>0</v>
      </c>
      <c r="M9" t="n">
        <v>12</v>
      </c>
      <c r="N9" t="n">
        <v>0.5</v>
      </c>
      <c r="O9" t="n">
        <v>-0.5</v>
      </c>
      <c r="P9" t="n">
        <v>93</v>
      </c>
      <c r="Q9" t="n">
        <v>12</v>
      </c>
      <c r="R9" t="s">
        <v>298</v>
      </c>
      <c r="S9" t="s">
        <v>298</v>
      </c>
      <c r="T9" t="n">
        <v>0.25</v>
      </c>
    </row>
    <row r="10">
      <c r="A10" t="s">
        <v>31</v>
      </c>
      <c r="B10" t="n">
        <v>1</v>
      </c>
      <c r="C10" t="n">
        <v>1</v>
      </c>
      <c r="D10" t="n">
        <v>1</v>
      </c>
      <c r="E10" t="n">
        <v>-5.25</v>
      </c>
      <c r="F10" t="n">
        <v>-1.5</v>
      </c>
      <c r="G10" t="n">
        <v>98</v>
      </c>
      <c r="H10" t="n">
        <v>12</v>
      </c>
      <c r="I10" t="s">
        <v>297</v>
      </c>
      <c r="J10" t="n">
        <v>0</v>
      </c>
      <c r="K10" t="n">
        <v>0</v>
      </c>
      <c r="L10" t="n">
        <v>0</v>
      </c>
      <c r="M10" t="n">
        <v>12</v>
      </c>
      <c r="N10" t="n">
        <v>0.5</v>
      </c>
      <c r="O10" t="n">
        <v>-0.25</v>
      </c>
      <c r="P10" t="n">
        <v>97</v>
      </c>
      <c r="Q10" t="n">
        <v>12</v>
      </c>
      <c r="R10" t="s">
        <v>297</v>
      </c>
      <c r="S10" t="s">
        <v>297</v>
      </c>
      <c r="T10" t="n">
        <v>0.375</v>
      </c>
    </row>
    <row r="11">
      <c r="A11" t="s">
        <v>31</v>
      </c>
      <c r="B11" t="n">
        <v>1</v>
      </c>
      <c r="C11" t="n">
        <v>1.25</v>
      </c>
      <c r="D11" t="n">
        <v>1.25</v>
      </c>
      <c r="E11" t="n">
        <v>-4.25</v>
      </c>
      <c r="F11" t="n">
        <v>-1.5</v>
      </c>
      <c r="G11" t="n">
        <v>171</v>
      </c>
      <c r="H11" t="n">
        <v>12</v>
      </c>
      <c r="I11" t="s">
        <v>297</v>
      </c>
      <c r="J11" t="n">
        <v>0</v>
      </c>
      <c r="K11" t="n">
        <v>0</v>
      </c>
      <c r="L11" t="n">
        <v>0</v>
      </c>
      <c r="M11" t="n">
        <v>12</v>
      </c>
      <c r="N11" t="n">
        <v>0.25</v>
      </c>
      <c r="O11" t="n">
        <v>-0.5</v>
      </c>
      <c r="P11" t="n">
        <v>4</v>
      </c>
      <c r="Q11" t="n">
        <v>12</v>
      </c>
      <c r="R11" t="s">
        <v>298</v>
      </c>
      <c r="S11" t="s">
        <v>298</v>
      </c>
      <c r="T11" t="n">
        <v>0</v>
      </c>
    </row>
    <row r="12">
      <c r="A12" t="s">
        <v>31</v>
      </c>
      <c r="B12" t="n">
        <v>1</v>
      </c>
      <c r="C12" t="n">
        <v>1.6</v>
      </c>
      <c r="D12" t="n">
        <v>1.6</v>
      </c>
      <c r="E12" t="n">
        <v>-2.5</v>
      </c>
      <c r="F12" t="n">
        <v>-1.75</v>
      </c>
      <c r="G12" t="n">
        <v>4</v>
      </c>
      <c r="H12" t="n">
        <v>12</v>
      </c>
      <c r="I12" t="s">
        <v>297</v>
      </c>
      <c r="J12" t="n">
        <v>0</v>
      </c>
      <c r="K12" t="n">
        <v>0</v>
      </c>
      <c r="L12" t="n">
        <v>0</v>
      </c>
      <c r="M12" t="n">
        <v>12</v>
      </c>
      <c r="N12" t="n">
        <v>0</v>
      </c>
      <c r="O12" t="n">
        <v>-0.25</v>
      </c>
      <c r="P12" t="n">
        <v>87</v>
      </c>
      <c r="Q12" t="n">
        <v>12</v>
      </c>
      <c r="R12" t="s">
        <v>299</v>
      </c>
      <c r="S12" t="s">
        <v>299</v>
      </c>
      <c r="T12" t="n">
        <v>-0.125</v>
      </c>
    </row>
    <row r="13">
      <c r="A13" t="s">
        <v>31</v>
      </c>
      <c r="B13" t="n">
        <v>1</v>
      </c>
      <c r="C13" t="n">
        <v>1</v>
      </c>
      <c r="D13" t="n">
        <v>1.25</v>
      </c>
      <c r="E13" t="n">
        <v>-3.75</v>
      </c>
      <c r="F13" t="n">
        <v>-1</v>
      </c>
      <c r="G13" t="n">
        <v>2</v>
      </c>
      <c r="H13" t="n">
        <v>12</v>
      </c>
      <c r="I13" t="s">
        <v>297</v>
      </c>
      <c r="J13" t="n">
        <v>0</v>
      </c>
      <c r="K13" t="n">
        <v>0</v>
      </c>
      <c r="L13" t="n">
        <v>0</v>
      </c>
      <c r="M13" t="n">
        <v>12</v>
      </c>
      <c r="N13" t="n">
        <v>-0.25</v>
      </c>
      <c r="O13" t="n">
        <v>-0.25</v>
      </c>
      <c r="P13" t="n">
        <v>91</v>
      </c>
      <c r="Q13" t="n">
        <v>12</v>
      </c>
      <c r="R13" t="s">
        <v>298</v>
      </c>
      <c r="S13" t="s">
        <v>297</v>
      </c>
      <c r="T13" t="n">
        <v>-0.375</v>
      </c>
    </row>
    <row r="14">
      <c r="A14" t="s">
        <v>31</v>
      </c>
      <c r="B14" t="n">
        <v>1</v>
      </c>
      <c r="C14"/>
      <c r="D14"/>
      <c r="E14" t="n">
        <v>-7</v>
      </c>
      <c r="F14" t="n">
        <v>-1</v>
      </c>
      <c r="G14" t="n">
        <v>177</v>
      </c>
      <c r="H14" t="n">
        <v>12</v>
      </c>
      <c r="I14" t="s">
        <v>297</v>
      </c>
      <c r="J14" t="n">
        <v>0</v>
      </c>
      <c r="K14" t="n">
        <v>0</v>
      </c>
      <c r="L14" t="n">
        <v>0</v>
      </c>
      <c r="M14" t="n">
        <v>12</v>
      </c>
      <c r="N14"/>
      <c r="O14"/>
      <c r="P14"/>
      <c r="Q14" t="n">
        <v>12</v>
      </c>
      <c r="R14" t="s">
        <v>109</v>
      </c>
      <c r="S14" t="s">
        <v>109</v>
      </c>
      <c r="T14"/>
    </row>
    <row r="15">
      <c r="A15" t="s">
        <v>31</v>
      </c>
      <c r="B15" t="n">
        <v>1</v>
      </c>
      <c r="C15"/>
      <c r="D15"/>
      <c r="E15" t="n">
        <v>-6.75</v>
      </c>
      <c r="F15" t="n">
        <v>-2.25</v>
      </c>
      <c r="G15" t="n">
        <v>7</v>
      </c>
      <c r="H15" t="n">
        <v>12</v>
      </c>
      <c r="I15" t="s">
        <v>297</v>
      </c>
      <c r="J15" t="n">
        <v>0</v>
      </c>
      <c r="K15" t="n">
        <v>0</v>
      </c>
      <c r="L15" t="n">
        <v>0</v>
      </c>
      <c r="M15" t="n">
        <v>12</v>
      </c>
      <c r="N15"/>
      <c r="O15"/>
      <c r="P15"/>
      <c r="Q15" t="n">
        <v>12</v>
      </c>
      <c r="R15" t="s">
        <v>109</v>
      </c>
      <c r="S15" t="s">
        <v>109</v>
      </c>
      <c r="T15"/>
    </row>
    <row r="16">
      <c r="A16" t="s">
        <v>31</v>
      </c>
      <c r="B16" t="n">
        <v>1</v>
      </c>
      <c r="C16" t="n">
        <v>1.25</v>
      </c>
      <c r="D16" t="n">
        <v>1.6</v>
      </c>
      <c r="E16" t="n">
        <v>-8</v>
      </c>
      <c r="F16" t="n">
        <v>-0.75</v>
      </c>
      <c r="G16" t="n">
        <v>82</v>
      </c>
      <c r="H16" t="n">
        <v>12</v>
      </c>
      <c r="I16" t="s">
        <v>297</v>
      </c>
      <c r="J16" t="n">
        <v>0</v>
      </c>
      <c r="K16" t="n">
        <v>0</v>
      </c>
      <c r="L16" t="n">
        <v>0</v>
      </c>
      <c r="M16" t="n">
        <v>12</v>
      </c>
      <c r="N16" t="n">
        <v>-0.5</v>
      </c>
      <c r="O16" t="n">
        <v>-0.25</v>
      </c>
      <c r="P16" t="n">
        <v>121</v>
      </c>
      <c r="Q16" t="n">
        <v>12</v>
      </c>
      <c r="R16" t="s">
        <v>299</v>
      </c>
      <c r="S16" t="s">
        <v>298</v>
      </c>
      <c r="T16" t="n">
        <v>-0.625</v>
      </c>
    </row>
    <row r="17">
      <c r="A17" t="s">
        <v>31</v>
      </c>
      <c r="B17" t="n">
        <v>1.25</v>
      </c>
      <c r="C17" t="n">
        <v>1.25</v>
      </c>
      <c r="D17" t="n">
        <v>1.25</v>
      </c>
      <c r="E17" t="n">
        <v>-1.25</v>
      </c>
      <c r="F17" t="n">
        <v>-1.5</v>
      </c>
      <c r="G17" t="n">
        <v>38</v>
      </c>
      <c r="H17" t="n">
        <v>12</v>
      </c>
      <c r="I17" t="s">
        <v>298</v>
      </c>
      <c r="J17" t="n">
        <v>0</v>
      </c>
      <c r="K17" t="n">
        <v>0</v>
      </c>
      <c r="L17" t="n">
        <v>0</v>
      </c>
      <c r="M17" t="n">
        <v>12</v>
      </c>
      <c r="N17" t="n">
        <v>0</v>
      </c>
      <c r="O17" t="n">
        <v>-0.5</v>
      </c>
      <c r="P17" t="n">
        <v>70</v>
      </c>
      <c r="Q17" t="n">
        <v>12</v>
      </c>
      <c r="R17" t="s">
        <v>298</v>
      </c>
      <c r="S17" t="s">
        <v>298</v>
      </c>
      <c r="T17" t="n">
        <v>-0.25</v>
      </c>
    </row>
    <row r="18">
      <c r="A18" t="s">
        <v>31</v>
      </c>
      <c r="B18" t="n">
        <v>1</v>
      </c>
      <c r="C18" t="n">
        <v>1</v>
      </c>
      <c r="D18" t="n">
        <v>1</v>
      </c>
      <c r="E18" t="n">
        <v>-2</v>
      </c>
      <c r="F18" t="n">
        <v>-1.5</v>
      </c>
      <c r="G18" t="n">
        <v>132</v>
      </c>
      <c r="H18" t="n">
        <v>12</v>
      </c>
      <c r="I18" t="s">
        <v>297</v>
      </c>
      <c r="J18" t="n">
        <v>0</v>
      </c>
      <c r="K18" t="n">
        <v>0</v>
      </c>
      <c r="L18" t="n">
        <v>0</v>
      </c>
      <c r="M18" t="n">
        <v>12</v>
      </c>
      <c r="N18" t="n">
        <v>-0.25</v>
      </c>
      <c r="O18" t="n">
        <v>-0.25</v>
      </c>
      <c r="P18" t="n">
        <v>136</v>
      </c>
      <c r="Q18" t="n">
        <v>12</v>
      </c>
      <c r="R18" t="s">
        <v>297</v>
      </c>
      <c r="S18" t="s">
        <v>297</v>
      </c>
      <c r="T18" t="n">
        <v>-0.375</v>
      </c>
    </row>
    <row r="19">
      <c r="A19" t="s">
        <v>31</v>
      </c>
      <c r="B19" t="n">
        <v>1</v>
      </c>
      <c r="C19" t="n">
        <v>1</v>
      </c>
      <c r="D19" t="n">
        <v>1</v>
      </c>
      <c r="E19" t="n">
        <v>-1.5</v>
      </c>
      <c r="F19" t="n">
        <v>-0.5</v>
      </c>
      <c r="G19" t="n">
        <v>169</v>
      </c>
      <c r="H19" t="n">
        <v>12</v>
      </c>
      <c r="I19" t="s">
        <v>297</v>
      </c>
      <c r="J19" t="n">
        <v>0</v>
      </c>
      <c r="K19" t="n">
        <v>0</v>
      </c>
      <c r="L19" t="n">
        <v>0</v>
      </c>
      <c r="M19" t="n">
        <v>12</v>
      </c>
      <c r="N19" t="n">
        <v>0.25</v>
      </c>
      <c r="O19" t="n">
        <v>-0.25</v>
      </c>
      <c r="P19" t="n">
        <v>176</v>
      </c>
      <c r="Q19" t="n">
        <v>12</v>
      </c>
      <c r="R19" t="s">
        <v>297</v>
      </c>
      <c r="S19" t="s">
        <v>297</v>
      </c>
      <c r="T19" t="n">
        <v>0.125</v>
      </c>
    </row>
    <row r="20">
      <c r="A20" t="s">
        <v>31</v>
      </c>
      <c r="B20" t="n">
        <v>1</v>
      </c>
      <c r="C20" t="n">
        <v>1</v>
      </c>
      <c r="D20" t="n">
        <v>1</v>
      </c>
      <c r="E20" t="n">
        <v>-2.5</v>
      </c>
      <c r="F20" t="n">
        <v>-0.5</v>
      </c>
      <c r="G20" t="n">
        <v>9</v>
      </c>
      <c r="H20" t="n">
        <v>12</v>
      </c>
      <c r="I20" t="s">
        <v>297</v>
      </c>
      <c r="J20" t="n">
        <v>0</v>
      </c>
      <c r="K20" t="n">
        <v>0</v>
      </c>
      <c r="L20" t="n">
        <v>0</v>
      </c>
      <c r="M20" t="n">
        <v>12</v>
      </c>
      <c r="N20" t="n">
        <v>0.25</v>
      </c>
      <c r="O20" t="n">
        <v>-0.25</v>
      </c>
      <c r="P20" t="n">
        <v>150</v>
      </c>
      <c r="Q20" t="n">
        <v>12</v>
      </c>
      <c r="R20" t="s">
        <v>297</v>
      </c>
      <c r="S20" t="s">
        <v>297</v>
      </c>
      <c r="T20" t="n">
        <v>0.125</v>
      </c>
    </row>
    <row r="21">
      <c r="A21" t="s">
        <v>31</v>
      </c>
      <c r="B21" t="n">
        <v>1</v>
      </c>
      <c r="C21" t="n">
        <v>1</v>
      </c>
      <c r="D21" t="n">
        <v>1</v>
      </c>
      <c r="E21" t="n">
        <v>-5.25</v>
      </c>
      <c r="F21" t="n">
        <v>-1.5</v>
      </c>
      <c r="G21" t="n">
        <v>179</v>
      </c>
      <c r="H21" t="n">
        <v>12</v>
      </c>
      <c r="I21" t="s">
        <v>297</v>
      </c>
      <c r="J21" t="n">
        <v>0</v>
      </c>
      <c r="K21" t="n">
        <v>0</v>
      </c>
      <c r="L21" t="n">
        <v>0</v>
      </c>
      <c r="M21" t="n">
        <v>12</v>
      </c>
      <c r="N21" t="n">
        <v>-0.25</v>
      </c>
      <c r="O21" t="n">
        <v>-0.25</v>
      </c>
      <c r="P21" t="n">
        <v>48</v>
      </c>
      <c r="Q21" t="n">
        <v>12</v>
      </c>
      <c r="R21" t="s">
        <v>297</v>
      </c>
      <c r="S21" t="s">
        <v>297</v>
      </c>
      <c r="T21" t="n">
        <v>-0.375</v>
      </c>
    </row>
    <row r="22">
      <c r="A22" t="s">
        <v>31</v>
      </c>
      <c r="B22" t="n">
        <v>1</v>
      </c>
      <c r="C22" t="n">
        <v>1</v>
      </c>
      <c r="D22" t="n">
        <v>1</v>
      </c>
      <c r="E22" t="n">
        <v>-3.5</v>
      </c>
      <c r="F22" t="n">
        <v>-0.25</v>
      </c>
      <c r="G22" t="n">
        <v>167</v>
      </c>
      <c r="H22" t="n">
        <v>12</v>
      </c>
      <c r="I22" t="s">
        <v>297</v>
      </c>
      <c r="J22" t="n">
        <v>0</v>
      </c>
      <c r="K22" t="n">
        <v>0</v>
      </c>
      <c r="L22" t="n">
        <v>0</v>
      </c>
      <c r="M22" t="n">
        <v>12</v>
      </c>
      <c r="N22" t="n">
        <v>0</v>
      </c>
      <c r="O22" t="n">
        <v>-0.25</v>
      </c>
      <c r="P22" t="n">
        <v>49</v>
      </c>
      <c r="Q22" t="n">
        <v>12</v>
      </c>
      <c r="R22" t="s">
        <v>297</v>
      </c>
      <c r="S22" t="s">
        <v>297</v>
      </c>
      <c r="T22" t="n">
        <v>-0.125</v>
      </c>
    </row>
    <row r="23">
      <c r="A23" t="s">
        <v>31</v>
      </c>
      <c r="B23" t="n">
        <v>1</v>
      </c>
      <c r="C23" t="n">
        <v>1</v>
      </c>
      <c r="D23" t="n">
        <v>1</v>
      </c>
      <c r="E23" t="n">
        <v>-5.5</v>
      </c>
      <c r="F23" t="n">
        <v>-0.5</v>
      </c>
      <c r="G23" t="n">
        <v>13</v>
      </c>
      <c r="H23" t="n">
        <v>12</v>
      </c>
      <c r="I23" t="s">
        <v>297</v>
      </c>
      <c r="J23" t="n">
        <v>0</v>
      </c>
      <c r="K23" t="n">
        <v>0</v>
      </c>
      <c r="L23" t="n">
        <v>0</v>
      </c>
      <c r="M23" t="n">
        <v>12</v>
      </c>
      <c r="N23" t="n">
        <v>0</v>
      </c>
      <c r="O23" t="n">
        <v>-0.25</v>
      </c>
      <c r="P23" t="n">
        <v>163</v>
      </c>
      <c r="Q23" t="n">
        <v>12</v>
      </c>
      <c r="R23" t="s">
        <v>297</v>
      </c>
      <c r="S23" t="s">
        <v>297</v>
      </c>
      <c r="T23" t="n">
        <v>-0.125</v>
      </c>
    </row>
    <row r="24">
      <c r="A24" t="s">
        <v>31</v>
      </c>
      <c r="B24" t="n">
        <v>1</v>
      </c>
      <c r="C24" t="n">
        <v>1</v>
      </c>
      <c r="D24" t="n">
        <v>1</v>
      </c>
      <c r="E24" t="n">
        <v>-7.5</v>
      </c>
      <c r="F24" t="n">
        <v>-0.5</v>
      </c>
      <c r="G24" t="n">
        <v>166</v>
      </c>
      <c r="H24" t="n">
        <v>12</v>
      </c>
      <c r="I24" t="s">
        <v>297</v>
      </c>
      <c r="J24" t="n">
        <v>0</v>
      </c>
      <c r="K24" t="n">
        <v>0</v>
      </c>
      <c r="L24" t="n">
        <v>0</v>
      </c>
      <c r="M24" t="n">
        <v>12</v>
      </c>
      <c r="N24" t="n">
        <v>0.25</v>
      </c>
      <c r="O24" t="n">
        <v>0</v>
      </c>
      <c r="P24" t="n">
        <v>127</v>
      </c>
      <c r="Q24" t="n">
        <v>12</v>
      </c>
      <c r="R24" t="s">
        <v>297</v>
      </c>
      <c r="S24" t="s">
        <v>297</v>
      </c>
      <c r="T24" t="n">
        <v>0.25</v>
      </c>
    </row>
    <row r="25">
      <c r="A25" t="s">
        <v>31</v>
      </c>
      <c r="B25" t="n">
        <v>1.25</v>
      </c>
      <c r="C25" t="n">
        <v>1.25</v>
      </c>
      <c r="D25" t="n">
        <v>1.25</v>
      </c>
      <c r="E25" t="n">
        <v>-2</v>
      </c>
      <c r="F25" t="n">
        <v>-0.5</v>
      </c>
      <c r="G25" t="n">
        <v>128</v>
      </c>
      <c r="H25" t="n">
        <v>12</v>
      </c>
      <c r="I25" t="s">
        <v>298</v>
      </c>
      <c r="J25" t="n">
        <v>0</v>
      </c>
      <c r="K25" t="n">
        <v>0</v>
      </c>
      <c r="L25" t="n">
        <v>0</v>
      </c>
      <c r="M25" t="n">
        <v>12</v>
      </c>
      <c r="N25" t="n">
        <v>0.25</v>
      </c>
      <c r="O25" t="n">
        <v>-0.25</v>
      </c>
      <c r="P25" t="n">
        <v>103</v>
      </c>
      <c r="Q25" t="n">
        <v>12</v>
      </c>
      <c r="R25" t="s">
        <v>298</v>
      </c>
      <c r="S25" t="s">
        <v>298</v>
      </c>
      <c r="T25" t="n">
        <v>0.125</v>
      </c>
    </row>
    <row r="26">
      <c r="A26" t="s">
        <v>31</v>
      </c>
      <c r="B26" t="n">
        <v>1</v>
      </c>
      <c r="C26" t="n">
        <v>1.25</v>
      </c>
      <c r="D26" t="n">
        <v>1.25</v>
      </c>
      <c r="E26" t="n">
        <v>-1.75</v>
      </c>
      <c r="F26" t="n">
        <v>-0.75</v>
      </c>
      <c r="G26" t="n">
        <v>49</v>
      </c>
      <c r="H26" t="n">
        <v>12</v>
      </c>
      <c r="I26" t="s">
        <v>297</v>
      </c>
      <c r="J26" t="n">
        <v>0</v>
      </c>
      <c r="K26" t="n">
        <v>0</v>
      </c>
      <c r="L26" t="n">
        <v>0</v>
      </c>
      <c r="M26" t="n">
        <v>12</v>
      </c>
      <c r="N26" t="n">
        <v>0</v>
      </c>
      <c r="O26" t="n">
        <v>-0.25</v>
      </c>
      <c r="P26" t="n">
        <v>28</v>
      </c>
      <c r="Q26" t="n">
        <v>12</v>
      </c>
      <c r="R26" t="s">
        <v>298</v>
      </c>
      <c r="S26" t="s">
        <v>298</v>
      </c>
      <c r="T26" t="n">
        <v>-0.125</v>
      </c>
    </row>
    <row r="27">
      <c r="A27" t="s">
        <v>31</v>
      </c>
      <c r="B27" t="n">
        <v>1.25</v>
      </c>
      <c r="C27" t="n">
        <v>1.25</v>
      </c>
      <c r="D27" t="n">
        <v>1.25</v>
      </c>
      <c r="E27" t="n">
        <v>-3.75</v>
      </c>
      <c r="F27" t="n">
        <v>-0.5</v>
      </c>
      <c r="G27" t="n">
        <v>151</v>
      </c>
      <c r="H27" t="n">
        <v>12</v>
      </c>
      <c r="I27" t="s">
        <v>298</v>
      </c>
      <c r="J27" t="n">
        <v>0</v>
      </c>
      <c r="K27" t="n">
        <v>0</v>
      </c>
      <c r="L27" t="n">
        <v>0</v>
      </c>
      <c r="M27" t="n">
        <v>12</v>
      </c>
      <c r="N27" t="n">
        <v>-0.25</v>
      </c>
      <c r="O27" t="n">
        <v>-0.25</v>
      </c>
      <c r="P27" t="n">
        <v>2</v>
      </c>
      <c r="Q27" t="n">
        <v>12</v>
      </c>
      <c r="R27" t="s">
        <v>298</v>
      </c>
      <c r="S27" t="s">
        <v>298</v>
      </c>
      <c r="T27" t="n">
        <v>-0.375</v>
      </c>
    </row>
    <row r="28">
      <c r="A28" t="s">
        <v>31</v>
      </c>
      <c r="B28" t="n">
        <v>1</v>
      </c>
      <c r="C28" t="n">
        <v>1</v>
      </c>
      <c r="D28" t="n">
        <v>1</v>
      </c>
      <c r="E28" t="n">
        <v>-3.25</v>
      </c>
      <c r="F28" t="n">
        <v>-0.5</v>
      </c>
      <c r="G28" t="n">
        <v>6</v>
      </c>
      <c r="H28" t="n">
        <v>12</v>
      </c>
      <c r="I28" t="s">
        <v>297</v>
      </c>
      <c r="J28" t="n">
        <v>0</v>
      </c>
      <c r="K28" t="n">
        <v>0</v>
      </c>
      <c r="L28" t="n">
        <v>0</v>
      </c>
      <c r="M28" t="n">
        <v>12</v>
      </c>
      <c r="N28" t="n">
        <v>0.25</v>
      </c>
      <c r="O28" t="n">
        <v>-0.25</v>
      </c>
      <c r="P28" t="n">
        <v>168</v>
      </c>
      <c r="Q28" t="n">
        <v>12</v>
      </c>
      <c r="R28" t="s">
        <v>297</v>
      </c>
      <c r="S28" t="s">
        <v>297</v>
      </c>
      <c r="T28" t="n">
        <v>0.125</v>
      </c>
    </row>
    <row r="29">
      <c r="A29" t="s">
        <v>31</v>
      </c>
      <c r="B29" t="n">
        <v>1</v>
      </c>
      <c r="C29" t="n">
        <v>0.8</v>
      </c>
      <c r="D29" t="n">
        <v>1</v>
      </c>
      <c r="E29" t="n">
        <v>-3.75</v>
      </c>
      <c r="F29" t="n">
        <v>-1</v>
      </c>
      <c r="G29" t="n">
        <v>1</v>
      </c>
      <c r="H29" t="n">
        <v>12</v>
      </c>
      <c r="I29" t="s">
        <v>297</v>
      </c>
      <c r="J29" t="n">
        <v>0</v>
      </c>
      <c r="K29" t="n">
        <v>0</v>
      </c>
      <c r="L29" t="n">
        <v>0</v>
      </c>
      <c r="M29" t="n">
        <v>12</v>
      </c>
      <c r="N29" t="n">
        <v>-0.75</v>
      </c>
      <c r="O29" t="n">
        <v>-0.25</v>
      </c>
      <c r="P29" t="n">
        <v>45</v>
      </c>
      <c r="Q29" t="n">
        <v>12</v>
      </c>
      <c r="R29" t="s">
        <v>297</v>
      </c>
      <c r="S29" t="s">
        <v>296</v>
      </c>
      <c r="T29" t="n">
        <v>-0.875</v>
      </c>
    </row>
    <row r="30">
      <c r="A30" t="s">
        <v>31</v>
      </c>
      <c r="B30" t="n">
        <v>1</v>
      </c>
      <c r="C30" t="n">
        <v>0.8</v>
      </c>
      <c r="D30" t="n">
        <v>1</v>
      </c>
      <c r="E30" t="n">
        <v>-4.25</v>
      </c>
      <c r="F30" t="n">
        <v>-1</v>
      </c>
      <c r="G30" t="n">
        <v>166</v>
      </c>
      <c r="H30" t="n">
        <v>12</v>
      </c>
      <c r="I30" t="s">
        <v>297</v>
      </c>
      <c r="J30" t="n">
        <v>0</v>
      </c>
      <c r="K30" t="n">
        <v>0</v>
      </c>
      <c r="L30" t="n">
        <v>0</v>
      </c>
      <c r="M30" t="n">
        <v>12</v>
      </c>
      <c r="N30" t="n">
        <v>-0.5</v>
      </c>
      <c r="O30" t="n">
        <v>-0.25</v>
      </c>
      <c r="P30" t="n">
        <v>121</v>
      </c>
      <c r="Q30" t="n">
        <v>12</v>
      </c>
      <c r="R30" t="s">
        <v>297</v>
      </c>
      <c r="S30" t="s">
        <v>296</v>
      </c>
      <c r="T30" t="n">
        <v>-0.625</v>
      </c>
    </row>
    <row r="31">
      <c r="A31" t="s">
        <v>31</v>
      </c>
      <c r="B31" t="n">
        <v>1.25</v>
      </c>
      <c r="C31" t="n">
        <v>1.6</v>
      </c>
      <c r="D31" t="n">
        <v>1.6</v>
      </c>
      <c r="E31" t="n">
        <v>-4.5</v>
      </c>
      <c r="F31" t="n">
        <v>-0.75</v>
      </c>
      <c r="G31" t="n">
        <v>166</v>
      </c>
      <c r="H31" t="n">
        <v>12</v>
      </c>
      <c r="I31" t="s">
        <v>298</v>
      </c>
      <c r="J31" t="n">
        <v>0</v>
      </c>
      <c r="K31" t="n">
        <v>0</v>
      </c>
      <c r="L31" t="n">
        <v>0</v>
      </c>
      <c r="M31" t="n">
        <v>12</v>
      </c>
      <c r="N31" t="n">
        <v>0.25</v>
      </c>
      <c r="O31" t="n">
        <v>-0.25</v>
      </c>
      <c r="P31" t="n">
        <v>20</v>
      </c>
      <c r="Q31" t="n">
        <v>12</v>
      </c>
      <c r="R31" t="s">
        <v>299</v>
      </c>
      <c r="S31" t="s">
        <v>299</v>
      </c>
      <c r="T31" t="n">
        <v>0.125</v>
      </c>
    </row>
    <row r="32">
      <c r="A32" t="s">
        <v>31</v>
      </c>
      <c r="B32" t="n">
        <v>1.25</v>
      </c>
      <c r="C32" t="n">
        <v>1.25</v>
      </c>
      <c r="D32" t="n">
        <v>1.25</v>
      </c>
      <c r="E32" t="n">
        <v>-4.5</v>
      </c>
      <c r="F32" t="n">
        <v>-1</v>
      </c>
      <c r="G32" t="n">
        <v>14</v>
      </c>
      <c r="H32" t="n">
        <v>12</v>
      </c>
      <c r="I32" t="s">
        <v>298</v>
      </c>
      <c r="J32" t="n">
        <v>0</v>
      </c>
      <c r="K32" t="n">
        <v>0</v>
      </c>
      <c r="L32" t="n">
        <v>0</v>
      </c>
      <c r="M32" t="n">
        <v>12</v>
      </c>
      <c r="N32" t="n">
        <v>0.25</v>
      </c>
      <c r="O32" t="n">
        <v>-0.25</v>
      </c>
      <c r="P32" t="n">
        <v>147</v>
      </c>
      <c r="Q32" t="n">
        <v>12</v>
      </c>
      <c r="R32" t="s">
        <v>298</v>
      </c>
      <c r="S32" t="s">
        <v>298</v>
      </c>
      <c r="T32" t="n">
        <v>0.125</v>
      </c>
    </row>
    <row r="33">
      <c r="A33" t="s">
        <v>31</v>
      </c>
      <c r="B33" t="n">
        <v>1</v>
      </c>
      <c r="C33" t="n">
        <v>1</v>
      </c>
      <c r="D33" t="n">
        <v>1</v>
      </c>
      <c r="E33" t="n">
        <v>-4</v>
      </c>
      <c r="F33" t="n">
        <v>-1.25</v>
      </c>
      <c r="G33" t="n">
        <v>157</v>
      </c>
      <c r="H33" t="n">
        <v>12</v>
      </c>
      <c r="I33" t="s">
        <v>297</v>
      </c>
      <c r="J33" t="n">
        <v>0</v>
      </c>
      <c r="K33" t="n">
        <v>0</v>
      </c>
      <c r="L33" t="n">
        <v>0</v>
      </c>
      <c r="M33" t="n">
        <v>12</v>
      </c>
      <c r="N33" t="n">
        <v>0</v>
      </c>
      <c r="O33" t="n">
        <v>-0.5</v>
      </c>
      <c r="P33" t="n">
        <v>115</v>
      </c>
      <c r="Q33" t="n">
        <v>12</v>
      </c>
      <c r="R33" t="s">
        <v>297</v>
      </c>
      <c r="S33" t="s">
        <v>297</v>
      </c>
      <c r="T33" t="n">
        <v>-0.25</v>
      </c>
    </row>
    <row r="34">
      <c r="A34" t="s">
        <v>31</v>
      </c>
      <c r="B34" t="n">
        <v>1</v>
      </c>
      <c r="C34" t="n">
        <v>1</v>
      </c>
      <c r="D34" t="n">
        <v>1</v>
      </c>
      <c r="E34" t="n">
        <v>-4</v>
      </c>
      <c r="F34" t="n">
        <v>-0.25</v>
      </c>
      <c r="G34" t="n">
        <v>13</v>
      </c>
      <c r="H34" t="n">
        <v>12</v>
      </c>
      <c r="I34" t="s">
        <v>297</v>
      </c>
      <c r="J34" t="n">
        <v>0</v>
      </c>
      <c r="K34" t="n">
        <v>0</v>
      </c>
      <c r="L34" t="n">
        <v>0</v>
      </c>
      <c r="M34" t="n">
        <v>12</v>
      </c>
      <c r="N34" t="n">
        <v>-0.5</v>
      </c>
      <c r="O34" t="n">
        <v>-0.25</v>
      </c>
      <c r="P34" t="n">
        <v>130</v>
      </c>
      <c r="Q34" t="n">
        <v>12</v>
      </c>
      <c r="R34" t="s">
        <v>297</v>
      </c>
      <c r="S34" t="s">
        <v>297</v>
      </c>
      <c r="T34" t="n">
        <v>-0.625</v>
      </c>
    </row>
    <row r="35">
      <c r="A35" t="s">
        <v>31</v>
      </c>
      <c r="B35" t="n">
        <v>1</v>
      </c>
      <c r="C35" t="n">
        <v>1</v>
      </c>
      <c r="D35" t="n">
        <v>1</v>
      </c>
      <c r="E35" t="n">
        <v>-4.5</v>
      </c>
      <c r="F35" t="n">
        <v>-1.75</v>
      </c>
      <c r="G35" t="n">
        <v>7</v>
      </c>
      <c r="H35" t="n">
        <v>12</v>
      </c>
      <c r="I35" t="s">
        <v>297</v>
      </c>
      <c r="J35" t="n">
        <v>0</v>
      </c>
      <c r="K35" t="n">
        <v>0</v>
      </c>
      <c r="L35" t="n">
        <v>0</v>
      </c>
      <c r="M35" t="n">
        <v>12</v>
      </c>
      <c r="N35" t="n">
        <v>-0.5</v>
      </c>
      <c r="O35" t="n">
        <v>-0.25</v>
      </c>
      <c r="P35" t="n">
        <v>161</v>
      </c>
      <c r="Q35" t="n">
        <v>12</v>
      </c>
      <c r="R35" t="s">
        <v>297</v>
      </c>
      <c r="S35" t="s">
        <v>297</v>
      </c>
      <c r="T35" t="n">
        <v>-0.625</v>
      </c>
    </row>
    <row r="36">
      <c r="A36" t="s">
        <v>31</v>
      </c>
      <c r="B36" t="n">
        <v>1</v>
      </c>
      <c r="C36" t="n">
        <v>0.63</v>
      </c>
      <c r="D36" t="n">
        <v>1</v>
      </c>
      <c r="E36" t="n">
        <v>-5</v>
      </c>
      <c r="F36" t="n">
        <v>-1</v>
      </c>
      <c r="G36" t="n">
        <v>180</v>
      </c>
      <c r="H36" t="n">
        <v>12</v>
      </c>
      <c r="I36" t="s">
        <v>297</v>
      </c>
      <c r="J36" t="n">
        <v>0</v>
      </c>
      <c r="K36" t="n">
        <v>0</v>
      </c>
      <c r="L36" t="n">
        <v>0</v>
      </c>
      <c r="M36" t="n">
        <v>12</v>
      </c>
      <c r="N36" t="n">
        <v>-0.75</v>
      </c>
      <c r="O36" t="n">
        <v>-0.25</v>
      </c>
      <c r="P36" t="n">
        <v>32</v>
      </c>
      <c r="Q36" t="n">
        <v>12</v>
      </c>
      <c r="R36" t="s">
        <v>297</v>
      </c>
      <c r="S36" t="s">
        <v>301</v>
      </c>
      <c r="T36" t="n">
        <v>-0.875</v>
      </c>
    </row>
    <row r="37">
      <c r="A37" t="s">
        <v>31</v>
      </c>
      <c r="B37" t="n">
        <v>1</v>
      </c>
      <c r="C37" t="n">
        <v>0.8</v>
      </c>
      <c r="D37" t="n">
        <v>1</v>
      </c>
      <c r="E37" t="n">
        <v>-8.75</v>
      </c>
      <c r="F37" t="n">
        <v>-0.5</v>
      </c>
      <c r="G37" t="n">
        <v>17</v>
      </c>
      <c r="H37" t="n">
        <v>12</v>
      </c>
      <c r="I37" t="s">
        <v>297</v>
      </c>
      <c r="J37" t="n">
        <v>0</v>
      </c>
      <c r="K37" t="n">
        <v>0</v>
      </c>
      <c r="L37" t="n">
        <v>0</v>
      </c>
      <c r="M37" t="n">
        <v>12</v>
      </c>
      <c r="N37" t="n">
        <v>-0.5</v>
      </c>
      <c r="O37" t="n">
        <v>0</v>
      </c>
      <c r="P37" t="n">
        <v>144</v>
      </c>
      <c r="Q37" t="n">
        <v>12</v>
      </c>
      <c r="R37" t="s">
        <v>297</v>
      </c>
      <c r="S37" t="s">
        <v>296</v>
      </c>
      <c r="T37" t="n">
        <v>-0.5</v>
      </c>
    </row>
    <row r="38">
      <c r="A38" t="s">
        <v>31</v>
      </c>
      <c r="B38" t="n">
        <v>1</v>
      </c>
      <c r="C38" t="n">
        <v>1</v>
      </c>
      <c r="D38" t="n">
        <v>1</v>
      </c>
      <c r="E38" t="n">
        <v>-6.5</v>
      </c>
      <c r="F38" t="n">
        <v>-0.25</v>
      </c>
      <c r="G38" t="n">
        <v>94</v>
      </c>
      <c r="H38" t="n">
        <v>12</v>
      </c>
      <c r="I38" t="s">
        <v>297</v>
      </c>
      <c r="J38" t="n">
        <v>0</v>
      </c>
      <c r="K38" t="n">
        <v>0</v>
      </c>
      <c r="L38" t="n">
        <v>0</v>
      </c>
      <c r="M38" t="n">
        <v>12</v>
      </c>
      <c r="N38" t="n">
        <v>-0.25</v>
      </c>
      <c r="O38" t="n">
        <v>-0.25</v>
      </c>
      <c r="P38" t="n">
        <v>39</v>
      </c>
      <c r="Q38" t="n">
        <v>12</v>
      </c>
      <c r="R38" t="s">
        <v>297</v>
      </c>
      <c r="S38" t="s">
        <v>297</v>
      </c>
      <c r="T38" t="n">
        <v>-0.375</v>
      </c>
    </row>
    <row r="39">
      <c r="A39" t="s">
        <v>31</v>
      </c>
      <c r="B39" t="n">
        <v>0.8</v>
      </c>
      <c r="C39" t="n">
        <v>0.8</v>
      </c>
      <c r="D39" t="n">
        <v>0.8</v>
      </c>
      <c r="E39" t="n">
        <v>-7.25</v>
      </c>
      <c r="F39" t="n">
        <v>-0.25</v>
      </c>
      <c r="G39" t="n">
        <v>89</v>
      </c>
      <c r="H39" t="n">
        <v>12</v>
      </c>
      <c r="I39" t="s">
        <v>296</v>
      </c>
      <c r="J39" t="n">
        <v>0</v>
      </c>
      <c r="K39" t="n">
        <v>0</v>
      </c>
      <c r="L39" t="n">
        <v>0</v>
      </c>
      <c r="M39" t="n">
        <v>12</v>
      </c>
      <c r="N39" t="n">
        <v>-0.25</v>
      </c>
      <c r="O39" t="n">
        <v>-0.25</v>
      </c>
      <c r="P39" t="n">
        <v>162</v>
      </c>
      <c r="Q39" t="n">
        <v>12</v>
      </c>
      <c r="R39" t="s">
        <v>296</v>
      </c>
      <c r="S39" t="s">
        <v>296</v>
      </c>
      <c r="T39" t="n">
        <v>-0.375</v>
      </c>
    </row>
    <row r="40">
      <c r="A40" t="s">
        <v>31</v>
      </c>
      <c r="B40" t="n">
        <v>1.25</v>
      </c>
      <c r="C40"/>
      <c r="D40"/>
      <c r="E40" t="n">
        <v>-6</v>
      </c>
      <c r="F40" t="n">
        <v>-0.75</v>
      </c>
      <c r="G40" t="n">
        <v>171</v>
      </c>
      <c r="H40" t="n">
        <v>12</v>
      </c>
      <c r="I40" t="s">
        <v>298</v>
      </c>
      <c r="J40" t="n">
        <v>0</v>
      </c>
      <c r="K40" t="n">
        <v>0</v>
      </c>
      <c r="L40" t="n">
        <v>0</v>
      </c>
      <c r="M40" t="n">
        <v>12</v>
      </c>
      <c r="N40"/>
      <c r="O40"/>
      <c r="P40"/>
      <c r="Q40" t="n">
        <v>12</v>
      </c>
      <c r="R40" t="s">
        <v>109</v>
      </c>
      <c r="S40" t="s">
        <v>109</v>
      </c>
      <c r="T40"/>
    </row>
    <row r="41">
      <c r="A41" t="s">
        <v>31</v>
      </c>
      <c r="B41" t="n">
        <v>1.25</v>
      </c>
      <c r="C41"/>
      <c r="D41"/>
      <c r="E41" t="n">
        <v>-6.25</v>
      </c>
      <c r="F41" t="n">
        <v>-1</v>
      </c>
      <c r="G41" t="n">
        <v>178</v>
      </c>
      <c r="H41" t="n">
        <v>12</v>
      </c>
      <c r="I41" t="s">
        <v>298</v>
      </c>
      <c r="J41" t="n">
        <v>-0.75</v>
      </c>
      <c r="K41" t="n">
        <v>0</v>
      </c>
      <c r="L41" t="n">
        <v>0</v>
      </c>
      <c r="M41" t="n">
        <v>12</v>
      </c>
      <c r="N41"/>
      <c r="O41"/>
      <c r="P41"/>
      <c r="Q41" t="n">
        <v>12</v>
      </c>
      <c r="R41" t="s">
        <v>109</v>
      </c>
      <c r="S41" t="s">
        <v>109</v>
      </c>
      <c r="T41"/>
    </row>
    <row r="42">
      <c r="A42" t="s">
        <v>31</v>
      </c>
      <c r="B42" t="n">
        <v>1.25</v>
      </c>
      <c r="C42" t="n">
        <v>1.25</v>
      </c>
      <c r="D42" t="n">
        <v>1.25</v>
      </c>
      <c r="E42" t="n">
        <v>-4.5</v>
      </c>
      <c r="F42" t="n">
        <v>-0.5</v>
      </c>
      <c r="G42" t="n">
        <v>152</v>
      </c>
      <c r="H42" t="n">
        <v>12</v>
      </c>
      <c r="I42" t="s">
        <v>298</v>
      </c>
      <c r="J42" t="n">
        <v>0</v>
      </c>
      <c r="K42" t="n">
        <v>0</v>
      </c>
      <c r="L42" t="n">
        <v>0</v>
      </c>
      <c r="M42" t="n">
        <v>12</v>
      </c>
      <c r="N42" t="n">
        <v>-0.25</v>
      </c>
      <c r="O42" t="n">
        <v>-0.25</v>
      </c>
      <c r="P42" t="n">
        <v>114</v>
      </c>
      <c r="Q42" t="n">
        <v>12</v>
      </c>
      <c r="R42" t="s">
        <v>298</v>
      </c>
      <c r="S42" t="s">
        <v>298</v>
      </c>
      <c r="T42" t="n">
        <v>-0.375</v>
      </c>
    </row>
    <row r="43">
      <c r="A43" t="s">
        <v>31</v>
      </c>
      <c r="B43" t="n">
        <v>1.25</v>
      </c>
      <c r="C43" t="n">
        <v>1</v>
      </c>
      <c r="D43" t="n">
        <v>1.25</v>
      </c>
      <c r="E43" t="n">
        <v>-5.75</v>
      </c>
      <c r="F43" t="n">
        <v>-0.5</v>
      </c>
      <c r="G43" t="n">
        <v>43</v>
      </c>
      <c r="H43" t="n">
        <v>12</v>
      </c>
      <c r="I43" t="s">
        <v>298</v>
      </c>
      <c r="J43" t="n">
        <v>0</v>
      </c>
      <c r="K43" t="n">
        <v>0</v>
      </c>
      <c r="L43" t="n">
        <v>0</v>
      </c>
      <c r="M43" t="n">
        <v>12</v>
      </c>
      <c r="N43" t="n">
        <v>-0.5</v>
      </c>
      <c r="O43" t="n">
        <v>0</v>
      </c>
      <c r="P43" t="n">
        <v>90</v>
      </c>
      <c r="Q43" t="n">
        <v>12</v>
      </c>
      <c r="R43" t="s">
        <v>298</v>
      </c>
      <c r="S43" t="s">
        <v>297</v>
      </c>
      <c r="T43" t="n">
        <v>-0.5</v>
      </c>
    </row>
    <row r="44">
      <c r="A44" t="s">
        <v>31</v>
      </c>
      <c r="B44" t="n">
        <v>1</v>
      </c>
      <c r="C44" t="n">
        <v>1</v>
      </c>
      <c r="D44" t="n">
        <v>1</v>
      </c>
      <c r="E44" t="n">
        <v>-4</v>
      </c>
      <c r="F44" t="n">
        <v>-0.25</v>
      </c>
      <c r="G44" t="n">
        <v>4</v>
      </c>
      <c r="H44" t="n">
        <v>12</v>
      </c>
      <c r="I44" t="s">
        <v>297</v>
      </c>
      <c r="J44" t="n">
        <v>0</v>
      </c>
      <c r="K44" t="n">
        <v>0</v>
      </c>
      <c r="L44" t="n">
        <v>0</v>
      </c>
      <c r="M44" t="n">
        <v>12</v>
      </c>
      <c r="N44" t="n">
        <v>0.25</v>
      </c>
      <c r="O44" t="n">
        <v>-0.25</v>
      </c>
      <c r="P44" t="n">
        <v>36</v>
      </c>
      <c r="Q44" t="n">
        <v>12</v>
      </c>
      <c r="R44" t="s">
        <v>297</v>
      </c>
      <c r="S44" t="s">
        <v>297</v>
      </c>
      <c r="T44" t="n">
        <v>0.125</v>
      </c>
    </row>
    <row r="45">
      <c r="A45" t="s">
        <v>31</v>
      </c>
      <c r="B45" t="n">
        <v>1</v>
      </c>
      <c r="C45" t="n">
        <v>0.8</v>
      </c>
      <c r="D45" t="n">
        <v>1.25</v>
      </c>
      <c r="E45" t="n">
        <v>-7</v>
      </c>
      <c r="F45" t="n">
        <v>-0.5</v>
      </c>
      <c r="G45" t="n">
        <v>141</v>
      </c>
      <c r="H45" t="n">
        <v>12</v>
      </c>
      <c r="I45" t="s">
        <v>297</v>
      </c>
      <c r="J45" t="n">
        <v>0</v>
      </c>
      <c r="K45" t="n">
        <v>0</v>
      </c>
      <c r="L45" t="n">
        <v>0</v>
      </c>
      <c r="M45" t="n">
        <v>12</v>
      </c>
      <c r="N45" t="n">
        <v>-1</v>
      </c>
      <c r="O45" t="n">
        <v>0</v>
      </c>
      <c r="P45" t="n">
        <v>8</v>
      </c>
      <c r="Q45" t="n">
        <v>12</v>
      </c>
      <c r="R45" t="s">
        <v>298</v>
      </c>
      <c r="S45" t="s">
        <v>296</v>
      </c>
      <c r="T45" t="n">
        <v>-1</v>
      </c>
    </row>
    <row r="46">
      <c r="A46" t="s">
        <v>31</v>
      </c>
      <c r="B46" t="n">
        <v>1</v>
      </c>
      <c r="C46" t="n">
        <v>1</v>
      </c>
      <c r="D46" t="n">
        <v>1</v>
      </c>
      <c r="E46" t="n">
        <v>-5.5</v>
      </c>
      <c r="F46" t="n">
        <v>-0.75</v>
      </c>
      <c r="G46" t="n">
        <v>4</v>
      </c>
      <c r="H46" t="n">
        <v>12</v>
      </c>
      <c r="I46" t="s">
        <v>297</v>
      </c>
      <c r="J46" t="n">
        <v>0</v>
      </c>
      <c r="K46" t="n">
        <v>0</v>
      </c>
      <c r="L46" t="n">
        <v>0</v>
      </c>
      <c r="M46" t="n">
        <v>12</v>
      </c>
      <c r="N46" t="n">
        <v>0</v>
      </c>
      <c r="O46" t="n">
        <v>-0.25</v>
      </c>
      <c r="P46" t="n">
        <v>7</v>
      </c>
      <c r="Q46" t="n">
        <v>12</v>
      </c>
      <c r="R46" t="s">
        <v>297</v>
      </c>
      <c r="S46" t="s">
        <v>297</v>
      </c>
      <c r="T46" t="n">
        <v>-0.125</v>
      </c>
    </row>
    <row r="47">
      <c r="A47" t="s">
        <v>31</v>
      </c>
      <c r="B47" t="n">
        <v>1</v>
      </c>
      <c r="C47"/>
      <c r="D47"/>
      <c r="E47" t="n">
        <v>-4.75</v>
      </c>
      <c r="F47" t="n">
        <v>-0.5</v>
      </c>
      <c r="G47" t="n">
        <v>130</v>
      </c>
      <c r="H47" t="n">
        <v>12</v>
      </c>
      <c r="I47" t="s">
        <v>297</v>
      </c>
      <c r="J47" t="n">
        <v>-0.5</v>
      </c>
      <c r="K47" t="n">
        <v>0</v>
      </c>
      <c r="L47" t="n">
        <v>0</v>
      </c>
      <c r="M47" t="n">
        <v>12</v>
      </c>
      <c r="N47"/>
      <c r="O47"/>
      <c r="P47"/>
      <c r="Q47" t="n">
        <v>12</v>
      </c>
      <c r="R47" t="s">
        <v>109</v>
      </c>
      <c r="S47" t="s">
        <v>109</v>
      </c>
      <c r="T47"/>
    </row>
    <row r="48">
      <c r="A48" t="s">
        <v>31</v>
      </c>
      <c r="B48" t="n">
        <v>1</v>
      </c>
      <c r="C48"/>
      <c r="D48"/>
      <c r="E48" t="n">
        <v>-4</v>
      </c>
      <c r="F48" t="n">
        <v>-1</v>
      </c>
      <c r="G48" t="n">
        <v>44</v>
      </c>
      <c r="H48" t="n">
        <v>12</v>
      </c>
      <c r="I48" t="s">
        <v>297</v>
      </c>
      <c r="J48" t="n">
        <v>0</v>
      </c>
      <c r="K48" t="n">
        <v>0</v>
      </c>
      <c r="L48" t="n">
        <v>0</v>
      </c>
      <c r="M48" t="n">
        <v>12</v>
      </c>
      <c r="N48"/>
      <c r="O48"/>
      <c r="P48"/>
      <c r="Q48" t="n">
        <v>12</v>
      </c>
      <c r="R48" t="s">
        <v>109</v>
      </c>
      <c r="S48" t="s">
        <v>109</v>
      </c>
      <c r="T48"/>
    </row>
    <row r="49">
      <c r="A49" t="s">
        <v>31</v>
      </c>
      <c r="B49" t="n">
        <v>1.25</v>
      </c>
      <c r="C49" t="n">
        <v>1.25</v>
      </c>
      <c r="D49" t="n">
        <v>1.25</v>
      </c>
      <c r="E49" t="n">
        <v>-3.25</v>
      </c>
      <c r="F49" t="n">
        <v>-0.25</v>
      </c>
      <c r="G49" t="n">
        <v>177</v>
      </c>
      <c r="H49" t="n">
        <v>12</v>
      </c>
      <c r="I49" t="s">
        <v>298</v>
      </c>
      <c r="J49" t="n">
        <v>0</v>
      </c>
      <c r="K49" t="n">
        <v>0</v>
      </c>
      <c r="L49" t="n">
        <v>0</v>
      </c>
      <c r="M49" t="n">
        <v>12</v>
      </c>
      <c r="N49" t="n">
        <v>0</v>
      </c>
      <c r="O49" t="n">
        <v>0</v>
      </c>
      <c r="P49" t="n">
        <v>125</v>
      </c>
      <c r="Q49" t="n">
        <v>12</v>
      </c>
      <c r="R49" t="s">
        <v>298</v>
      </c>
      <c r="S49" t="s">
        <v>298</v>
      </c>
      <c r="T49" t="n">
        <v>0</v>
      </c>
    </row>
    <row r="50">
      <c r="A50" t="s">
        <v>31</v>
      </c>
      <c r="B50" t="n">
        <v>1</v>
      </c>
      <c r="C50" t="n">
        <v>1</v>
      </c>
      <c r="D50" t="n">
        <v>1</v>
      </c>
      <c r="E50" t="n">
        <v>-4.5</v>
      </c>
      <c r="F50" t="n">
        <v>-1</v>
      </c>
      <c r="G50" t="n">
        <v>6</v>
      </c>
      <c r="H50" t="n">
        <v>12</v>
      </c>
      <c r="I50" t="s">
        <v>297</v>
      </c>
      <c r="J50" t="n">
        <v>0</v>
      </c>
      <c r="K50" t="n">
        <v>0</v>
      </c>
      <c r="L50" t="n">
        <v>0</v>
      </c>
      <c r="M50" t="n">
        <v>12</v>
      </c>
      <c r="N50" t="n">
        <v>0</v>
      </c>
      <c r="O50" t="n">
        <v>-0.25</v>
      </c>
      <c r="P50" t="n">
        <v>170</v>
      </c>
      <c r="Q50" t="n">
        <v>12</v>
      </c>
      <c r="R50" t="s">
        <v>297</v>
      </c>
      <c r="S50" t="s">
        <v>297</v>
      </c>
      <c r="T50" t="n">
        <v>-0.125</v>
      </c>
    </row>
    <row r="51">
      <c r="A51" t="s">
        <v>31</v>
      </c>
      <c r="B51" t="n">
        <v>1</v>
      </c>
      <c r="C51" t="n">
        <v>0.63</v>
      </c>
      <c r="D51" t="n">
        <v>1.25</v>
      </c>
      <c r="E51" t="n">
        <v>-6</v>
      </c>
      <c r="F51" t="n">
        <v>-0.75</v>
      </c>
      <c r="G51" t="n">
        <v>178</v>
      </c>
      <c r="H51" t="n">
        <v>12</v>
      </c>
      <c r="I51" t="s">
        <v>297</v>
      </c>
      <c r="J51" t="n">
        <v>-0.75</v>
      </c>
      <c r="K51" t="n">
        <v>0</v>
      </c>
      <c r="L51" t="n">
        <v>0</v>
      </c>
      <c r="M51" t="n">
        <v>12</v>
      </c>
      <c r="N51" t="n">
        <v>-0.75</v>
      </c>
      <c r="O51" t="n">
        <v>-0.25</v>
      </c>
      <c r="P51" t="n">
        <v>140</v>
      </c>
      <c r="Q51" t="n">
        <v>12</v>
      </c>
      <c r="R51" t="s">
        <v>298</v>
      </c>
      <c r="S51" t="s">
        <v>301</v>
      </c>
      <c r="T51" t="n">
        <v>-0.875</v>
      </c>
    </row>
    <row r="52">
      <c r="A52" t="s">
        <v>31</v>
      </c>
      <c r="B52" t="n">
        <v>1</v>
      </c>
      <c r="C52" t="n">
        <v>1.25</v>
      </c>
      <c r="D52" t="n">
        <v>1.25</v>
      </c>
      <c r="E52" t="n">
        <v>-5.75</v>
      </c>
      <c r="F52" t="n">
        <v>-0.5</v>
      </c>
      <c r="G52" t="n">
        <v>5</v>
      </c>
      <c r="H52" t="n">
        <v>12</v>
      </c>
      <c r="I52" t="s">
        <v>297</v>
      </c>
      <c r="J52" t="n">
        <v>0</v>
      </c>
      <c r="K52" t="n">
        <v>0</v>
      </c>
      <c r="L52" t="n">
        <v>0</v>
      </c>
      <c r="M52" t="n">
        <v>12</v>
      </c>
      <c r="N52" t="n">
        <v>0</v>
      </c>
      <c r="O52" t="n">
        <v>-0.25</v>
      </c>
      <c r="P52" t="n">
        <v>58</v>
      </c>
      <c r="Q52" t="n">
        <v>12</v>
      </c>
      <c r="R52" t="s">
        <v>298</v>
      </c>
      <c r="S52" t="s">
        <v>298</v>
      </c>
      <c r="T52" t="n">
        <v>-0.125</v>
      </c>
    </row>
    <row r="53">
      <c r="A53" t="s">
        <v>31</v>
      </c>
      <c r="B53" t="n">
        <v>1</v>
      </c>
      <c r="C53" t="n">
        <v>1</v>
      </c>
      <c r="D53" t="n">
        <v>1</v>
      </c>
      <c r="E53" t="n">
        <v>-5</v>
      </c>
      <c r="F53" t="n">
        <v>-0.25</v>
      </c>
      <c r="G53" t="n">
        <v>175</v>
      </c>
      <c r="H53" t="n">
        <v>12</v>
      </c>
      <c r="I53" t="s">
        <v>297</v>
      </c>
      <c r="J53" t="n">
        <v>0</v>
      </c>
      <c r="K53" t="n">
        <v>0</v>
      </c>
      <c r="L53" t="n">
        <v>0</v>
      </c>
      <c r="M53" t="n">
        <v>12</v>
      </c>
      <c r="N53" t="n">
        <v>0.5</v>
      </c>
      <c r="O53" t="n">
        <v>-0.25</v>
      </c>
      <c r="P53" t="n">
        <v>151</v>
      </c>
      <c r="Q53" t="n">
        <v>12</v>
      </c>
      <c r="R53" t="s">
        <v>297</v>
      </c>
      <c r="S53" t="s">
        <v>297</v>
      </c>
      <c r="T53" t="n">
        <v>0.375</v>
      </c>
    </row>
    <row r="54">
      <c r="A54" t="s">
        <v>31</v>
      </c>
      <c r="B54" t="n">
        <v>1</v>
      </c>
      <c r="C54" t="n">
        <v>1</v>
      </c>
      <c r="D54" t="n">
        <v>1</v>
      </c>
      <c r="E54" t="n">
        <v>-5</v>
      </c>
      <c r="F54" t="n">
        <v>-0.25</v>
      </c>
      <c r="G54" t="n">
        <v>15</v>
      </c>
      <c r="H54" t="n">
        <v>12</v>
      </c>
      <c r="I54" t="s">
        <v>297</v>
      </c>
      <c r="J54" t="n">
        <v>0</v>
      </c>
      <c r="K54" t="n">
        <v>0</v>
      </c>
      <c r="L54" t="n">
        <v>0</v>
      </c>
      <c r="M54" t="n">
        <v>12</v>
      </c>
      <c r="N54" t="n">
        <v>-0.25</v>
      </c>
      <c r="O54" t="n">
        <v>-0.25</v>
      </c>
      <c r="P54" t="n">
        <v>31</v>
      </c>
      <c r="Q54" t="n">
        <v>12</v>
      </c>
      <c r="R54" t="s">
        <v>297</v>
      </c>
      <c r="S54" t="s">
        <v>297</v>
      </c>
      <c r="T54" t="n">
        <v>-0.375</v>
      </c>
    </row>
    <row r="55">
      <c r="A55" t="s">
        <v>31</v>
      </c>
      <c r="B55" t="n">
        <v>1</v>
      </c>
      <c r="C55" t="n">
        <v>1</v>
      </c>
      <c r="D55" t="n">
        <v>1</v>
      </c>
      <c r="E55" t="n">
        <v>-7.75</v>
      </c>
      <c r="F55" t="n">
        <v>-0.5</v>
      </c>
      <c r="G55" t="n">
        <v>82</v>
      </c>
      <c r="H55" t="n">
        <v>12</v>
      </c>
      <c r="I55" t="s">
        <v>297</v>
      </c>
      <c r="J55" t="n">
        <v>0</v>
      </c>
      <c r="K55" t="n">
        <v>0</v>
      </c>
      <c r="L55" t="n">
        <v>0</v>
      </c>
      <c r="M55" t="n">
        <v>12</v>
      </c>
      <c r="N55" t="n">
        <v>-0.25</v>
      </c>
      <c r="O55" t="n">
        <v>0</v>
      </c>
      <c r="P55" t="n">
        <v>129</v>
      </c>
      <c r="Q55" t="n">
        <v>12</v>
      </c>
      <c r="R55" t="s">
        <v>297</v>
      </c>
      <c r="S55" t="s">
        <v>297</v>
      </c>
      <c r="T55" t="n">
        <v>-0.25</v>
      </c>
    </row>
    <row r="56">
      <c r="A56" t="s">
        <v>31</v>
      </c>
      <c r="B56" t="n">
        <v>1.25</v>
      </c>
      <c r="C56" t="n">
        <v>1.25</v>
      </c>
      <c r="D56" t="n">
        <v>1.25</v>
      </c>
      <c r="E56" t="n">
        <v>-5</v>
      </c>
      <c r="F56" t="n">
        <v>-0.75</v>
      </c>
      <c r="G56" t="n">
        <v>168</v>
      </c>
      <c r="H56" t="n">
        <v>12</v>
      </c>
      <c r="I56" t="s">
        <v>298</v>
      </c>
      <c r="J56" t="n">
        <v>0</v>
      </c>
      <c r="K56" t="n">
        <v>0</v>
      </c>
      <c r="L56" t="n">
        <v>0</v>
      </c>
      <c r="M56" t="n">
        <v>12</v>
      </c>
      <c r="N56" t="n">
        <v>0</v>
      </c>
      <c r="O56" t="n">
        <v>-0.25</v>
      </c>
      <c r="P56" t="n">
        <v>54</v>
      </c>
      <c r="Q56" t="n">
        <v>12</v>
      </c>
      <c r="R56" t="s">
        <v>298</v>
      </c>
      <c r="S56" t="s">
        <v>298</v>
      </c>
      <c r="T56" t="n">
        <v>-0.125</v>
      </c>
    </row>
    <row r="57">
      <c r="A57" t="s">
        <v>31</v>
      </c>
      <c r="B57" t="n">
        <v>1.25</v>
      </c>
      <c r="C57" t="n">
        <v>1.25</v>
      </c>
      <c r="D57" t="n">
        <v>1.25</v>
      </c>
      <c r="E57" t="n">
        <v>-3.25</v>
      </c>
      <c r="F57" t="n">
        <v>-0.75</v>
      </c>
      <c r="G57" t="n">
        <v>16</v>
      </c>
      <c r="H57" t="n">
        <v>12</v>
      </c>
      <c r="I57" t="s">
        <v>298</v>
      </c>
      <c r="J57" t="n">
        <v>0</v>
      </c>
      <c r="K57" t="n">
        <v>0</v>
      </c>
      <c r="L57" t="n">
        <v>0</v>
      </c>
      <c r="M57" t="n">
        <v>12</v>
      </c>
      <c r="N57" t="n">
        <v>-0.25</v>
      </c>
      <c r="O57" t="n">
        <v>-0.25</v>
      </c>
      <c r="P57" t="n">
        <v>137</v>
      </c>
      <c r="Q57" t="n">
        <v>12</v>
      </c>
      <c r="R57" t="s">
        <v>298</v>
      </c>
      <c r="S57" t="s">
        <v>298</v>
      </c>
      <c r="T57" t="n">
        <v>-0.375</v>
      </c>
    </row>
    <row r="58">
      <c r="A58" t="s">
        <v>31</v>
      </c>
      <c r="B58" t="n">
        <v>1</v>
      </c>
      <c r="C58" t="n">
        <v>1.25</v>
      </c>
      <c r="D58" t="n">
        <v>1.25</v>
      </c>
      <c r="E58" t="n">
        <v>-5.5</v>
      </c>
      <c r="F58" t="n">
        <v>-0.75</v>
      </c>
      <c r="G58" t="n">
        <v>9</v>
      </c>
      <c r="H58" t="n">
        <v>12</v>
      </c>
      <c r="I58" t="s">
        <v>297</v>
      </c>
      <c r="J58" t="n">
        <v>0</v>
      </c>
      <c r="K58" t="n">
        <v>0</v>
      </c>
      <c r="L58" t="n">
        <v>0</v>
      </c>
      <c r="M58" t="n">
        <v>12</v>
      </c>
      <c r="N58" t="n">
        <v>0.25</v>
      </c>
      <c r="O58" t="n">
        <v>-0.25</v>
      </c>
      <c r="P58" t="n">
        <v>16</v>
      </c>
      <c r="Q58" t="n">
        <v>12</v>
      </c>
      <c r="R58" t="s">
        <v>298</v>
      </c>
      <c r="S58" t="s">
        <v>298</v>
      </c>
      <c r="T58" t="n">
        <v>0.125</v>
      </c>
    </row>
    <row r="59">
      <c r="A59" t="s">
        <v>31</v>
      </c>
      <c r="B59" t="n">
        <v>1</v>
      </c>
      <c r="C59" t="n">
        <v>1.25</v>
      </c>
      <c r="D59" t="n">
        <v>1.25</v>
      </c>
      <c r="E59" t="n">
        <v>-5.5</v>
      </c>
      <c r="F59" t="n">
        <v>-0.5</v>
      </c>
      <c r="G59" t="n">
        <v>164</v>
      </c>
      <c r="H59" t="n">
        <v>12</v>
      </c>
      <c r="I59" t="s">
        <v>297</v>
      </c>
      <c r="J59" t="n">
        <v>0</v>
      </c>
      <c r="K59" t="n">
        <v>0</v>
      </c>
      <c r="L59" t="n">
        <v>0</v>
      </c>
      <c r="M59" t="n">
        <v>12</v>
      </c>
      <c r="N59" t="n">
        <v>-0.25</v>
      </c>
      <c r="O59" t="n">
        <v>0</v>
      </c>
      <c r="P59" t="n">
        <v>7</v>
      </c>
      <c r="Q59" t="n">
        <v>12</v>
      </c>
      <c r="R59" t="s">
        <v>298</v>
      </c>
      <c r="S59" t="s">
        <v>298</v>
      </c>
      <c r="T59" t="n">
        <v>-0.25</v>
      </c>
    </row>
    <row r="60">
      <c r="A60" t="s">
        <v>31</v>
      </c>
      <c r="B60" t="n">
        <v>0.8</v>
      </c>
      <c r="C60"/>
      <c r="D60"/>
      <c r="E60" t="n">
        <v>-4.5</v>
      </c>
      <c r="F60" t="n">
        <v>-1.25</v>
      </c>
      <c r="G60" t="n">
        <v>158</v>
      </c>
      <c r="H60" t="n">
        <v>12</v>
      </c>
      <c r="I60" t="s">
        <v>296</v>
      </c>
      <c r="J60" t="n">
        <v>0</v>
      </c>
      <c r="K60" t="n">
        <v>0</v>
      </c>
      <c r="L60" t="n">
        <v>0</v>
      </c>
      <c r="M60" t="n">
        <v>12</v>
      </c>
      <c r="N60"/>
      <c r="O60"/>
      <c r="P60"/>
      <c r="Q60" t="n">
        <v>12</v>
      </c>
      <c r="R60" t="s">
        <v>109</v>
      </c>
      <c r="S60" t="s">
        <v>109</v>
      </c>
      <c r="T60"/>
    </row>
    <row r="61">
      <c r="A61" t="s">
        <v>31</v>
      </c>
      <c r="B61" t="n">
        <v>1</v>
      </c>
      <c r="C61" t="n">
        <v>1.25</v>
      </c>
      <c r="D61" t="n">
        <v>1.25</v>
      </c>
      <c r="E61" t="n">
        <v>-6.5</v>
      </c>
      <c r="F61" t="n">
        <v>-0.5</v>
      </c>
      <c r="G61" t="n">
        <v>10</v>
      </c>
      <c r="H61" t="n">
        <v>12</v>
      </c>
      <c r="I61" t="s">
        <v>297</v>
      </c>
      <c r="J61" t="n">
        <v>0</v>
      </c>
      <c r="K61" t="n">
        <v>0</v>
      </c>
      <c r="L61" t="n">
        <v>0</v>
      </c>
      <c r="M61" t="n">
        <v>12</v>
      </c>
      <c r="N61" t="n">
        <v>0</v>
      </c>
      <c r="O61" t="n">
        <v>-0.25</v>
      </c>
      <c r="P61" t="n">
        <v>155</v>
      </c>
      <c r="Q61" t="n">
        <v>12</v>
      </c>
      <c r="R61" t="s">
        <v>298</v>
      </c>
      <c r="S61" t="s">
        <v>298</v>
      </c>
      <c r="T61" t="n">
        <v>-0.125</v>
      </c>
    </row>
    <row r="62">
      <c r="A62" t="s">
        <v>31</v>
      </c>
      <c r="B62" t="n">
        <v>1</v>
      </c>
      <c r="C62" t="n">
        <v>1.25</v>
      </c>
      <c r="D62" t="n">
        <v>1.25</v>
      </c>
      <c r="E62" t="n">
        <v>-5.75</v>
      </c>
      <c r="F62" t="n">
        <v>-0.5</v>
      </c>
      <c r="G62" t="n">
        <v>154</v>
      </c>
      <c r="H62" t="n">
        <v>12</v>
      </c>
      <c r="I62" t="s">
        <v>297</v>
      </c>
      <c r="J62" t="n">
        <v>0</v>
      </c>
      <c r="K62" t="n">
        <v>0</v>
      </c>
      <c r="L62" t="n">
        <v>0</v>
      </c>
      <c r="M62" t="n">
        <v>12</v>
      </c>
      <c r="N62" t="n">
        <v>0.25</v>
      </c>
      <c r="O62" t="n">
        <v>-0.25</v>
      </c>
      <c r="P62" t="n">
        <v>30</v>
      </c>
      <c r="Q62" t="n">
        <v>12</v>
      </c>
      <c r="R62" t="s">
        <v>298</v>
      </c>
      <c r="S62" t="s">
        <v>298</v>
      </c>
      <c r="T62" t="n">
        <v>0.125</v>
      </c>
    </row>
    <row r="63">
      <c r="A63" t="s">
        <v>31</v>
      </c>
      <c r="B63" t="n">
        <v>1.25</v>
      </c>
      <c r="C63"/>
      <c r="D63"/>
      <c r="E63" t="n">
        <v>-2.75</v>
      </c>
      <c r="F63" t="n">
        <v>-0.75</v>
      </c>
      <c r="G63" t="n">
        <v>157</v>
      </c>
      <c r="H63" t="n">
        <v>12</v>
      </c>
      <c r="I63" t="s">
        <v>298</v>
      </c>
      <c r="J63" t="n">
        <v>0</v>
      </c>
      <c r="K63" t="n">
        <v>0</v>
      </c>
      <c r="L63" t="n">
        <v>0</v>
      </c>
      <c r="M63" t="n">
        <v>12</v>
      </c>
      <c r="N63"/>
      <c r="O63"/>
      <c r="P63"/>
      <c r="Q63" t="n">
        <v>12</v>
      </c>
      <c r="R63" t="s">
        <v>109</v>
      </c>
      <c r="S63" t="s">
        <v>109</v>
      </c>
      <c r="T63"/>
    </row>
    <row r="64">
      <c r="A64" t="s">
        <v>31</v>
      </c>
      <c r="B64" t="n">
        <v>1.25</v>
      </c>
      <c r="C64"/>
      <c r="D64"/>
      <c r="E64" t="n">
        <v>-3.75</v>
      </c>
      <c r="F64" t="n">
        <v>-0.5</v>
      </c>
      <c r="G64" t="n">
        <v>20</v>
      </c>
      <c r="H64" t="n">
        <v>12</v>
      </c>
      <c r="I64" t="s">
        <v>298</v>
      </c>
      <c r="J64" t="n">
        <v>0</v>
      </c>
      <c r="K64" t="n">
        <v>0</v>
      </c>
      <c r="L64" t="n">
        <v>0</v>
      </c>
      <c r="M64" t="n">
        <v>12</v>
      </c>
      <c r="N64"/>
      <c r="O64"/>
      <c r="P64"/>
      <c r="Q64" t="n">
        <v>12</v>
      </c>
      <c r="R64" t="s">
        <v>109</v>
      </c>
      <c r="S64" t="s">
        <v>109</v>
      </c>
      <c r="T64"/>
    </row>
    <row r="65">
      <c r="A65" t="s">
        <v>31</v>
      </c>
      <c r="B65" t="n">
        <v>1</v>
      </c>
      <c r="C65" t="n">
        <v>1.25</v>
      </c>
      <c r="D65" t="n">
        <v>1.25</v>
      </c>
      <c r="E65" t="n">
        <v>-3.25</v>
      </c>
      <c r="F65" t="n">
        <v>-0.75</v>
      </c>
      <c r="G65" t="n">
        <v>170</v>
      </c>
      <c r="H65" t="n">
        <v>12</v>
      </c>
      <c r="I65" t="s">
        <v>297</v>
      </c>
      <c r="J65" t="n">
        <v>0</v>
      </c>
      <c r="K65" t="n">
        <v>0</v>
      </c>
      <c r="L65" t="n">
        <v>0</v>
      </c>
      <c r="M65" t="n">
        <v>12</v>
      </c>
      <c r="N65" t="n">
        <v>0.25</v>
      </c>
      <c r="O65" t="n">
        <v>-0.25</v>
      </c>
      <c r="P65" t="n">
        <v>129</v>
      </c>
      <c r="Q65" t="n">
        <v>12</v>
      </c>
      <c r="R65" t="s">
        <v>298</v>
      </c>
      <c r="S65" t="s">
        <v>298</v>
      </c>
      <c r="T65" t="n">
        <v>0.125</v>
      </c>
    </row>
    <row r="66">
      <c r="A66" t="s">
        <v>31</v>
      </c>
      <c r="B66" t="n">
        <v>0.8</v>
      </c>
      <c r="C66" t="n">
        <v>1</v>
      </c>
      <c r="D66" t="n">
        <v>1</v>
      </c>
      <c r="E66" t="n">
        <v>-4.25</v>
      </c>
      <c r="F66" t="n">
        <v>-0.75</v>
      </c>
      <c r="G66" t="n">
        <v>6</v>
      </c>
      <c r="H66" t="n">
        <v>12</v>
      </c>
      <c r="I66" t="s">
        <v>296</v>
      </c>
      <c r="J66" t="n">
        <v>0</v>
      </c>
      <c r="K66" t="n">
        <v>0</v>
      </c>
      <c r="L66" t="n">
        <v>0</v>
      </c>
      <c r="M66" t="n">
        <v>12</v>
      </c>
      <c r="N66" t="n">
        <v>0.25</v>
      </c>
      <c r="O66" t="n">
        <v>0</v>
      </c>
      <c r="P66" t="n">
        <v>106</v>
      </c>
      <c r="Q66" t="n">
        <v>12</v>
      </c>
      <c r="R66" t="s">
        <v>297</v>
      </c>
      <c r="S66" t="s">
        <v>297</v>
      </c>
      <c r="T66" t="n">
        <v>0.25</v>
      </c>
    </row>
    <row r="67">
      <c r="A67" t="s">
        <v>31</v>
      </c>
      <c r="B67" t="n">
        <v>1</v>
      </c>
      <c r="C67" t="n">
        <v>1</v>
      </c>
      <c r="D67" t="n">
        <v>1</v>
      </c>
      <c r="E67" t="n">
        <v>-5.75</v>
      </c>
      <c r="F67" t="n">
        <v>-0.5</v>
      </c>
      <c r="G67" t="n">
        <v>8</v>
      </c>
      <c r="H67" t="n">
        <v>12</v>
      </c>
      <c r="I67" t="s">
        <v>297</v>
      </c>
      <c r="J67" t="n">
        <v>0</v>
      </c>
      <c r="K67" t="n">
        <v>0</v>
      </c>
      <c r="L67" t="n">
        <v>0</v>
      </c>
      <c r="M67" t="n">
        <v>12</v>
      </c>
      <c r="N67" t="n">
        <v>0.5</v>
      </c>
      <c r="O67" t="n">
        <v>-0.25</v>
      </c>
      <c r="P67" t="n">
        <v>167</v>
      </c>
      <c r="Q67" t="n">
        <v>12</v>
      </c>
      <c r="R67" t="s">
        <v>297</v>
      </c>
      <c r="S67" t="s">
        <v>297</v>
      </c>
      <c r="T67" t="n">
        <v>0.375</v>
      </c>
    </row>
    <row r="68">
      <c r="A68" t="s">
        <v>31</v>
      </c>
      <c r="B68" t="n">
        <v>1</v>
      </c>
      <c r="C68" t="n">
        <v>1</v>
      </c>
      <c r="D68" t="n">
        <v>1.25</v>
      </c>
      <c r="E68" t="n">
        <v>-6.5</v>
      </c>
      <c r="F68" t="n">
        <v>-0.25</v>
      </c>
      <c r="G68" t="n">
        <v>175</v>
      </c>
      <c r="H68" t="n">
        <v>12</v>
      </c>
      <c r="I68" t="s">
        <v>297</v>
      </c>
      <c r="J68" t="n">
        <v>0</v>
      </c>
      <c r="K68" t="n">
        <v>0</v>
      </c>
      <c r="L68" t="n">
        <v>0</v>
      </c>
      <c r="M68" t="n">
        <v>12</v>
      </c>
      <c r="N68" t="n">
        <v>-0.75</v>
      </c>
      <c r="O68" t="n">
        <v>-0.25</v>
      </c>
      <c r="P68" t="n">
        <v>45</v>
      </c>
      <c r="Q68" t="n">
        <v>12</v>
      </c>
      <c r="R68" t="s">
        <v>298</v>
      </c>
      <c r="S68" t="s">
        <v>297</v>
      </c>
      <c r="T68" t="n">
        <v>-0.875</v>
      </c>
    </row>
    <row r="69">
      <c r="A69" t="s">
        <v>31</v>
      </c>
      <c r="B69" t="n">
        <v>1</v>
      </c>
      <c r="C69" t="n">
        <v>1.25</v>
      </c>
      <c r="D69" t="n">
        <v>1.25</v>
      </c>
      <c r="E69" t="n">
        <v>-8</v>
      </c>
      <c r="F69" t="n">
        <v>-1.25</v>
      </c>
      <c r="G69" t="n">
        <v>6</v>
      </c>
      <c r="H69" t="n">
        <v>12</v>
      </c>
      <c r="I69" t="s">
        <v>297</v>
      </c>
      <c r="J69" t="n">
        <v>0</v>
      </c>
      <c r="K69" t="n">
        <v>0</v>
      </c>
      <c r="L69" t="n">
        <v>0</v>
      </c>
      <c r="M69" t="n">
        <v>12</v>
      </c>
      <c r="N69" t="n">
        <v>0.5</v>
      </c>
      <c r="O69" t="n">
        <v>-0.75</v>
      </c>
      <c r="P69" t="n">
        <v>50</v>
      </c>
      <c r="Q69" t="n">
        <v>12</v>
      </c>
      <c r="R69" t="s">
        <v>298</v>
      </c>
      <c r="S69" t="s">
        <v>298</v>
      </c>
      <c r="T69" t="n">
        <v>0.125</v>
      </c>
    </row>
    <row r="70">
      <c r="A70" t="s">
        <v>31</v>
      </c>
      <c r="B70" t="n">
        <v>1</v>
      </c>
      <c r="C70" t="n">
        <v>1</v>
      </c>
      <c r="D70" t="n">
        <v>1</v>
      </c>
      <c r="E70" t="n">
        <v>-4.75</v>
      </c>
      <c r="F70" t="n">
        <v>-1.25</v>
      </c>
      <c r="G70" t="n">
        <v>78</v>
      </c>
      <c r="H70" t="n">
        <v>12</v>
      </c>
      <c r="I70" t="s">
        <v>297</v>
      </c>
      <c r="J70" t="n">
        <v>0</v>
      </c>
      <c r="K70" t="n">
        <v>0</v>
      </c>
      <c r="L70" t="n">
        <v>0</v>
      </c>
      <c r="M70" t="n">
        <v>12</v>
      </c>
      <c r="N70" t="n">
        <v>0</v>
      </c>
      <c r="O70" t="n">
        <v>-0.5</v>
      </c>
      <c r="P70" t="n">
        <v>108</v>
      </c>
      <c r="Q70" t="n">
        <v>12</v>
      </c>
      <c r="R70" t="s">
        <v>297</v>
      </c>
      <c r="S70" t="s">
        <v>297</v>
      </c>
      <c r="T70" t="n">
        <v>-0.25</v>
      </c>
    </row>
    <row r="71">
      <c r="A71" t="s">
        <v>31</v>
      </c>
      <c r="B71" t="n">
        <v>1</v>
      </c>
      <c r="C71" t="n">
        <v>1</v>
      </c>
      <c r="D71" t="n">
        <v>1</v>
      </c>
      <c r="E71" t="n">
        <v>-4.75</v>
      </c>
      <c r="F71" t="n">
        <v>-0.75</v>
      </c>
      <c r="G71" t="n">
        <v>93</v>
      </c>
      <c r="H71" t="n">
        <v>12</v>
      </c>
      <c r="I71" t="s">
        <v>297</v>
      </c>
      <c r="J71" t="n">
        <v>0</v>
      </c>
      <c r="K71" t="n">
        <v>0</v>
      </c>
      <c r="L71" t="n">
        <v>0</v>
      </c>
      <c r="M71" t="n">
        <v>12</v>
      </c>
      <c r="N71" t="n">
        <v>0</v>
      </c>
      <c r="O71" t="n">
        <v>-0.25</v>
      </c>
      <c r="P71" t="n">
        <v>66</v>
      </c>
      <c r="Q71" t="n">
        <v>12</v>
      </c>
      <c r="R71" t="s">
        <v>297</v>
      </c>
      <c r="S71" t="s">
        <v>297</v>
      </c>
      <c r="T71" t="n">
        <v>-0.125</v>
      </c>
    </row>
    <row r="72">
      <c r="A72" t="s">
        <v>31</v>
      </c>
      <c r="B72" t="n">
        <v>1</v>
      </c>
      <c r="C72"/>
      <c r="D72"/>
      <c r="E72" t="n">
        <v>-6.5</v>
      </c>
      <c r="F72" t="n">
        <v>-0.5</v>
      </c>
      <c r="G72" t="n">
        <v>170</v>
      </c>
      <c r="H72" t="n">
        <v>12</v>
      </c>
      <c r="I72" t="s">
        <v>297</v>
      </c>
      <c r="J72" t="n">
        <v>0</v>
      </c>
      <c r="K72" t="n">
        <v>0</v>
      </c>
      <c r="L72" t="n">
        <v>0</v>
      </c>
      <c r="M72" t="n">
        <v>12</v>
      </c>
      <c r="N72"/>
      <c r="O72"/>
      <c r="P72"/>
      <c r="Q72" t="n">
        <v>12</v>
      </c>
      <c r="R72" t="s">
        <v>109</v>
      </c>
      <c r="S72" t="s">
        <v>109</v>
      </c>
      <c r="T72"/>
    </row>
    <row r="73">
      <c r="A73" t="s">
        <v>31</v>
      </c>
      <c r="B73" t="n">
        <v>1</v>
      </c>
      <c r="C73"/>
      <c r="D73"/>
      <c r="E73" t="n">
        <v>-6.5</v>
      </c>
      <c r="F73" t="n">
        <v>-0.25</v>
      </c>
      <c r="G73" t="n">
        <v>14</v>
      </c>
      <c r="H73" t="n">
        <v>12</v>
      </c>
      <c r="I73" t="s">
        <v>297</v>
      </c>
      <c r="J73" t="n">
        <v>0</v>
      </c>
      <c r="K73" t="n">
        <v>0</v>
      </c>
      <c r="L73" t="n">
        <v>0</v>
      </c>
      <c r="M73" t="n">
        <v>12</v>
      </c>
      <c r="N73"/>
      <c r="O73"/>
      <c r="P73"/>
      <c r="Q73" t="n">
        <v>12</v>
      </c>
      <c r="R73" t="s">
        <v>109</v>
      </c>
      <c r="S73" t="s">
        <v>109</v>
      </c>
      <c r="T73"/>
    </row>
    <row r="74">
      <c r="A74" t="s">
        <v>31</v>
      </c>
      <c r="B74" t="n">
        <v>1.25</v>
      </c>
      <c r="C74" t="n">
        <v>1.25</v>
      </c>
      <c r="D74" t="n">
        <v>1.6</v>
      </c>
      <c r="E74" t="n">
        <v>-2.5</v>
      </c>
      <c r="F74" t="n">
        <v>-1.25</v>
      </c>
      <c r="G74" t="n">
        <v>98</v>
      </c>
      <c r="H74" t="n">
        <v>12</v>
      </c>
      <c r="I74" t="s">
        <v>298</v>
      </c>
      <c r="J74" t="n">
        <v>0</v>
      </c>
      <c r="K74" t="n">
        <v>0</v>
      </c>
      <c r="L74" t="n">
        <v>0</v>
      </c>
      <c r="M74" t="n">
        <v>12</v>
      </c>
      <c r="N74" t="n">
        <v>-0.5</v>
      </c>
      <c r="O74" t="n">
        <v>0</v>
      </c>
      <c r="P74" t="n">
        <v>63</v>
      </c>
      <c r="Q74" t="n">
        <v>12</v>
      </c>
      <c r="R74" t="s">
        <v>299</v>
      </c>
      <c r="S74" t="s">
        <v>298</v>
      </c>
      <c r="T74" t="n">
        <v>-0.5</v>
      </c>
    </row>
    <row r="75">
      <c r="A75" t="s">
        <v>31</v>
      </c>
      <c r="B75" t="n">
        <v>1</v>
      </c>
      <c r="C75" t="n">
        <v>0.8</v>
      </c>
      <c r="D75" t="n">
        <v>1.25</v>
      </c>
      <c r="E75" t="n">
        <v>-5.25</v>
      </c>
      <c r="F75" t="n">
        <v>-0.5</v>
      </c>
      <c r="G75" t="n">
        <v>81</v>
      </c>
      <c r="H75" t="n">
        <v>12</v>
      </c>
      <c r="I75" t="s">
        <v>297</v>
      </c>
      <c r="J75" t="n">
        <v>0</v>
      </c>
      <c r="K75" t="n">
        <v>0</v>
      </c>
      <c r="L75" t="n">
        <v>0</v>
      </c>
      <c r="M75" t="n">
        <v>12</v>
      </c>
      <c r="N75" t="n">
        <v>-0.75</v>
      </c>
      <c r="O75" t="n">
        <v>-0.25</v>
      </c>
      <c r="P75" t="n">
        <v>47</v>
      </c>
      <c r="Q75" t="n">
        <v>12</v>
      </c>
      <c r="R75" t="s">
        <v>298</v>
      </c>
      <c r="S75" t="s">
        <v>296</v>
      </c>
      <c r="T75" t="n">
        <v>-0.875</v>
      </c>
    </row>
    <row r="76">
      <c r="A76" t="s">
        <v>31</v>
      </c>
      <c r="B76" t="n">
        <v>1.25</v>
      </c>
      <c r="C76" t="n">
        <v>0.5</v>
      </c>
      <c r="D76" t="n">
        <v>1.25</v>
      </c>
      <c r="E76" t="n">
        <v>-4.25</v>
      </c>
      <c r="F76" t="n">
        <v>-0.5</v>
      </c>
      <c r="G76" t="n">
        <v>160</v>
      </c>
      <c r="H76" t="n">
        <v>12</v>
      </c>
      <c r="I76" t="s">
        <v>298</v>
      </c>
      <c r="J76" t="n">
        <v>-1</v>
      </c>
      <c r="K76" t="n">
        <v>0</v>
      </c>
      <c r="L76" t="n">
        <v>0</v>
      </c>
      <c r="M76" t="n">
        <v>12</v>
      </c>
      <c r="N76" t="n">
        <v>-1.5</v>
      </c>
      <c r="O76" t="n">
        <v>-0.25</v>
      </c>
      <c r="P76" t="n">
        <v>73</v>
      </c>
      <c r="Q76" t="n">
        <v>12</v>
      </c>
      <c r="R76" t="s">
        <v>298</v>
      </c>
      <c r="S76" t="s">
        <v>300</v>
      </c>
      <c r="T76" t="n">
        <v>-1.625</v>
      </c>
    </row>
    <row r="77">
      <c r="A77" t="s">
        <v>31</v>
      </c>
      <c r="B77" t="n">
        <v>1.25</v>
      </c>
      <c r="C77" t="n">
        <v>1.25</v>
      </c>
      <c r="D77" t="n">
        <v>1.25</v>
      </c>
      <c r="E77" t="n">
        <v>-4.25</v>
      </c>
      <c r="F77" t="n">
        <v>-1</v>
      </c>
      <c r="G77" t="n">
        <v>25</v>
      </c>
      <c r="H77" t="n">
        <v>12</v>
      </c>
      <c r="I77" t="s">
        <v>298</v>
      </c>
      <c r="J77" t="n">
        <v>0</v>
      </c>
      <c r="K77" t="n">
        <v>0</v>
      </c>
      <c r="L77" t="n">
        <v>0</v>
      </c>
      <c r="M77" t="n">
        <v>12</v>
      </c>
      <c r="N77" t="n">
        <v>0</v>
      </c>
      <c r="O77" t="n">
        <v>-0.5</v>
      </c>
      <c r="P77" t="n">
        <v>117</v>
      </c>
      <c r="Q77" t="n">
        <v>12</v>
      </c>
      <c r="R77" t="s">
        <v>298</v>
      </c>
      <c r="S77" t="s">
        <v>298</v>
      </c>
      <c r="T77" t="n">
        <v>-0.25</v>
      </c>
    </row>
    <row r="78">
      <c r="A78" t="s">
        <v>31</v>
      </c>
      <c r="B78" t="n">
        <v>1.25</v>
      </c>
      <c r="C78" t="n">
        <v>1.25</v>
      </c>
      <c r="D78" t="n">
        <v>1.6</v>
      </c>
      <c r="E78" t="n">
        <v>-0.5</v>
      </c>
      <c r="F78" t="n">
        <v>-0.75</v>
      </c>
      <c r="G78" t="n">
        <v>125</v>
      </c>
      <c r="H78" t="n">
        <v>12</v>
      </c>
      <c r="I78" t="s">
        <v>298</v>
      </c>
      <c r="J78" t="n">
        <v>0</v>
      </c>
      <c r="K78" t="n">
        <v>0</v>
      </c>
      <c r="L78" t="n">
        <v>0</v>
      </c>
      <c r="M78" t="n">
        <v>12</v>
      </c>
      <c r="N78" t="n">
        <v>0.25</v>
      </c>
      <c r="O78" t="n">
        <v>-0.5</v>
      </c>
      <c r="P78" t="n">
        <v>96</v>
      </c>
      <c r="Q78" t="n">
        <v>12</v>
      </c>
      <c r="R78" t="s">
        <v>299</v>
      </c>
      <c r="S78" t="s">
        <v>298</v>
      </c>
      <c r="T78" t="n">
        <v>0</v>
      </c>
    </row>
    <row r="79">
      <c r="A79" t="s">
        <v>31</v>
      </c>
      <c r="B79" t="n">
        <v>1.6</v>
      </c>
      <c r="C79" t="n">
        <v>1.6</v>
      </c>
      <c r="D79" t="n">
        <v>1.6</v>
      </c>
      <c r="E79" t="n">
        <v>-1.25</v>
      </c>
      <c r="F79" t="n">
        <v>-0.5</v>
      </c>
      <c r="G79" t="n">
        <v>69</v>
      </c>
      <c r="H79" t="n">
        <v>12</v>
      </c>
      <c r="I79" t="s">
        <v>299</v>
      </c>
      <c r="J79" t="n">
        <v>0</v>
      </c>
      <c r="K79" t="n">
        <v>0</v>
      </c>
      <c r="L79" t="n">
        <v>0</v>
      </c>
      <c r="M79" t="n">
        <v>12</v>
      </c>
      <c r="N79" t="n">
        <v>0.25</v>
      </c>
      <c r="O79" t="n">
        <v>0</v>
      </c>
      <c r="P79" t="n">
        <v>66</v>
      </c>
      <c r="Q79" t="n">
        <v>12</v>
      </c>
      <c r="R79" t="s">
        <v>299</v>
      </c>
      <c r="S79" t="s">
        <v>299</v>
      </c>
      <c r="T79" t="n">
        <v>0.25</v>
      </c>
    </row>
    <row r="80">
      <c r="A80" t="s">
        <v>31</v>
      </c>
      <c r="B80" t="n">
        <v>1</v>
      </c>
      <c r="C80" t="n">
        <v>1</v>
      </c>
      <c r="D80" t="n">
        <v>1.25</v>
      </c>
      <c r="E80" t="n">
        <v>-3.75</v>
      </c>
      <c r="F80" t="n">
        <v>-1.75</v>
      </c>
      <c r="G80" t="n">
        <v>6</v>
      </c>
      <c r="H80" t="n">
        <v>12</v>
      </c>
      <c r="I80" t="s">
        <v>297</v>
      </c>
      <c r="J80" t="n">
        <v>0</v>
      </c>
      <c r="K80" t="n">
        <v>0</v>
      </c>
      <c r="L80" t="n">
        <v>0</v>
      </c>
      <c r="M80" t="n">
        <v>12</v>
      </c>
      <c r="N80" t="n">
        <v>-0.5</v>
      </c>
      <c r="O80" t="n">
        <v>-0.25</v>
      </c>
      <c r="P80" t="n">
        <v>112</v>
      </c>
      <c r="Q80" t="n">
        <v>12</v>
      </c>
      <c r="R80" t="s">
        <v>298</v>
      </c>
      <c r="S80" t="s">
        <v>297</v>
      </c>
      <c r="T80" t="n">
        <v>-0.625</v>
      </c>
    </row>
    <row r="81">
      <c r="A81" t="s">
        <v>31</v>
      </c>
      <c r="B81" t="n">
        <v>1</v>
      </c>
      <c r="C81" t="n">
        <v>0.5</v>
      </c>
      <c r="D81" t="n">
        <v>1</v>
      </c>
      <c r="E81" t="n">
        <v>-3.75</v>
      </c>
      <c r="F81" t="n">
        <v>-1.25</v>
      </c>
      <c r="G81" t="n">
        <v>8</v>
      </c>
      <c r="H81" t="n">
        <v>12</v>
      </c>
      <c r="I81" t="s">
        <v>297</v>
      </c>
      <c r="J81" t="n">
        <v>-0.5</v>
      </c>
      <c r="K81" t="n">
        <v>0</v>
      </c>
      <c r="L81" t="n">
        <v>0</v>
      </c>
      <c r="M81" t="n">
        <v>12</v>
      </c>
      <c r="N81" t="n">
        <v>-0.75</v>
      </c>
      <c r="O81" t="n">
        <v>-0.5</v>
      </c>
      <c r="P81" t="n">
        <v>126</v>
      </c>
      <c r="Q81" t="n">
        <v>12</v>
      </c>
      <c r="R81" t="s">
        <v>297</v>
      </c>
      <c r="S81" t="s">
        <v>300</v>
      </c>
      <c r="T81" t="n">
        <v>-1</v>
      </c>
    </row>
    <row r="82">
      <c r="A82" t="s">
        <v>31</v>
      </c>
      <c r="B82" t="n">
        <v>1</v>
      </c>
      <c r="C82" t="n">
        <v>1</v>
      </c>
      <c r="D82" t="n">
        <v>1</v>
      </c>
      <c r="E82" t="n">
        <v>-4.25</v>
      </c>
      <c r="F82" t="n">
        <v>-1</v>
      </c>
      <c r="G82" t="n">
        <v>73</v>
      </c>
      <c r="H82" t="n">
        <v>12</v>
      </c>
      <c r="I82" t="s">
        <v>297</v>
      </c>
      <c r="J82" t="n">
        <v>0</v>
      </c>
      <c r="K82" t="n">
        <v>0</v>
      </c>
      <c r="L82" t="n">
        <v>0</v>
      </c>
      <c r="M82" t="n">
        <v>12</v>
      </c>
      <c r="N82" t="n">
        <v>0</v>
      </c>
      <c r="O82" t="n">
        <v>-0.25</v>
      </c>
      <c r="P82" t="n">
        <v>22</v>
      </c>
      <c r="Q82" t="n">
        <v>12</v>
      </c>
      <c r="R82" t="s">
        <v>297</v>
      </c>
      <c r="S82" t="s">
        <v>297</v>
      </c>
      <c r="T82" t="n">
        <v>-0.125</v>
      </c>
    </row>
    <row r="83">
      <c r="A83" t="s">
        <v>31</v>
      </c>
      <c r="B83" t="n">
        <v>1</v>
      </c>
      <c r="C83" t="n">
        <v>1</v>
      </c>
      <c r="D83" t="n">
        <v>1.25</v>
      </c>
      <c r="E83" t="n">
        <v>-4.5</v>
      </c>
      <c r="F83" t="n">
        <v>-1.25</v>
      </c>
      <c r="G83" t="n">
        <v>168</v>
      </c>
      <c r="H83" t="n">
        <v>12</v>
      </c>
      <c r="I83" t="s">
        <v>297</v>
      </c>
      <c r="J83" t="n">
        <v>0</v>
      </c>
      <c r="K83" t="n">
        <v>0</v>
      </c>
      <c r="L83" t="n">
        <v>0</v>
      </c>
      <c r="M83" t="n">
        <v>12</v>
      </c>
      <c r="N83" t="n">
        <v>-0.5</v>
      </c>
      <c r="O83" t="n">
        <v>-0.25</v>
      </c>
      <c r="P83" t="n">
        <v>15</v>
      </c>
      <c r="Q83" t="n">
        <v>12</v>
      </c>
      <c r="R83" t="s">
        <v>298</v>
      </c>
      <c r="S83" t="s">
        <v>297</v>
      </c>
      <c r="T83" t="n">
        <v>-0.625</v>
      </c>
    </row>
    <row r="84">
      <c r="A84" t="s">
        <v>31</v>
      </c>
      <c r="B84" t="n">
        <v>1</v>
      </c>
      <c r="C84" t="n">
        <v>1</v>
      </c>
      <c r="D84" t="n">
        <v>1</v>
      </c>
      <c r="E84" t="n">
        <v>-4.25</v>
      </c>
      <c r="F84" t="n">
        <v>-0.75</v>
      </c>
      <c r="G84" t="n">
        <v>50</v>
      </c>
      <c r="H84" t="n">
        <v>12</v>
      </c>
      <c r="I84" t="s">
        <v>297</v>
      </c>
      <c r="J84" t="n">
        <v>0</v>
      </c>
      <c r="K84" t="n">
        <v>0</v>
      </c>
      <c r="L84" t="n">
        <v>0</v>
      </c>
      <c r="M84" t="n">
        <v>12</v>
      </c>
      <c r="N84" t="n">
        <v>0</v>
      </c>
      <c r="O84" t="n">
        <v>-0.5</v>
      </c>
      <c r="P84" t="n">
        <v>83</v>
      </c>
      <c r="Q84" t="n">
        <v>12</v>
      </c>
      <c r="R84" t="s">
        <v>297</v>
      </c>
      <c r="S84" t="s">
        <v>297</v>
      </c>
      <c r="T84" t="n">
        <v>-0.25</v>
      </c>
    </row>
    <row r="85">
      <c r="A85" t="s">
        <v>31</v>
      </c>
      <c r="B85" t="n">
        <v>1.25</v>
      </c>
      <c r="C85" t="n">
        <v>1.25</v>
      </c>
      <c r="D85" t="n">
        <v>1.25</v>
      </c>
      <c r="E85" t="n">
        <v>-5.5</v>
      </c>
      <c r="F85" t="n">
        <v>-1.25</v>
      </c>
      <c r="G85" t="n">
        <v>132</v>
      </c>
      <c r="H85" t="n">
        <v>12</v>
      </c>
      <c r="I85" t="s">
        <v>298</v>
      </c>
      <c r="J85" t="n">
        <v>0</v>
      </c>
      <c r="K85" t="n">
        <v>0</v>
      </c>
      <c r="L85" t="n">
        <v>0</v>
      </c>
      <c r="M85" t="n">
        <v>12</v>
      </c>
      <c r="N85" t="n">
        <v>-0.25</v>
      </c>
      <c r="O85" t="n">
        <v>-0.25</v>
      </c>
      <c r="P85" t="n">
        <v>102</v>
      </c>
      <c r="Q85" t="n">
        <v>12</v>
      </c>
      <c r="R85" t="s">
        <v>298</v>
      </c>
      <c r="S85" t="s">
        <v>298</v>
      </c>
      <c r="T85" t="n">
        <v>-0.375</v>
      </c>
    </row>
    <row r="86">
      <c r="A86" t="s">
        <v>31</v>
      </c>
      <c r="B86" t="n">
        <v>1</v>
      </c>
      <c r="C86"/>
      <c r="D86" t="n">
        <v>1</v>
      </c>
      <c r="E86" t="n">
        <v>-3.25</v>
      </c>
      <c r="F86" t="n">
        <v>-1.5</v>
      </c>
      <c r="G86" t="n">
        <v>177</v>
      </c>
      <c r="H86" t="n">
        <v>12</v>
      </c>
      <c r="I86" t="s">
        <v>297</v>
      </c>
      <c r="J86" t="n">
        <v>0</v>
      </c>
      <c r="K86" t="n">
        <v>0</v>
      </c>
      <c r="L86" t="n">
        <v>0</v>
      </c>
      <c r="M86" t="n">
        <v>12</v>
      </c>
      <c r="N86" t="n">
        <v>0.25</v>
      </c>
      <c r="O86" t="n">
        <v>-0.25</v>
      </c>
      <c r="P86" t="n">
        <v>129</v>
      </c>
      <c r="Q86" t="n">
        <v>12</v>
      </c>
      <c r="R86" t="s">
        <v>297</v>
      </c>
      <c r="S86" t="s">
        <v>109</v>
      </c>
      <c r="T86" t="n">
        <v>0.125</v>
      </c>
    </row>
    <row r="87">
      <c r="A87" t="s">
        <v>31</v>
      </c>
      <c r="B87" t="n">
        <v>1.25</v>
      </c>
      <c r="C87" t="n">
        <v>1</v>
      </c>
      <c r="D87" t="n">
        <v>1</v>
      </c>
      <c r="E87" t="n">
        <v>-2.75</v>
      </c>
      <c r="F87" t="n">
        <v>-1.5</v>
      </c>
      <c r="G87" t="n">
        <v>153</v>
      </c>
      <c r="H87" t="n">
        <v>12</v>
      </c>
      <c r="I87" t="s">
        <v>298</v>
      </c>
      <c r="J87" t="n">
        <v>0</v>
      </c>
      <c r="K87" t="n">
        <v>0</v>
      </c>
      <c r="L87" t="n">
        <v>0</v>
      </c>
      <c r="M87" t="n">
        <v>12</v>
      </c>
      <c r="N87" t="n">
        <v>0.25</v>
      </c>
      <c r="O87" t="n">
        <v>-0.25</v>
      </c>
      <c r="P87" t="n">
        <v>115</v>
      </c>
      <c r="Q87" t="n">
        <v>12</v>
      </c>
      <c r="R87" t="s">
        <v>297</v>
      </c>
      <c r="S87" t="s">
        <v>297</v>
      </c>
      <c r="T87" t="n">
        <v>0.125</v>
      </c>
    </row>
    <row r="88">
      <c r="A88" t="s">
        <v>31</v>
      </c>
      <c r="B88" t="n">
        <v>1</v>
      </c>
      <c r="C88" t="n">
        <v>0.8</v>
      </c>
      <c r="D88" t="n">
        <v>1</v>
      </c>
      <c r="E88" t="n">
        <v>-5.75</v>
      </c>
      <c r="F88" t="n">
        <v>-0.5</v>
      </c>
      <c r="G88" t="n">
        <v>140</v>
      </c>
      <c r="H88" t="n">
        <v>12</v>
      </c>
      <c r="I88" t="s">
        <v>297</v>
      </c>
      <c r="J88" t="n">
        <v>0</v>
      </c>
      <c r="K88" t="n">
        <v>0</v>
      </c>
      <c r="L88" t="n">
        <v>0</v>
      </c>
      <c r="M88" t="n">
        <v>12</v>
      </c>
      <c r="N88" t="n">
        <v>-0.5</v>
      </c>
      <c r="O88" t="n">
        <v>0</v>
      </c>
      <c r="P88" t="n">
        <v>150</v>
      </c>
      <c r="Q88" t="n">
        <v>12</v>
      </c>
      <c r="R88" t="s">
        <v>297</v>
      </c>
      <c r="S88" t="s">
        <v>296</v>
      </c>
      <c r="T88" t="n">
        <v>-0.5</v>
      </c>
    </row>
    <row r="89">
      <c r="A89" t="s">
        <v>31</v>
      </c>
      <c r="B89" t="n">
        <v>1</v>
      </c>
      <c r="C89" t="n">
        <v>0.5</v>
      </c>
      <c r="D89" t="n">
        <v>0.8</v>
      </c>
      <c r="E89" t="n">
        <v>-5.5</v>
      </c>
      <c r="F89" t="n">
        <v>-0.75</v>
      </c>
      <c r="G89" t="n">
        <v>41</v>
      </c>
      <c r="H89" t="n">
        <v>12</v>
      </c>
      <c r="I89" t="s">
        <v>297</v>
      </c>
      <c r="J89" t="n">
        <v>0</v>
      </c>
      <c r="K89" t="n">
        <v>0</v>
      </c>
      <c r="L89" t="n">
        <v>0</v>
      </c>
      <c r="M89" t="n">
        <v>12</v>
      </c>
      <c r="N89" t="n">
        <v>-0.75</v>
      </c>
      <c r="O89" t="n">
        <v>0</v>
      </c>
      <c r="P89" t="n">
        <v>140</v>
      </c>
      <c r="Q89" t="n">
        <v>12</v>
      </c>
      <c r="R89" t="s">
        <v>296</v>
      </c>
      <c r="S89" t="s">
        <v>300</v>
      </c>
      <c r="T89" t="n">
        <v>-0.75</v>
      </c>
    </row>
    <row r="90">
      <c r="A90" t="s">
        <v>31</v>
      </c>
      <c r="B90" t="n">
        <v>1.25</v>
      </c>
      <c r="C90" t="n">
        <v>1.25</v>
      </c>
      <c r="D90" t="n">
        <v>1.25</v>
      </c>
      <c r="E90" t="n">
        <v>-2.75</v>
      </c>
      <c r="F90" t="n">
        <v>-1.25</v>
      </c>
      <c r="G90" t="n">
        <v>2</v>
      </c>
      <c r="H90" t="n">
        <v>12</v>
      </c>
      <c r="I90" t="s">
        <v>298</v>
      </c>
      <c r="J90" t="n">
        <v>0</v>
      </c>
      <c r="K90" t="n">
        <v>0</v>
      </c>
      <c r="L90" t="n">
        <v>0</v>
      </c>
      <c r="M90" t="n">
        <v>12</v>
      </c>
      <c r="N90" t="n">
        <v>0</v>
      </c>
      <c r="O90" t="n">
        <v>-0.25</v>
      </c>
      <c r="P90" t="n">
        <v>58</v>
      </c>
      <c r="Q90" t="n">
        <v>12</v>
      </c>
      <c r="R90" t="s">
        <v>298</v>
      </c>
      <c r="S90" t="s">
        <v>298</v>
      </c>
      <c r="T90" t="n">
        <v>-0.125</v>
      </c>
    </row>
    <row r="91">
      <c r="A91" t="s">
        <v>31</v>
      </c>
      <c r="B91" t="n">
        <v>1.25</v>
      </c>
      <c r="C91" t="n">
        <v>1.25</v>
      </c>
      <c r="D91" t="n">
        <v>1.6</v>
      </c>
      <c r="E91" t="n">
        <v>-2.75</v>
      </c>
      <c r="F91" t="n">
        <v>-1.5</v>
      </c>
      <c r="G91" t="n">
        <v>165</v>
      </c>
      <c r="H91" t="n">
        <v>12</v>
      </c>
      <c r="I91" t="s">
        <v>298</v>
      </c>
      <c r="J91" t="n">
        <v>0</v>
      </c>
      <c r="K91" t="n">
        <v>0</v>
      </c>
      <c r="L91" t="n">
        <v>0</v>
      </c>
      <c r="M91" t="n">
        <v>12</v>
      </c>
      <c r="N91" t="n">
        <v>-0.25</v>
      </c>
      <c r="O91" t="n">
        <v>-0.25</v>
      </c>
      <c r="P91" t="n">
        <v>166</v>
      </c>
      <c r="Q91" t="n">
        <v>12</v>
      </c>
      <c r="R91" t="s">
        <v>299</v>
      </c>
      <c r="S91" t="s">
        <v>298</v>
      </c>
      <c r="T91" t="n">
        <v>-0.375</v>
      </c>
    </row>
    <row r="92">
      <c r="A92" t="s">
        <v>31</v>
      </c>
      <c r="B92" t="n">
        <v>1</v>
      </c>
      <c r="C92" t="n">
        <v>1</v>
      </c>
      <c r="D92" t="n">
        <v>1</v>
      </c>
      <c r="E92" t="n">
        <v>-3.5</v>
      </c>
      <c r="F92" t="n">
        <v>-0.25</v>
      </c>
      <c r="G92" t="n">
        <v>90</v>
      </c>
      <c r="H92" t="n">
        <v>12</v>
      </c>
      <c r="I92" t="s">
        <v>297</v>
      </c>
      <c r="J92" t="n">
        <v>0</v>
      </c>
      <c r="K92" t="n">
        <v>0</v>
      </c>
      <c r="L92" t="n">
        <v>0</v>
      </c>
      <c r="M92" t="n">
        <v>12</v>
      </c>
      <c r="N92" t="n">
        <v>0.25</v>
      </c>
      <c r="O92" t="n">
        <v>-0.25</v>
      </c>
      <c r="P92" t="n">
        <v>147</v>
      </c>
      <c r="Q92" t="n">
        <v>12</v>
      </c>
      <c r="R92" t="s">
        <v>297</v>
      </c>
      <c r="S92" t="s">
        <v>297</v>
      </c>
      <c r="T92" t="n">
        <v>0.125</v>
      </c>
    </row>
    <row r="93">
      <c r="A93" t="s">
        <v>31</v>
      </c>
      <c r="B93" t="n">
        <v>1.25</v>
      </c>
      <c r="C93" t="n">
        <v>0.8</v>
      </c>
      <c r="D93" t="n">
        <v>1.25</v>
      </c>
      <c r="E93" t="n">
        <v>-1.75</v>
      </c>
      <c r="F93" t="n">
        <v>-1</v>
      </c>
      <c r="G93" t="n">
        <v>82</v>
      </c>
      <c r="H93" t="n">
        <v>12</v>
      </c>
      <c r="I93" t="s">
        <v>298</v>
      </c>
      <c r="J93" t="n">
        <v>0</v>
      </c>
      <c r="K93" t="n">
        <v>0</v>
      </c>
      <c r="L93" t="n">
        <v>0</v>
      </c>
      <c r="M93" t="n">
        <v>12</v>
      </c>
      <c r="N93" t="n">
        <v>-0.75</v>
      </c>
      <c r="O93" t="n">
        <v>-0.25</v>
      </c>
      <c r="P93" t="n">
        <v>99</v>
      </c>
      <c r="Q93" t="n">
        <v>12</v>
      </c>
      <c r="R93" t="s">
        <v>298</v>
      </c>
      <c r="S93" t="s">
        <v>296</v>
      </c>
      <c r="T93" t="n">
        <v>-0.875</v>
      </c>
    </row>
    <row r="94">
      <c r="A94" t="s">
        <v>31</v>
      </c>
      <c r="B94" t="n">
        <v>1.25</v>
      </c>
      <c r="C94" t="n">
        <v>0.8</v>
      </c>
      <c r="D94" t="n">
        <v>1.25</v>
      </c>
      <c r="E94" t="n">
        <v>-1.5</v>
      </c>
      <c r="F94" t="n">
        <v>-1</v>
      </c>
      <c r="G94" t="n">
        <v>80</v>
      </c>
      <c r="H94" t="n">
        <v>12</v>
      </c>
      <c r="I94" t="s">
        <v>298</v>
      </c>
      <c r="J94" t="n">
        <v>-0.75</v>
      </c>
      <c r="K94" t="n">
        <v>0</v>
      </c>
      <c r="L94" t="n">
        <v>0</v>
      </c>
      <c r="M94" t="n">
        <v>12</v>
      </c>
      <c r="N94" t="n">
        <v>-0.75</v>
      </c>
      <c r="O94" t="n">
        <v>-0.5</v>
      </c>
      <c r="P94" t="n">
        <v>36</v>
      </c>
      <c r="Q94" t="n">
        <v>12</v>
      </c>
      <c r="R94" t="s">
        <v>298</v>
      </c>
      <c r="S94" t="s">
        <v>296</v>
      </c>
      <c r="T94" t="n">
        <v>-1</v>
      </c>
    </row>
    <row r="95">
      <c r="A95" t="s">
        <v>31</v>
      </c>
      <c r="B95" t="n">
        <v>1.25</v>
      </c>
      <c r="C95" t="n">
        <v>1.25</v>
      </c>
      <c r="D95" t="n">
        <v>1.25</v>
      </c>
      <c r="E95" t="n">
        <v>-0.25</v>
      </c>
      <c r="F95" t="n">
        <v>-0.5</v>
      </c>
      <c r="G95" t="n">
        <v>165</v>
      </c>
      <c r="H95" t="n">
        <v>12</v>
      </c>
      <c r="I95" t="s">
        <v>298</v>
      </c>
      <c r="J95" t="n">
        <v>0</v>
      </c>
      <c r="K95" t="n">
        <v>0</v>
      </c>
      <c r="L95" t="n">
        <v>0</v>
      </c>
      <c r="M95" t="n">
        <v>12</v>
      </c>
      <c r="N95" t="n">
        <v>0</v>
      </c>
      <c r="O95" t="n">
        <v>-0.25</v>
      </c>
      <c r="P95" t="n">
        <v>155</v>
      </c>
      <c r="Q95" t="n">
        <v>12</v>
      </c>
      <c r="R95" t="s">
        <v>298</v>
      </c>
      <c r="S95" t="s">
        <v>298</v>
      </c>
      <c r="T95" t="n">
        <v>-0.125</v>
      </c>
    </row>
    <row r="96">
      <c r="A96" t="s">
        <v>31</v>
      </c>
      <c r="B96" t="n">
        <v>1</v>
      </c>
      <c r="C96" t="n">
        <v>1</v>
      </c>
      <c r="D96" t="n">
        <v>1</v>
      </c>
      <c r="E96" t="n">
        <v>-6.5</v>
      </c>
      <c r="F96" t="n">
        <v>-1.25</v>
      </c>
      <c r="G96" t="n">
        <v>5</v>
      </c>
      <c r="H96" t="n">
        <v>12</v>
      </c>
      <c r="I96" t="s">
        <v>297</v>
      </c>
      <c r="J96" t="n">
        <v>0</v>
      </c>
      <c r="K96" t="n">
        <v>0</v>
      </c>
      <c r="L96" t="n">
        <v>0</v>
      </c>
      <c r="M96" t="n">
        <v>12</v>
      </c>
      <c r="N96" t="n">
        <v>-0.25</v>
      </c>
      <c r="O96" t="n">
        <v>-0.25</v>
      </c>
      <c r="P96" t="n">
        <v>135</v>
      </c>
      <c r="Q96" t="n">
        <v>12</v>
      </c>
      <c r="R96" t="s">
        <v>297</v>
      </c>
      <c r="S96" t="s">
        <v>297</v>
      </c>
      <c r="T96" t="n">
        <v>-0.375</v>
      </c>
    </row>
    <row r="97">
      <c r="A97" t="s">
        <v>31</v>
      </c>
      <c r="B97" t="n">
        <v>1.25</v>
      </c>
      <c r="C97" t="n">
        <v>1.25</v>
      </c>
      <c r="D97" t="n">
        <v>1.25</v>
      </c>
      <c r="E97" t="n">
        <v>-5.75</v>
      </c>
      <c r="F97" t="n">
        <v>-0.5</v>
      </c>
      <c r="G97" t="n">
        <v>14</v>
      </c>
      <c r="H97" t="n">
        <v>12</v>
      </c>
      <c r="I97" t="s">
        <v>298</v>
      </c>
      <c r="J97" t="n">
        <v>0</v>
      </c>
      <c r="K97" t="n">
        <v>0</v>
      </c>
      <c r="L97" t="n">
        <v>0</v>
      </c>
      <c r="M97" t="n">
        <v>12</v>
      </c>
      <c r="N97" t="n">
        <v>0</v>
      </c>
      <c r="O97" t="n">
        <v>-0.25</v>
      </c>
      <c r="P97" t="n">
        <v>144</v>
      </c>
      <c r="Q97" t="n">
        <v>12</v>
      </c>
      <c r="R97" t="s">
        <v>298</v>
      </c>
      <c r="S97" t="s">
        <v>298</v>
      </c>
      <c r="T97" t="n">
        <v>-0.125</v>
      </c>
    </row>
    <row r="98">
      <c r="A98" t="s">
        <v>31</v>
      </c>
      <c r="B98" t="n">
        <v>1</v>
      </c>
      <c r="C98" t="n">
        <v>1</v>
      </c>
      <c r="D98" t="n">
        <v>1</v>
      </c>
      <c r="E98" t="n">
        <v>-6.5</v>
      </c>
      <c r="F98" t="n">
        <v>-0.75</v>
      </c>
      <c r="G98" t="n">
        <v>160</v>
      </c>
      <c r="H98" t="n">
        <v>12</v>
      </c>
      <c r="I98" t="s">
        <v>297</v>
      </c>
      <c r="J98" t="n">
        <v>0</v>
      </c>
      <c r="K98" t="n">
        <v>0</v>
      </c>
      <c r="L98" t="n">
        <v>0</v>
      </c>
      <c r="M98" t="n">
        <v>12</v>
      </c>
      <c r="N98" t="n">
        <v>-0.25</v>
      </c>
      <c r="O98" t="n">
        <v>-0.25</v>
      </c>
      <c r="P98" t="n">
        <v>170</v>
      </c>
      <c r="Q98" t="n">
        <v>12</v>
      </c>
      <c r="R98" t="s">
        <v>297</v>
      </c>
      <c r="S98" t="s">
        <v>297</v>
      </c>
      <c r="T98" t="n">
        <v>-0.375</v>
      </c>
    </row>
    <row r="99">
      <c r="A99" t="s">
        <v>31</v>
      </c>
      <c r="B99" t="n">
        <v>1</v>
      </c>
      <c r="C99" t="n">
        <v>1</v>
      </c>
      <c r="D99" t="n">
        <v>1</v>
      </c>
      <c r="E99" t="n">
        <v>-4.25</v>
      </c>
      <c r="F99" t="n">
        <v>-0.75</v>
      </c>
      <c r="G99" t="n">
        <v>21</v>
      </c>
      <c r="H99" t="n">
        <v>12</v>
      </c>
      <c r="I99" t="s">
        <v>297</v>
      </c>
      <c r="J99" t="n">
        <v>0</v>
      </c>
      <c r="K99" t="n">
        <v>0</v>
      </c>
      <c r="L99" t="n">
        <v>0</v>
      </c>
      <c r="M99" t="n">
        <v>12</v>
      </c>
      <c r="N99" t="n">
        <v>-0.25</v>
      </c>
      <c r="O99" t="n">
        <v>-0.25</v>
      </c>
      <c r="P99" t="n">
        <v>177</v>
      </c>
      <c r="Q99" t="n">
        <v>12</v>
      </c>
      <c r="R99" t="s">
        <v>297</v>
      </c>
      <c r="S99" t="s">
        <v>297</v>
      </c>
      <c r="T99" t="n">
        <v>-0.375</v>
      </c>
    </row>
    <row r="100">
      <c r="A100" t="s">
        <v>31</v>
      </c>
      <c r="B100" t="n">
        <v>1.25</v>
      </c>
      <c r="C100" t="n">
        <v>1.25</v>
      </c>
      <c r="D100" t="n">
        <v>1.25</v>
      </c>
      <c r="E100" t="n">
        <v>-1</v>
      </c>
      <c r="F100" t="n">
        <v>-0.75</v>
      </c>
      <c r="G100" t="n">
        <v>21</v>
      </c>
      <c r="H100" t="n">
        <v>12</v>
      </c>
      <c r="I100" t="s">
        <v>298</v>
      </c>
      <c r="J100" t="n">
        <v>0</v>
      </c>
      <c r="K100" t="n">
        <v>0</v>
      </c>
      <c r="L100" t="n">
        <v>0</v>
      </c>
      <c r="M100" t="n">
        <v>12</v>
      </c>
      <c r="N100" t="n">
        <v>0.25</v>
      </c>
      <c r="O100" t="n">
        <v>0</v>
      </c>
      <c r="P100" t="n">
        <v>180</v>
      </c>
      <c r="Q100" t="n">
        <v>12</v>
      </c>
      <c r="R100" t="s">
        <v>298</v>
      </c>
      <c r="S100" t="s">
        <v>298</v>
      </c>
      <c r="T100" t="n">
        <v>0.25</v>
      </c>
    </row>
    <row r="101">
      <c r="A101" t="s">
        <v>31</v>
      </c>
      <c r="B101" t="n">
        <v>1</v>
      </c>
      <c r="C101" t="n">
        <v>1</v>
      </c>
      <c r="D101" t="n">
        <v>1</v>
      </c>
      <c r="E101" t="n">
        <v>-0.75</v>
      </c>
      <c r="F101" t="n">
        <v>-0.5</v>
      </c>
      <c r="G101" t="n">
        <v>166</v>
      </c>
      <c r="H101" t="n">
        <v>12</v>
      </c>
      <c r="I101" t="s">
        <v>297</v>
      </c>
      <c r="J101" t="n">
        <v>0</v>
      </c>
      <c r="K101" t="n">
        <v>0</v>
      </c>
      <c r="L101" t="n">
        <v>0</v>
      </c>
      <c r="M101" t="n">
        <v>12</v>
      </c>
      <c r="N101" t="n">
        <v>0.5</v>
      </c>
      <c r="O101" t="n">
        <v>-0.25</v>
      </c>
      <c r="P101" t="n">
        <v>26</v>
      </c>
      <c r="Q101" t="n">
        <v>12</v>
      </c>
      <c r="R101" t="s">
        <v>297</v>
      </c>
      <c r="S101" t="s">
        <v>297</v>
      </c>
      <c r="T101" t="n">
        <v>0.375</v>
      </c>
    </row>
    <row r="102">
      <c r="A102" t="s">
        <v>31</v>
      </c>
      <c r="B102" t="n">
        <v>1.25</v>
      </c>
      <c r="C102" t="n">
        <v>1.25</v>
      </c>
      <c r="D102" t="n">
        <v>1.25</v>
      </c>
      <c r="E102" t="n">
        <v>-0.25</v>
      </c>
      <c r="F102" t="n">
        <v>-0.75</v>
      </c>
      <c r="G102" t="n">
        <v>43</v>
      </c>
      <c r="H102" t="n">
        <v>12</v>
      </c>
      <c r="I102" t="s">
        <v>298</v>
      </c>
      <c r="J102" t="n">
        <v>0</v>
      </c>
      <c r="K102" t="n">
        <v>0</v>
      </c>
      <c r="L102" t="n">
        <v>0</v>
      </c>
      <c r="M102" t="n">
        <v>12</v>
      </c>
      <c r="N102" t="n">
        <v>-0.25</v>
      </c>
      <c r="O102" t="n">
        <v>-0.25</v>
      </c>
      <c r="P102" t="n">
        <v>180</v>
      </c>
      <c r="Q102" t="n">
        <v>12</v>
      </c>
      <c r="R102" t="s">
        <v>298</v>
      </c>
      <c r="S102" t="s">
        <v>298</v>
      </c>
      <c r="T102" t="n">
        <v>-0.375</v>
      </c>
    </row>
    <row r="103">
      <c r="A103" t="s">
        <v>31</v>
      </c>
      <c r="B103" t="n">
        <v>1.25</v>
      </c>
      <c r="C103" t="n">
        <v>1.25</v>
      </c>
      <c r="D103" t="n">
        <v>1.25</v>
      </c>
      <c r="E103" t="n">
        <v>-1.5</v>
      </c>
      <c r="F103" t="n">
        <v>-0.5</v>
      </c>
      <c r="G103" t="n">
        <v>141</v>
      </c>
      <c r="H103" t="n">
        <v>12</v>
      </c>
      <c r="I103" t="s">
        <v>298</v>
      </c>
      <c r="J103" t="n">
        <v>0</v>
      </c>
      <c r="K103" t="n">
        <v>0</v>
      </c>
      <c r="L103" t="n">
        <v>0</v>
      </c>
      <c r="M103" t="n">
        <v>12</v>
      </c>
      <c r="N103" t="n">
        <v>0</v>
      </c>
      <c r="O103" t="n">
        <v>0</v>
      </c>
      <c r="P103" t="n">
        <v>162</v>
      </c>
      <c r="Q103" t="n">
        <v>12</v>
      </c>
      <c r="R103" t="s">
        <v>298</v>
      </c>
      <c r="S103" t="s">
        <v>298</v>
      </c>
      <c r="T103" t="n">
        <v>0</v>
      </c>
    </row>
    <row r="104">
      <c r="A104" t="s">
        <v>31</v>
      </c>
      <c r="B104" t="n">
        <v>1.6</v>
      </c>
      <c r="C104" t="n">
        <v>1.6</v>
      </c>
      <c r="D104" t="n">
        <v>1.6</v>
      </c>
      <c r="E104" t="n">
        <v>-5</v>
      </c>
      <c r="F104" t="n">
        <v>0</v>
      </c>
      <c r="G104" t="n">
        <v>14</v>
      </c>
      <c r="H104" t="n">
        <v>12</v>
      </c>
      <c r="I104" t="s">
        <v>299</v>
      </c>
      <c r="J104" t="n">
        <v>0</v>
      </c>
      <c r="K104" t="n">
        <v>0</v>
      </c>
      <c r="L104" t="n">
        <v>0</v>
      </c>
      <c r="M104" t="n">
        <v>12</v>
      </c>
      <c r="N104" t="n">
        <v>0</v>
      </c>
      <c r="O104" t="n">
        <v>-0.25</v>
      </c>
      <c r="P104" t="n">
        <v>29</v>
      </c>
      <c r="Q104" t="n">
        <v>12</v>
      </c>
      <c r="R104" t="s">
        <v>299</v>
      </c>
      <c r="S104" t="s">
        <v>299</v>
      </c>
      <c r="T104" t="n">
        <v>-0.125</v>
      </c>
    </row>
    <row r="105">
      <c r="A105" t="s">
        <v>31</v>
      </c>
      <c r="B105" t="n">
        <v>1.25</v>
      </c>
      <c r="C105" t="n">
        <v>1</v>
      </c>
      <c r="D105" t="n">
        <v>1.25</v>
      </c>
      <c r="E105" t="n">
        <v>-1.75</v>
      </c>
      <c r="F105" t="n">
        <v>-0.25</v>
      </c>
      <c r="G105" t="n">
        <v>23</v>
      </c>
      <c r="H105" t="n">
        <v>12</v>
      </c>
      <c r="I105" t="s">
        <v>298</v>
      </c>
      <c r="J105" t="n">
        <v>0</v>
      </c>
      <c r="K105" t="n">
        <v>0</v>
      </c>
      <c r="L105" t="n">
        <v>0</v>
      </c>
      <c r="M105" t="n">
        <v>12</v>
      </c>
      <c r="N105" t="n">
        <v>-0.5</v>
      </c>
      <c r="O105" t="n">
        <v>-0.25</v>
      </c>
      <c r="P105" t="n">
        <v>43</v>
      </c>
      <c r="Q105" t="n">
        <v>12</v>
      </c>
      <c r="R105" t="s">
        <v>298</v>
      </c>
      <c r="S105" t="s">
        <v>297</v>
      </c>
      <c r="T105" t="n">
        <v>-0.625</v>
      </c>
    </row>
    <row r="106">
      <c r="A106" t="s">
        <v>31</v>
      </c>
      <c r="B106" t="n">
        <v>1</v>
      </c>
      <c r="C106" t="n">
        <v>0.5</v>
      </c>
      <c r="D106" t="n">
        <v>1</v>
      </c>
      <c r="E106" t="n">
        <v>-6.75</v>
      </c>
      <c r="F106" t="n">
        <v>-0.75</v>
      </c>
      <c r="G106" t="n">
        <v>163</v>
      </c>
      <c r="H106" t="n">
        <v>12</v>
      </c>
      <c r="I106" t="s">
        <v>297</v>
      </c>
      <c r="J106" t="n">
        <v>0</v>
      </c>
      <c r="K106" t="n">
        <v>0</v>
      </c>
      <c r="L106" t="n">
        <v>0</v>
      </c>
      <c r="M106" t="n">
        <v>12</v>
      </c>
      <c r="N106" t="n">
        <v>-1</v>
      </c>
      <c r="O106" t="n">
        <v>-0.25</v>
      </c>
      <c r="P106" t="n">
        <v>153</v>
      </c>
      <c r="Q106" t="n">
        <v>12</v>
      </c>
      <c r="R106" t="s">
        <v>297</v>
      </c>
      <c r="S106" t="s">
        <v>300</v>
      </c>
      <c r="T106" t="n">
        <v>-1.125</v>
      </c>
    </row>
    <row r="107">
      <c r="A107" t="s">
        <v>31</v>
      </c>
      <c r="B107" t="n">
        <v>1</v>
      </c>
      <c r="C107" t="n">
        <v>0.63</v>
      </c>
      <c r="D107" t="n">
        <v>1</v>
      </c>
      <c r="E107" t="n">
        <v>-6.5</v>
      </c>
      <c r="F107" t="n">
        <v>-0.75</v>
      </c>
      <c r="G107" t="n">
        <v>5</v>
      </c>
      <c r="H107" t="n">
        <v>12</v>
      </c>
      <c r="I107" t="s">
        <v>297</v>
      </c>
      <c r="J107" t="n">
        <v>0</v>
      </c>
      <c r="K107" t="n">
        <v>0</v>
      </c>
      <c r="L107" t="n">
        <v>0</v>
      </c>
      <c r="M107" t="n">
        <v>12</v>
      </c>
      <c r="N107" t="n">
        <v>-0.5</v>
      </c>
      <c r="O107" t="n">
        <v>-0.25</v>
      </c>
      <c r="P107" t="n">
        <v>162</v>
      </c>
      <c r="Q107" t="n">
        <v>12</v>
      </c>
      <c r="R107" t="s">
        <v>297</v>
      </c>
      <c r="S107" t="s">
        <v>301</v>
      </c>
      <c r="T107" t="n">
        <v>-0.625</v>
      </c>
    </row>
    <row r="108">
      <c r="A108" t="s">
        <v>31</v>
      </c>
      <c r="B108" t="n">
        <v>1</v>
      </c>
      <c r="C108" t="n">
        <v>1</v>
      </c>
      <c r="D108" t="n">
        <v>1</v>
      </c>
      <c r="E108" t="n">
        <v>-6</v>
      </c>
      <c r="F108" t="n">
        <v>-1.5</v>
      </c>
      <c r="G108" t="n">
        <v>124</v>
      </c>
      <c r="H108" t="n">
        <v>12</v>
      </c>
      <c r="I108" t="s">
        <v>297</v>
      </c>
      <c r="J108" t="n">
        <v>0</v>
      </c>
      <c r="K108" t="n">
        <v>0</v>
      </c>
      <c r="L108" t="n">
        <v>0</v>
      </c>
      <c r="M108" t="n">
        <v>12</v>
      </c>
      <c r="N108" t="n">
        <v>0</v>
      </c>
      <c r="O108" t="n">
        <v>-0.5</v>
      </c>
      <c r="P108" t="n">
        <v>105</v>
      </c>
      <c r="Q108" t="n">
        <v>12</v>
      </c>
      <c r="R108" t="s">
        <v>297</v>
      </c>
      <c r="S108" t="s">
        <v>297</v>
      </c>
      <c r="T108" t="n">
        <v>-0.25</v>
      </c>
    </row>
    <row r="109">
      <c r="A109" t="s">
        <v>31</v>
      </c>
      <c r="B109" t="n">
        <v>1</v>
      </c>
      <c r="C109" t="n">
        <v>1</v>
      </c>
      <c r="D109" t="n">
        <v>1.25</v>
      </c>
      <c r="E109" t="n">
        <v>-5</v>
      </c>
      <c r="F109" t="n">
        <v>-1</v>
      </c>
      <c r="G109" t="n">
        <v>55</v>
      </c>
      <c r="H109" t="n">
        <v>12</v>
      </c>
      <c r="I109" t="s">
        <v>297</v>
      </c>
      <c r="J109" t="n">
        <v>0</v>
      </c>
      <c r="K109" t="n">
        <v>0</v>
      </c>
      <c r="L109" t="n">
        <v>0</v>
      </c>
      <c r="M109" t="n">
        <v>12</v>
      </c>
      <c r="N109" t="n">
        <v>-0.5</v>
      </c>
      <c r="O109" t="n">
        <v>-0.25</v>
      </c>
      <c r="P109" t="n">
        <v>58</v>
      </c>
      <c r="Q109" t="n">
        <v>12</v>
      </c>
      <c r="R109" t="s">
        <v>298</v>
      </c>
      <c r="S109" t="s">
        <v>297</v>
      </c>
      <c r="T109" t="n">
        <v>-0.625</v>
      </c>
    </row>
    <row r="110">
      <c r="A110" t="s">
        <v>31</v>
      </c>
      <c r="B110" t="n">
        <v>1</v>
      </c>
      <c r="C110" t="n">
        <v>0.63</v>
      </c>
      <c r="D110" t="n">
        <v>1.25</v>
      </c>
      <c r="E110" t="n">
        <v>-2.5</v>
      </c>
      <c r="F110" t="n">
        <v>-0.25</v>
      </c>
      <c r="G110" t="n">
        <v>4</v>
      </c>
      <c r="H110" t="n">
        <v>12</v>
      </c>
      <c r="I110" t="s">
        <v>297</v>
      </c>
      <c r="J110" t="n">
        <v>0</v>
      </c>
      <c r="K110" t="n">
        <v>0</v>
      </c>
      <c r="L110" t="n">
        <v>0</v>
      </c>
      <c r="M110" t="n">
        <v>12</v>
      </c>
      <c r="N110" t="n">
        <v>-1</v>
      </c>
      <c r="O110" t="n">
        <v>0</v>
      </c>
      <c r="P110" t="n">
        <v>154</v>
      </c>
      <c r="Q110" t="n">
        <v>12</v>
      </c>
      <c r="R110" t="s">
        <v>298</v>
      </c>
      <c r="S110" t="s">
        <v>301</v>
      </c>
      <c r="T110" t="n">
        <v>-1</v>
      </c>
    </row>
    <row r="111">
      <c r="A111" t="s">
        <v>31</v>
      </c>
      <c r="B111" t="n">
        <v>0.8</v>
      </c>
      <c r="C111" t="n">
        <v>0.5</v>
      </c>
      <c r="D111" t="n">
        <v>0.8</v>
      </c>
      <c r="E111" t="n">
        <v>-2.25</v>
      </c>
      <c r="F111" t="n">
        <v>-0.5</v>
      </c>
      <c r="G111" t="n">
        <v>95</v>
      </c>
      <c r="H111" t="n">
        <v>12</v>
      </c>
      <c r="I111" t="s">
        <v>296</v>
      </c>
      <c r="J111" t="n">
        <v>-0.75</v>
      </c>
      <c r="K111" t="n">
        <v>0</v>
      </c>
      <c r="L111" t="n">
        <v>0</v>
      </c>
      <c r="M111" t="n">
        <v>12</v>
      </c>
      <c r="N111" t="n">
        <v>-1</v>
      </c>
      <c r="O111" t="n">
        <v>-0.25</v>
      </c>
      <c r="P111" t="n">
        <v>62</v>
      </c>
      <c r="Q111" t="n">
        <v>12</v>
      </c>
      <c r="R111" t="s">
        <v>296</v>
      </c>
      <c r="S111" t="s">
        <v>300</v>
      </c>
      <c r="T111" t="n">
        <v>-1.125</v>
      </c>
    </row>
    <row r="112">
      <c r="A112" t="s">
        <v>31</v>
      </c>
      <c r="B112" t="n">
        <v>1</v>
      </c>
      <c r="C112" t="n">
        <v>1</v>
      </c>
      <c r="D112" t="n">
        <v>1</v>
      </c>
      <c r="E112" t="n">
        <v>-2</v>
      </c>
      <c r="F112" t="n">
        <v>-0.25</v>
      </c>
      <c r="G112" t="n">
        <v>85</v>
      </c>
      <c r="H112" t="n">
        <v>12</v>
      </c>
      <c r="I112" t="s">
        <v>297</v>
      </c>
      <c r="J112" t="n">
        <v>0</v>
      </c>
      <c r="K112" t="n">
        <v>0</v>
      </c>
      <c r="L112" t="n">
        <v>0</v>
      </c>
      <c r="M112" t="n">
        <v>12</v>
      </c>
      <c r="N112" t="n">
        <v>-0.25</v>
      </c>
      <c r="O112" t="n">
        <v>0</v>
      </c>
      <c r="P112" t="n">
        <v>142</v>
      </c>
      <c r="Q112" t="n">
        <v>12</v>
      </c>
      <c r="R112" t="s">
        <v>297</v>
      </c>
      <c r="S112" t="s">
        <v>297</v>
      </c>
      <c r="T112" t="n">
        <v>-0.25</v>
      </c>
    </row>
    <row r="113">
      <c r="A113" t="s">
        <v>31</v>
      </c>
      <c r="B113" t="n">
        <v>1</v>
      </c>
      <c r="C113" t="n">
        <v>0.8</v>
      </c>
      <c r="D113" t="n">
        <v>1.6</v>
      </c>
      <c r="E113" t="n">
        <v>-7.5</v>
      </c>
      <c r="F113" t="n">
        <v>-0.75</v>
      </c>
      <c r="G113" t="n">
        <v>129</v>
      </c>
      <c r="H113" t="n">
        <v>12</v>
      </c>
      <c r="I113" t="s">
        <v>297</v>
      </c>
      <c r="J113" t="n">
        <v>-1</v>
      </c>
      <c r="K113" t="n">
        <v>0</v>
      </c>
      <c r="L113" t="n">
        <v>0</v>
      </c>
      <c r="M113" t="n">
        <v>12</v>
      </c>
      <c r="N113" t="n">
        <v>-1</v>
      </c>
      <c r="O113" t="n">
        <v>-0.25</v>
      </c>
      <c r="P113" t="n">
        <v>99</v>
      </c>
      <c r="Q113" t="n">
        <v>12</v>
      </c>
      <c r="R113" t="s">
        <v>299</v>
      </c>
      <c r="S113" t="s">
        <v>296</v>
      </c>
      <c r="T113" t="n">
        <v>-1.125</v>
      </c>
    </row>
    <row r="114">
      <c r="A114" t="s">
        <v>31</v>
      </c>
      <c r="B114" t="n">
        <v>1</v>
      </c>
      <c r="C114" t="n">
        <v>1.6</v>
      </c>
      <c r="D114" t="n">
        <v>1.6</v>
      </c>
      <c r="E114" t="n">
        <v>-7.5</v>
      </c>
      <c r="F114" t="n">
        <v>-0.75</v>
      </c>
      <c r="G114" t="n">
        <v>64</v>
      </c>
      <c r="H114" t="n">
        <v>12</v>
      </c>
      <c r="I114" t="s">
        <v>297</v>
      </c>
      <c r="J114" t="n">
        <v>0</v>
      </c>
      <c r="K114" t="n">
        <v>0</v>
      </c>
      <c r="L114" t="n">
        <v>0</v>
      </c>
      <c r="M114" t="n">
        <v>12</v>
      </c>
      <c r="N114" t="n">
        <v>-0.25</v>
      </c>
      <c r="O114" t="n">
        <v>-0.25</v>
      </c>
      <c r="P114" t="n">
        <v>67</v>
      </c>
      <c r="Q114" t="n">
        <v>12</v>
      </c>
      <c r="R114" t="s">
        <v>299</v>
      </c>
      <c r="S114" t="s">
        <v>299</v>
      </c>
      <c r="T114" t="n">
        <v>-0.375</v>
      </c>
    </row>
    <row r="115">
      <c r="A115" t="s">
        <v>31</v>
      </c>
      <c r="B115" t="n">
        <v>1</v>
      </c>
      <c r="C115" t="n">
        <v>0.63</v>
      </c>
      <c r="D115" t="n">
        <v>0.63</v>
      </c>
      <c r="E115" t="n">
        <v>-3.75</v>
      </c>
      <c r="F115" t="n">
        <v>-0.5</v>
      </c>
      <c r="G115" t="n">
        <v>5</v>
      </c>
      <c r="H115" t="n">
        <v>12</v>
      </c>
      <c r="I115" t="s">
        <v>297</v>
      </c>
      <c r="J115" t="n">
        <v>0</v>
      </c>
      <c r="K115" t="n">
        <v>0</v>
      </c>
      <c r="L115" t="n">
        <v>0</v>
      </c>
      <c r="M115" t="n">
        <v>12</v>
      </c>
      <c r="N115" t="n">
        <v>-0.25</v>
      </c>
      <c r="O115" t="n">
        <v>0</v>
      </c>
      <c r="P115" t="n">
        <v>10</v>
      </c>
      <c r="Q115" t="n">
        <v>12</v>
      </c>
      <c r="R115" t="s">
        <v>301</v>
      </c>
      <c r="S115" t="s">
        <v>301</v>
      </c>
      <c r="T115" t="n">
        <v>-0.25</v>
      </c>
    </row>
    <row r="116">
      <c r="A116" t="s">
        <v>31</v>
      </c>
      <c r="B116" t="n">
        <v>1</v>
      </c>
      <c r="C116" t="n">
        <v>0.63</v>
      </c>
      <c r="D116" t="n">
        <v>0.8</v>
      </c>
      <c r="E116" t="n">
        <v>-4</v>
      </c>
      <c r="F116" t="n">
        <v>-1.25</v>
      </c>
      <c r="G116" t="n">
        <v>6</v>
      </c>
      <c r="H116" t="n">
        <v>12</v>
      </c>
      <c r="I116" t="s">
        <v>297</v>
      </c>
      <c r="J116" t="n">
        <v>0</v>
      </c>
      <c r="K116" t="n">
        <v>0</v>
      </c>
      <c r="L116" t="n">
        <v>0</v>
      </c>
      <c r="M116" t="n">
        <v>12</v>
      </c>
      <c r="N116" t="n">
        <v>-0.5</v>
      </c>
      <c r="O116" t="n">
        <v>-0.25</v>
      </c>
      <c r="P116" t="n">
        <v>2</v>
      </c>
      <c r="Q116" t="n">
        <v>12</v>
      </c>
      <c r="R116" t="s">
        <v>296</v>
      </c>
      <c r="S116" t="s">
        <v>301</v>
      </c>
      <c r="T116" t="n">
        <v>-0.625</v>
      </c>
    </row>
    <row r="117">
      <c r="A117" t="s">
        <v>31</v>
      </c>
      <c r="B117" t="n">
        <v>1.25</v>
      </c>
      <c r="C117" t="n">
        <v>1.25</v>
      </c>
      <c r="D117" t="n">
        <v>1.25</v>
      </c>
      <c r="E117" t="n">
        <v>-5</v>
      </c>
      <c r="F117" t="n">
        <v>-0.5</v>
      </c>
      <c r="G117" t="n">
        <v>101</v>
      </c>
      <c r="H117" t="n">
        <v>12</v>
      </c>
      <c r="I117" t="s">
        <v>298</v>
      </c>
      <c r="J117" t="n">
        <v>0</v>
      </c>
      <c r="K117" t="n">
        <v>0</v>
      </c>
      <c r="L117" t="n">
        <v>0</v>
      </c>
      <c r="M117" t="n">
        <v>12</v>
      </c>
      <c r="N117" t="n">
        <v>0</v>
      </c>
      <c r="O117" t="n">
        <v>0</v>
      </c>
      <c r="P117" t="n">
        <v>166</v>
      </c>
      <c r="Q117" t="n">
        <v>12</v>
      </c>
      <c r="R117" t="s">
        <v>298</v>
      </c>
      <c r="S117" t="s">
        <v>298</v>
      </c>
      <c r="T117" t="n">
        <v>0</v>
      </c>
    </row>
    <row r="118">
      <c r="A118" t="s">
        <v>31</v>
      </c>
      <c r="B118" t="n">
        <v>1</v>
      </c>
      <c r="C118" t="n">
        <v>1</v>
      </c>
      <c r="D118" t="n">
        <v>1</v>
      </c>
      <c r="E118" t="n">
        <v>-4.75</v>
      </c>
      <c r="F118" t="n">
        <v>-0.5</v>
      </c>
      <c r="G118" t="n">
        <v>78</v>
      </c>
      <c r="H118" t="n">
        <v>12</v>
      </c>
      <c r="I118" t="s">
        <v>297</v>
      </c>
      <c r="J118" t="n">
        <v>0</v>
      </c>
      <c r="K118" t="n">
        <v>0</v>
      </c>
      <c r="L118" t="n">
        <v>0</v>
      </c>
      <c r="M118" t="n">
        <v>12</v>
      </c>
      <c r="N118" t="n">
        <v>0.25</v>
      </c>
      <c r="O118" t="n">
        <v>-0.25</v>
      </c>
      <c r="P118" t="n">
        <v>51</v>
      </c>
      <c r="Q118" t="n">
        <v>12</v>
      </c>
      <c r="R118" t="s">
        <v>297</v>
      </c>
      <c r="S118" t="s">
        <v>297</v>
      </c>
      <c r="T118" t="n">
        <v>0.125</v>
      </c>
    </row>
    <row r="119">
      <c r="A119" t="s">
        <v>31</v>
      </c>
      <c r="B119" t="n">
        <v>1</v>
      </c>
      <c r="C119" t="n">
        <v>0.63</v>
      </c>
      <c r="D119" t="n">
        <v>1</v>
      </c>
      <c r="E119" t="n">
        <v>-4</v>
      </c>
      <c r="F119" t="n">
        <v>-1.5</v>
      </c>
      <c r="G119" t="n">
        <v>160</v>
      </c>
      <c r="H119" t="n">
        <v>12</v>
      </c>
      <c r="I119" t="s">
        <v>297</v>
      </c>
      <c r="J119" t="n">
        <v>0</v>
      </c>
      <c r="K119" t="n">
        <v>0</v>
      </c>
      <c r="L119" t="n">
        <v>0</v>
      </c>
      <c r="M119" t="n">
        <v>12</v>
      </c>
      <c r="N119" t="n">
        <v>-0.5</v>
      </c>
      <c r="O119" t="n">
        <v>-0.25</v>
      </c>
      <c r="P119" t="n">
        <v>2</v>
      </c>
      <c r="Q119" t="n">
        <v>12</v>
      </c>
      <c r="R119" t="s">
        <v>297</v>
      </c>
      <c r="S119" t="s">
        <v>301</v>
      </c>
      <c r="T119" t="n">
        <v>-0.625</v>
      </c>
    </row>
    <row r="120">
      <c r="A120" t="s">
        <v>31</v>
      </c>
      <c r="B120" t="n">
        <v>1.25</v>
      </c>
      <c r="C120" t="n">
        <v>1</v>
      </c>
      <c r="D120" t="n">
        <v>1.25</v>
      </c>
      <c r="E120" t="n">
        <v>-5.5</v>
      </c>
      <c r="F120" t="n">
        <v>-0.5</v>
      </c>
      <c r="G120" t="n">
        <v>11</v>
      </c>
      <c r="H120" t="n">
        <v>12</v>
      </c>
      <c r="I120" t="s">
        <v>298</v>
      </c>
      <c r="J120" t="n">
        <v>0</v>
      </c>
      <c r="K120" t="n">
        <v>0</v>
      </c>
      <c r="L120" t="n">
        <v>0</v>
      </c>
      <c r="M120" t="n">
        <v>12</v>
      </c>
      <c r="N120" t="n">
        <v>0</v>
      </c>
      <c r="O120" t="n">
        <v>-0.25</v>
      </c>
      <c r="P120" t="n">
        <v>64</v>
      </c>
      <c r="Q120" t="n">
        <v>12</v>
      </c>
      <c r="R120" t="s">
        <v>298</v>
      </c>
      <c r="S120" t="s">
        <v>297</v>
      </c>
      <c r="T120" t="n">
        <v>-0.125</v>
      </c>
    </row>
    <row r="121">
      <c r="A121" t="s">
        <v>31</v>
      </c>
      <c r="B121" t="n">
        <v>0.8</v>
      </c>
      <c r="C121" t="n">
        <v>0.8</v>
      </c>
      <c r="D121" t="n">
        <v>1</v>
      </c>
      <c r="E121" t="n">
        <v>-5.5</v>
      </c>
      <c r="F121" t="n">
        <v>-0.25</v>
      </c>
      <c r="G121" t="n">
        <v>96</v>
      </c>
      <c r="H121" t="n">
        <v>12</v>
      </c>
      <c r="I121" t="s">
        <v>296</v>
      </c>
      <c r="J121" t="n">
        <v>0</v>
      </c>
      <c r="K121" t="n">
        <v>0</v>
      </c>
      <c r="L121" t="n">
        <v>0</v>
      </c>
      <c r="M121" t="n">
        <v>12</v>
      </c>
      <c r="N121" t="n">
        <v>-0.5</v>
      </c>
      <c r="O121" t="n">
        <v>0</v>
      </c>
      <c r="P121" t="n">
        <v>62</v>
      </c>
      <c r="Q121" t="n">
        <v>12</v>
      </c>
      <c r="R121" t="s">
        <v>297</v>
      </c>
      <c r="S121" t="s">
        <v>296</v>
      </c>
      <c r="T121" t="n">
        <v>-0.5</v>
      </c>
    </row>
    <row r="122">
      <c r="A122" t="s">
        <v>31</v>
      </c>
      <c r="B122" t="n">
        <v>1</v>
      </c>
      <c r="C122"/>
      <c r="D122" t="n">
        <v>0.8</v>
      </c>
      <c r="E122" t="n">
        <v>-5.5</v>
      </c>
      <c r="F122" t="n">
        <v>-0.5</v>
      </c>
      <c r="G122" t="n">
        <v>72</v>
      </c>
      <c r="H122" t="n">
        <v>12</v>
      </c>
      <c r="I122" t="s">
        <v>297</v>
      </c>
      <c r="J122" t="n">
        <v>0</v>
      </c>
      <c r="K122" t="n">
        <v>0</v>
      </c>
      <c r="L122" t="n">
        <v>0</v>
      </c>
      <c r="M122" t="n">
        <v>12</v>
      </c>
      <c r="N122" t="n">
        <v>0.25</v>
      </c>
      <c r="O122" t="n">
        <v>-0.25</v>
      </c>
      <c r="P122" t="n">
        <v>75</v>
      </c>
      <c r="Q122" t="n">
        <v>12</v>
      </c>
      <c r="R122" t="s">
        <v>296</v>
      </c>
      <c r="S122" t="s">
        <v>109</v>
      </c>
      <c r="T122" t="n">
        <v>0.125</v>
      </c>
    </row>
    <row r="123">
      <c r="A123" t="s">
        <v>31</v>
      </c>
      <c r="B123" t="n">
        <v>1</v>
      </c>
      <c r="C123" t="n">
        <v>1</v>
      </c>
      <c r="D123" t="n">
        <v>1</v>
      </c>
      <c r="E123" t="n">
        <v>-5.5</v>
      </c>
      <c r="F123" t="n">
        <v>-0.5</v>
      </c>
      <c r="G123" t="n">
        <v>111</v>
      </c>
      <c r="H123" t="n">
        <v>12</v>
      </c>
      <c r="I123" t="s">
        <v>297</v>
      </c>
      <c r="J123" t="n">
        <v>0</v>
      </c>
      <c r="K123" t="n">
        <v>0</v>
      </c>
      <c r="L123" t="n">
        <v>0</v>
      </c>
      <c r="M123" t="n">
        <v>12</v>
      </c>
      <c r="N123" t="n">
        <v>-0.25</v>
      </c>
      <c r="O123" t="n">
        <v>-0.25</v>
      </c>
      <c r="P123" t="n">
        <v>120</v>
      </c>
      <c r="Q123" t="n">
        <v>12</v>
      </c>
      <c r="R123" t="s">
        <v>297</v>
      </c>
      <c r="S123" t="s">
        <v>297</v>
      </c>
      <c r="T123" t="n">
        <v>-0.375</v>
      </c>
    </row>
    <row r="124">
      <c r="A124" t="s">
        <v>31</v>
      </c>
      <c r="B124" t="n">
        <v>1</v>
      </c>
      <c r="C124" t="n">
        <v>0.8</v>
      </c>
      <c r="D124" t="n">
        <v>0.8</v>
      </c>
      <c r="E124" t="n">
        <v>-2.25</v>
      </c>
      <c r="F124" t="n">
        <v>-0.25</v>
      </c>
      <c r="G124" t="n">
        <v>1</v>
      </c>
      <c r="H124" t="n">
        <v>12</v>
      </c>
      <c r="I124" t="s">
        <v>297</v>
      </c>
      <c r="J124" t="n">
        <v>0</v>
      </c>
      <c r="K124" t="n">
        <v>0</v>
      </c>
      <c r="L124" t="n">
        <v>0</v>
      </c>
      <c r="M124" t="n">
        <v>12</v>
      </c>
      <c r="N124" t="n">
        <v>0</v>
      </c>
      <c r="O124" t="n">
        <v>-0.25</v>
      </c>
      <c r="P124" t="n">
        <v>107</v>
      </c>
      <c r="Q124" t="n">
        <v>12</v>
      </c>
      <c r="R124" t="s">
        <v>296</v>
      </c>
      <c r="S124" t="s">
        <v>296</v>
      </c>
      <c r="T124" t="n">
        <v>-0.125</v>
      </c>
    </row>
    <row r="125">
      <c r="A125" t="s">
        <v>31</v>
      </c>
      <c r="B125" t="n">
        <v>1</v>
      </c>
      <c r="C125" t="n">
        <v>1</v>
      </c>
      <c r="D125" t="n">
        <v>1</v>
      </c>
      <c r="E125" t="n">
        <v>-4.5</v>
      </c>
      <c r="F125" t="n">
        <v>-0.5</v>
      </c>
      <c r="G125" t="n">
        <v>175</v>
      </c>
      <c r="H125" t="n">
        <v>12</v>
      </c>
      <c r="I125" t="s">
        <v>297</v>
      </c>
      <c r="J125" t="n">
        <v>0</v>
      </c>
      <c r="K125" t="n">
        <v>0</v>
      </c>
      <c r="L125" t="n">
        <v>0</v>
      </c>
      <c r="M125" t="n">
        <v>12</v>
      </c>
      <c r="N125" t="n">
        <v>0</v>
      </c>
      <c r="O125" t="n">
        <v>-0.25</v>
      </c>
      <c r="P125" t="n">
        <v>7</v>
      </c>
      <c r="Q125" t="n">
        <v>12</v>
      </c>
      <c r="R125" t="s">
        <v>297</v>
      </c>
      <c r="S125" t="s">
        <v>297</v>
      </c>
      <c r="T125" t="n">
        <v>-0.125</v>
      </c>
    </row>
    <row r="126">
      <c r="A126" t="s">
        <v>31</v>
      </c>
      <c r="B126" t="n">
        <v>1.25</v>
      </c>
      <c r="C126" t="n">
        <v>1.25</v>
      </c>
      <c r="D126" t="n">
        <v>1.25</v>
      </c>
      <c r="E126" t="n">
        <v>-6.25</v>
      </c>
      <c r="F126" t="n">
        <v>-0.25</v>
      </c>
      <c r="G126" t="n">
        <v>2</v>
      </c>
      <c r="H126" t="n">
        <v>12</v>
      </c>
      <c r="I126" t="s">
        <v>298</v>
      </c>
      <c r="J126" t="n">
        <v>0</v>
      </c>
      <c r="K126" t="n">
        <v>0</v>
      </c>
      <c r="L126" t="n">
        <v>0</v>
      </c>
      <c r="M126" t="n">
        <v>12</v>
      </c>
      <c r="N126" t="n">
        <v>0.25</v>
      </c>
      <c r="O126" t="n">
        <v>-0.25</v>
      </c>
      <c r="P126" t="n">
        <v>176</v>
      </c>
      <c r="Q126" t="n">
        <v>12</v>
      </c>
      <c r="R126" t="s">
        <v>298</v>
      </c>
      <c r="S126" t="s">
        <v>298</v>
      </c>
      <c r="T126" t="n">
        <v>0.125</v>
      </c>
    </row>
    <row r="127">
      <c r="A127" t="s">
        <v>31</v>
      </c>
      <c r="B127" t="n">
        <v>1.25</v>
      </c>
      <c r="C127" t="n">
        <v>1.25</v>
      </c>
      <c r="D127" t="n">
        <v>1.6</v>
      </c>
      <c r="E127" t="n">
        <v>-8</v>
      </c>
      <c r="F127" t="n">
        <v>-0.75</v>
      </c>
      <c r="G127" t="n">
        <v>94</v>
      </c>
      <c r="H127" t="n">
        <v>12</v>
      </c>
      <c r="I127" t="s">
        <v>298</v>
      </c>
      <c r="J127" t="n">
        <v>0</v>
      </c>
      <c r="K127" t="n">
        <v>0</v>
      </c>
      <c r="L127" t="n">
        <v>0</v>
      </c>
      <c r="M127" t="n">
        <v>12</v>
      </c>
      <c r="N127" t="n">
        <v>-0.5</v>
      </c>
      <c r="O127" t="n">
        <v>-0.25</v>
      </c>
      <c r="P127" t="n">
        <v>132</v>
      </c>
      <c r="Q127" t="n">
        <v>12</v>
      </c>
      <c r="R127" t="s">
        <v>299</v>
      </c>
      <c r="S127" t="s">
        <v>298</v>
      </c>
      <c r="T127" t="n">
        <v>-0.625</v>
      </c>
    </row>
    <row r="128">
      <c r="A128" t="s">
        <v>31</v>
      </c>
      <c r="B128" t="n">
        <v>1.25</v>
      </c>
      <c r="C128" t="n">
        <v>1.6</v>
      </c>
      <c r="D128" t="n">
        <v>1.6</v>
      </c>
      <c r="E128" t="n">
        <v>-7.5</v>
      </c>
      <c r="F128" t="n">
        <v>-1</v>
      </c>
      <c r="G128" t="n">
        <v>75</v>
      </c>
      <c r="H128" t="n">
        <v>12</v>
      </c>
      <c r="I128" t="s">
        <v>298</v>
      </c>
      <c r="J128" t="n">
        <v>0</v>
      </c>
      <c r="K128" t="n">
        <v>0</v>
      </c>
      <c r="L128" t="n">
        <v>0</v>
      </c>
      <c r="M128" t="n">
        <v>12</v>
      </c>
      <c r="N128" t="n">
        <v>0</v>
      </c>
      <c r="O128" t="n">
        <v>-0.25</v>
      </c>
      <c r="P128" t="n">
        <v>31</v>
      </c>
      <c r="Q128" t="n">
        <v>12</v>
      </c>
      <c r="R128" t="s">
        <v>299</v>
      </c>
      <c r="S128" t="s">
        <v>299</v>
      </c>
      <c r="T128" t="n">
        <v>-0.125</v>
      </c>
    </row>
    <row r="129">
      <c r="A129" t="s">
        <v>31</v>
      </c>
      <c r="B129" t="n">
        <v>1</v>
      </c>
      <c r="C129" t="n">
        <v>1</v>
      </c>
      <c r="D129" t="n">
        <v>1</v>
      </c>
      <c r="E129" t="n">
        <v>-4.75</v>
      </c>
      <c r="F129" t="n">
        <v>-0.75</v>
      </c>
      <c r="G129" t="n">
        <v>93</v>
      </c>
      <c r="H129" t="n">
        <v>12</v>
      </c>
      <c r="I129" t="s">
        <v>297</v>
      </c>
      <c r="J129" t="n">
        <v>0</v>
      </c>
      <c r="K129" t="n">
        <v>0</v>
      </c>
      <c r="L129" t="n">
        <v>0</v>
      </c>
      <c r="M129" t="n">
        <v>12</v>
      </c>
      <c r="N129" t="n">
        <v>0.25</v>
      </c>
      <c r="O129" t="n">
        <v>-0.25</v>
      </c>
      <c r="P129" t="n">
        <v>111</v>
      </c>
      <c r="Q129" t="n">
        <v>12</v>
      </c>
      <c r="R129" t="s">
        <v>297</v>
      </c>
      <c r="S129" t="s">
        <v>297</v>
      </c>
      <c r="T129" t="n">
        <v>0.125</v>
      </c>
    </row>
    <row r="130">
      <c r="A130" t="s">
        <v>31</v>
      </c>
      <c r="B130" t="n">
        <v>1</v>
      </c>
      <c r="C130" t="n">
        <v>0.8</v>
      </c>
      <c r="D130" t="n">
        <v>0.8</v>
      </c>
      <c r="E130" t="n">
        <v>-5.5</v>
      </c>
      <c r="F130" t="n">
        <v>-0.5</v>
      </c>
      <c r="G130" t="n">
        <v>80</v>
      </c>
      <c r="H130" t="n">
        <v>12</v>
      </c>
      <c r="I130" t="s">
        <v>297</v>
      </c>
      <c r="J130" t="n">
        <v>-0.5</v>
      </c>
      <c r="K130" t="n">
        <v>0</v>
      </c>
      <c r="L130" t="n">
        <v>0</v>
      </c>
      <c r="M130" t="n">
        <v>12</v>
      </c>
      <c r="N130" t="n">
        <v>-0.25</v>
      </c>
      <c r="O130" t="n">
        <v>-0.25</v>
      </c>
      <c r="P130" t="n">
        <v>83</v>
      </c>
      <c r="Q130" t="n">
        <v>12</v>
      </c>
      <c r="R130" t="s">
        <v>296</v>
      </c>
      <c r="S130" t="s">
        <v>296</v>
      </c>
      <c r="T130" t="n">
        <v>-0.375</v>
      </c>
    </row>
    <row r="131">
      <c r="A131" t="s">
        <v>31</v>
      </c>
      <c r="B131" t="n">
        <v>1.25</v>
      </c>
      <c r="C131" t="n">
        <v>0.8</v>
      </c>
      <c r="D131" t="n">
        <v>1.25</v>
      </c>
      <c r="E131" t="n">
        <v>-2.5</v>
      </c>
      <c r="F131" t="n">
        <v>-1.5</v>
      </c>
      <c r="G131" t="n">
        <v>173</v>
      </c>
      <c r="H131" t="n">
        <v>12</v>
      </c>
      <c r="I131" t="s">
        <v>298</v>
      </c>
      <c r="J131" t="n">
        <v>0</v>
      </c>
      <c r="K131" t="n">
        <v>0</v>
      </c>
      <c r="L131" t="n">
        <v>0</v>
      </c>
      <c r="M131" t="n">
        <v>12</v>
      </c>
      <c r="N131" t="n">
        <v>-0.25</v>
      </c>
      <c r="O131" t="n">
        <v>-0.75</v>
      </c>
      <c r="P131" t="n">
        <v>148</v>
      </c>
      <c r="Q131" t="n">
        <v>12</v>
      </c>
      <c r="R131" t="s">
        <v>298</v>
      </c>
      <c r="S131" t="s">
        <v>296</v>
      </c>
      <c r="T131" t="n">
        <v>-0.625</v>
      </c>
    </row>
    <row r="132">
      <c r="A132" t="s">
        <v>31</v>
      </c>
      <c r="B132" t="n">
        <v>1</v>
      </c>
      <c r="C132" t="n">
        <v>0.8</v>
      </c>
      <c r="D132" t="n">
        <v>1</v>
      </c>
      <c r="E132" t="n">
        <v>-4.5</v>
      </c>
      <c r="F132" t="n">
        <v>-1</v>
      </c>
      <c r="G132" t="n">
        <v>19</v>
      </c>
      <c r="H132" t="n">
        <v>12</v>
      </c>
      <c r="I132" t="s">
        <v>297</v>
      </c>
      <c r="J132" t="n">
        <v>0</v>
      </c>
      <c r="K132" t="n">
        <v>0</v>
      </c>
      <c r="L132" t="n">
        <v>0</v>
      </c>
      <c r="M132" t="n">
        <v>12</v>
      </c>
      <c r="N132" t="n">
        <v>-0.5</v>
      </c>
      <c r="O132" t="n">
        <v>-0.25</v>
      </c>
      <c r="P132" t="n">
        <v>32</v>
      </c>
      <c r="Q132" t="n">
        <v>12</v>
      </c>
      <c r="R132" t="s">
        <v>297</v>
      </c>
      <c r="S132" t="s">
        <v>296</v>
      </c>
      <c r="T132" t="n">
        <v>-0.625</v>
      </c>
    </row>
    <row r="133">
      <c r="A133" t="s">
        <v>31</v>
      </c>
      <c r="B133" t="n">
        <v>1.25</v>
      </c>
      <c r="C133" t="n">
        <v>1.25</v>
      </c>
      <c r="D133" t="n">
        <v>1.25</v>
      </c>
      <c r="E133" t="n">
        <v>-1.5</v>
      </c>
      <c r="F133" t="n">
        <v>-1</v>
      </c>
      <c r="G133" t="n">
        <v>168</v>
      </c>
      <c r="H133" t="n">
        <v>12</v>
      </c>
      <c r="I133" t="s">
        <v>298</v>
      </c>
      <c r="J133" t="n">
        <v>0</v>
      </c>
      <c r="K133" t="n">
        <v>0</v>
      </c>
      <c r="L133" t="n">
        <v>0</v>
      </c>
      <c r="M133" t="n">
        <v>12</v>
      </c>
      <c r="N133" t="n">
        <v>-0.25</v>
      </c>
      <c r="O133" t="n">
        <v>-0.25</v>
      </c>
      <c r="P133" t="n">
        <v>176</v>
      </c>
      <c r="Q133" t="n">
        <v>12</v>
      </c>
      <c r="R133" t="s">
        <v>298</v>
      </c>
      <c r="S133" t="s">
        <v>298</v>
      </c>
      <c r="T133" t="n">
        <v>-0.375</v>
      </c>
    </row>
    <row r="134">
      <c r="A134" t="s">
        <v>31</v>
      </c>
      <c r="B134" t="n">
        <v>1.25</v>
      </c>
      <c r="C134" t="n">
        <v>1</v>
      </c>
      <c r="D134" t="n">
        <v>1.25</v>
      </c>
      <c r="E134" t="n">
        <v>-1.25</v>
      </c>
      <c r="F134" t="n">
        <v>-0.75</v>
      </c>
      <c r="G134" t="n">
        <v>8</v>
      </c>
      <c r="H134" t="n">
        <v>12</v>
      </c>
      <c r="I134" t="s">
        <v>298</v>
      </c>
      <c r="J134" t="n">
        <v>0</v>
      </c>
      <c r="K134" t="n">
        <v>0</v>
      </c>
      <c r="L134" t="n">
        <v>0</v>
      </c>
      <c r="M134" t="n">
        <v>12</v>
      </c>
      <c r="N134" t="n">
        <v>-0.25</v>
      </c>
      <c r="O134" t="n">
        <v>-0.25</v>
      </c>
      <c r="P134" t="n">
        <v>40</v>
      </c>
      <c r="Q134" t="n">
        <v>12</v>
      </c>
      <c r="R134" t="s">
        <v>298</v>
      </c>
      <c r="S134" t="s">
        <v>297</v>
      </c>
      <c r="T134" t="n">
        <v>-0.375</v>
      </c>
    </row>
    <row r="135">
      <c r="A135" t="s">
        <v>31</v>
      </c>
      <c r="B135" t="n">
        <v>1</v>
      </c>
      <c r="C135" t="n">
        <v>1</v>
      </c>
      <c r="D135" t="n">
        <v>1.6</v>
      </c>
      <c r="E135" t="n">
        <v>-7.5</v>
      </c>
      <c r="F135" t="n">
        <v>-1.25</v>
      </c>
      <c r="G135" t="n">
        <v>6</v>
      </c>
      <c r="H135" t="n">
        <v>12</v>
      </c>
      <c r="I135" t="s">
        <v>297</v>
      </c>
      <c r="J135" t="n">
        <v>0</v>
      </c>
      <c r="K135" t="n">
        <v>0</v>
      </c>
      <c r="L135" t="n">
        <v>0</v>
      </c>
      <c r="M135" t="n">
        <v>12</v>
      </c>
      <c r="N135" t="n">
        <v>-0.75</v>
      </c>
      <c r="O135" t="n">
        <v>-0.25</v>
      </c>
      <c r="P135" t="n">
        <v>125</v>
      </c>
      <c r="Q135" t="n">
        <v>12</v>
      </c>
      <c r="R135" t="s">
        <v>299</v>
      </c>
      <c r="S135" t="s">
        <v>297</v>
      </c>
      <c r="T135" t="n">
        <v>-0.875</v>
      </c>
    </row>
    <row r="136">
      <c r="A136" t="s">
        <v>31</v>
      </c>
      <c r="B136" t="n">
        <v>1</v>
      </c>
      <c r="C136" t="n">
        <v>0.8</v>
      </c>
      <c r="D136" t="n">
        <v>0.8</v>
      </c>
      <c r="E136" t="n">
        <v>-7</v>
      </c>
      <c r="F136" t="n">
        <v>-0.75</v>
      </c>
      <c r="G136" t="n">
        <v>178</v>
      </c>
      <c r="H136" t="n">
        <v>12</v>
      </c>
      <c r="I136" t="s">
        <v>297</v>
      </c>
      <c r="J136" t="n">
        <v>0</v>
      </c>
      <c r="K136" t="n">
        <v>0</v>
      </c>
      <c r="L136" t="n">
        <v>0</v>
      </c>
      <c r="M136" t="n">
        <v>12</v>
      </c>
      <c r="N136" t="n">
        <v>0.25</v>
      </c>
      <c r="O136" t="n">
        <v>-0.5</v>
      </c>
      <c r="P136" t="n">
        <v>22</v>
      </c>
      <c r="Q136" t="n">
        <v>12</v>
      </c>
      <c r="R136" t="s">
        <v>296</v>
      </c>
      <c r="S136" t="s">
        <v>296</v>
      </c>
      <c r="T136" t="n">
        <v>0</v>
      </c>
    </row>
    <row r="137">
      <c r="A137" t="s">
        <v>31</v>
      </c>
      <c r="B137" t="n">
        <v>1</v>
      </c>
      <c r="C137" t="n">
        <v>1</v>
      </c>
      <c r="D137" t="n">
        <v>1</v>
      </c>
      <c r="E137" t="n">
        <v>-6.5</v>
      </c>
      <c r="F137" t="n">
        <v>-0.25</v>
      </c>
      <c r="G137" t="n">
        <v>180</v>
      </c>
      <c r="H137" t="n">
        <v>12</v>
      </c>
      <c r="I137" t="s">
        <v>297</v>
      </c>
      <c r="J137" t="n">
        <v>0</v>
      </c>
      <c r="K137" t="n">
        <v>0</v>
      </c>
      <c r="L137" t="n">
        <v>0</v>
      </c>
      <c r="M137" t="n">
        <v>12</v>
      </c>
      <c r="N137" t="n">
        <v>0</v>
      </c>
      <c r="O137" t="n">
        <v>-0.25</v>
      </c>
      <c r="P137" t="n">
        <v>165</v>
      </c>
      <c r="Q137" t="n">
        <v>12</v>
      </c>
      <c r="R137" t="s">
        <v>297</v>
      </c>
      <c r="S137" t="s">
        <v>297</v>
      </c>
      <c r="T137" t="n">
        <v>-0.125</v>
      </c>
    </row>
    <row r="138">
      <c r="A138" t="s">
        <v>31</v>
      </c>
      <c r="B138" t="n">
        <v>1.25</v>
      </c>
      <c r="C138" t="n">
        <v>1</v>
      </c>
      <c r="D138" t="n">
        <v>1.6</v>
      </c>
      <c r="E138" t="n">
        <v>-6.25</v>
      </c>
      <c r="F138" t="n">
        <v>-0.25</v>
      </c>
      <c r="G138" t="n">
        <v>64</v>
      </c>
      <c r="H138" t="n">
        <v>12</v>
      </c>
      <c r="I138" t="s">
        <v>298</v>
      </c>
      <c r="J138" t="n">
        <v>0</v>
      </c>
      <c r="K138" t="n">
        <v>0</v>
      </c>
      <c r="L138" t="n">
        <v>0</v>
      </c>
      <c r="M138" t="n">
        <v>12</v>
      </c>
      <c r="N138" t="n">
        <v>-0.75</v>
      </c>
      <c r="O138" t="n">
        <v>-0.25</v>
      </c>
      <c r="P138" t="n">
        <v>31</v>
      </c>
      <c r="Q138" t="n">
        <v>12</v>
      </c>
      <c r="R138" t="s">
        <v>299</v>
      </c>
      <c r="S138" t="s">
        <v>297</v>
      </c>
      <c r="T138" t="n">
        <v>-0.875</v>
      </c>
    </row>
    <row r="139">
      <c r="A139" t="s">
        <v>31</v>
      </c>
      <c r="B139" t="n">
        <v>1.25</v>
      </c>
      <c r="C139" t="n">
        <v>1.25</v>
      </c>
      <c r="D139" t="n">
        <v>1.6</v>
      </c>
      <c r="E139" t="n">
        <v>-6.5</v>
      </c>
      <c r="F139" t="n">
        <v>-1</v>
      </c>
      <c r="G139" t="n">
        <v>127</v>
      </c>
      <c r="H139" t="n">
        <v>12</v>
      </c>
      <c r="I139" t="s">
        <v>298</v>
      </c>
      <c r="J139" t="n">
        <v>0</v>
      </c>
      <c r="K139" t="n">
        <v>0</v>
      </c>
      <c r="L139" t="n">
        <v>0</v>
      </c>
      <c r="M139" t="n">
        <v>12</v>
      </c>
      <c r="N139" t="n">
        <v>-0.25</v>
      </c>
      <c r="O139" t="n">
        <v>-0.5</v>
      </c>
      <c r="P139" t="n">
        <v>150</v>
      </c>
      <c r="Q139" t="n">
        <v>12</v>
      </c>
      <c r="R139" t="s">
        <v>299</v>
      </c>
      <c r="S139" t="s">
        <v>298</v>
      </c>
      <c r="T139" t="n">
        <v>-0.5</v>
      </c>
    </row>
    <row r="140">
      <c r="A140" t="s">
        <v>31</v>
      </c>
      <c r="B140" t="n">
        <v>1.25</v>
      </c>
      <c r="C140" t="n">
        <v>1.25</v>
      </c>
      <c r="D140" t="n">
        <v>1.25</v>
      </c>
      <c r="E140" t="n">
        <v>-2.75</v>
      </c>
      <c r="F140" t="n">
        <v>-1.25</v>
      </c>
      <c r="G140" t="n">
        <v>2</v>
      </c>
      <c r="H140" t="n">
        <v>12</v>
      </c>
      <c r="I140" t="s">
        <v>298</v>
      </c>
      <c r="J140" t="n">
        <v>0</v>
      </c>
      <c r="K140" t="n">
        <v>0</v>
      </c>
      <c r="L140" t="n">
        <v>0</v>
      </c>
      <c r="M140" t="n">
        <v>12</v>
      </c>
      <c r="N140" t="n">
        <v>0.25</v>
      </c>
      <c r="O140" t="n">
        <v>-0.25</v>
      </c>
      <c r="P140" t="n">
        <v>2</v>
      </c>
      <c r="Q140" t="n">
        <v>12</v>
      </c>
      <c r="R140" t="s">
        <v>298</v>
      </c>
      <c r="S140" t="s">
        <v>298</v>
      </c>
      <c r="T140" t="n">
        <v>0.125</v>
      </c>
    </row>
    <row r="141">
      <c r="A141" t="s">
        <v>31</v>
      </c>
      <c r="B141" t="n">
        <v>1.25</v>
      </c>
      <c r="C141" t="n">
        <v>1.6</v>
      </c>
      <c r="D141" t="n">
        <v>1.6</v>
      </c>
      <c r="E141" t="n">
        <v>-3.25</v>
      </c>
      <c r="F141" t="n">
        <v>-1.25</v>
      </c>
      <c r="G141" t="n">
        <v>163</v>
      </c>
      <c r="H141" t="n">
        <v>12</v>
      </c>
      <c r="I141" t="s">
        <v>298</v>
      </c>
      <c r="J141" t="n">
        <v>0</v>
      </c>
      <c r="K141" t="n">
        <v>0</v>
      </c>
      <c r="L141" t="n">
        <v>0</v>
      </c>
      <c r="M141" t="n">
        <v>12</v>
      </c>
      <c r="N141" t="n">
        <v>0.25</v>
      </c>
      <c r="O141" t="n">
        <v>-0.25</v>
      </c>
      <c r="P141" t="n">
        <v>147</v>
      </c>
      <c r="Q141" t="n">
        <v>12</v>
      </c>
      <c r="R141" t="s">
        <v>299</v>
      </c>
      <c r="S141" t="s">
        <v>299</v>
      </c>
      <c r="T141" t="n">
        <v>0.125</v>
      </c>
    </row>
    <row r="142">
      <c r="A142" t="s">
        <v>31</v>
      </c>
      <c r="B142" t="n">
        <v>1</v>
      </c>
      <c r="C142" t="n">
        <v>0.63</v>
      </c>
      <c r="D142" t="n">
        <v>1</v>
      </c>
      <c r="E142" t="n">
        <v>-4.75</v>
      </c>
      <c r="F142" t="n">
        <v>-0.25</v>
      </c>
      <c r="G142" t="n">
        <v>172</v>
      </c>
      <c r="H142" t="n">
        <v>12</v>
      </c>
      <c r="I142" t="s">
        <v>297</v>
      </c>
      <c r="J142" t="n">
        <v>0</v>
      </c>
      <c r="K142" t="n">
        <v>0</v>
      </c>
      <c r="L142" t="n">
        <v>0</v>
      </c>
      <c r="M142" t="n">
        <v>12</v>
      </c>
      <c r="N142" t="n">
        <v>-0.75</v>
      </c>
      <c r="O142" t="n">
        <v>-0.25</v>
      </c>
      <c r="P142" t="n">
        <v>135</v>
      </c>
      <c r="Q142" t="n">
        <v>12</v>
      </c>
      <c r="R142" t="s">
        <v>297</v>
      </c>
      <c r="S142" t="s">
        <v>301</v>
      </c>
      <c r="T142" t="n">
        <v>-0.875</v>
      </c>
    </row>
    <row r="143">
      <c r="A143" t="s">
        <v>31</v>
      </c>
      <c r="B143" t="n">
        <v>1</v>
      </c>
      <c r="C143" t="n">
        <v>1</v>
      </c>
      <c r="D143" t="n">
        <v>1</v>
      </c>
      <c r="E143" t="n">
        <v>-5</v>
      </c>
      <c r="F143" t="n">
        <v>-0.5</v>
      </c>
      <c r="G143" t="n">
        <v>3</v>
      </c>
      <c r="H143" t="n">
        <v>12</v>
      </c>
      <c r="I143" t="s">
        <v>297</v>
      </c>
      <c r="J143" t="n">
        <v>0</v>
      </c>
      <c r="K143" t="n">
        <v>0</v>
      </c>
      <c r="L143" t="n">
        <v>0</v>
      </c>
      <c r="M143" t="n">
        <v>12</v>
      </c>
      <c r="N143" t="n">
        <v>-0.5</v>
      </c>
      <c r="O143" t="n">
        <v>-0.25</v>
      </c>
      <c r="P143" t="n">
        <v>32</v>
      </c>
      <c r="Q143" t="n">
        <v>12</v>
      </c>
      <c r="R143" t="s">
        <v>297</v>
      </c>
      <c r="S143" t="s">
        <v>297</v>
      </c>
      <c r="T143" t="n">
        <v>-0.625</v>
      </c>
    </row>
    <row r="144">
      <c r="A144" t="s">
        <v>31</v>
      </c>
      <c r="B144" t="n">
        <v>1</v>
      </c>
      <c r="C144" t="n">
        <v>1</v>
      </c>
      <c r="D144" t="n">
        <v>1</v>
      </c>
      <c r="E144" t="n">
        <v>-2.5</v>
      </c>
      <c r="F144" t="n">
        <v>-1</v>
      </c>
      <c r="G144" t="n">
        <v>14</v>
      </c>
      <c r="H144" t="n">
        <v>12</v>
      </c>
      <c r="I144" t="s">
        <v>297</v>
      </c>
      <c r="J144" t="n">
        <v>0</v>
      </c>
      <c r="K144" t="n">
        <v>0</v>
      </c>
      <c r="L144" t="n">
        <v>0</v>
      </c>
      <c r="M144" t="n">
        <v>12</v>
      </c>
      <c r="N144" t="n">
        <v>-0.25</v>
      </c>
      <c r="O144" t="n">
        <v>0</v>
      </c>
      <c r="P144" t="n">
        <v>171</v>
      </c>
      <c r="Q144" t="n">
        <v>12</v>
      </c>
      <c r="R144" t="s">
        <v>297</v>
      </c>
      <c r="S144" t="s">
        <v>297</v>
      </c>
      <c r="T144" t="n">
        <v>-0.25</v>
      </c>
    </row>
    <row r="145">
      <c r="A145" t="s">
        <v>31</v>
      </c>
      <c r="B145" t="n">
        <v>1.25</v>
      </c>
      <c r="C145" t="n">
        <v>1.25</v>
      </c>
      <c r="D145" t="n">
        <v>1.25</v>
      </c>
      <c r="E145" t="n">
        <v>-5.25</v>
      </c>
      <c r="F145" t="n">
        <v>-0.75</v>
      </c>
      <c r="G145" t="n">
        <v>91</v>
      </c>
      <c r="H145" t="n">
        <v>12</v>
      </c>
      <c r="I145" t="s">
        <v>298</v>
      </c>
      <c r="J145" t="n">
        <v>0</v>
      </c>
      <c r="K145" t="n">
        <v>0</v>
      </c>
      <c r="L145" t="n">
        <v>0</v>
      </c>
      <c r="M145" t="n">
        <v>12</v>
      </c>
      <c r="N145" t="n">
        <v>-0.25</v>
      </c>
      <c r="O145" t="n">
        <v>-0.25</v>
      </c>
      <c r="P145" t="n">
        <v>49</v>
      </c>
      <c r="Q145" t="n">
        <v>12</v>
      </c>
      <c r="R145" t="s">
        <v>298</v>
      </c>
      <c r="S145" t="s">
        <v>298</v>
      </c>
      <c r="T145" t="n">
        <v>-0.375</v>
      </c>
    </row>
    <row r="146">
      <c r="A146" t="s">
        <v>31</v>
      </c>
      <c r="B146" t="n">
        <v>1</v>
      </c>
      <c r="C146" t="n">
        <v>1</v>
      </c>
      <c r="D146" t="n">
        <v>1</v>
      </c>
      <c r="E146" t="n">
        <v>-7</v>
      </c>
      <c r="F146" t="n">
        <v>-0.25</v>
      </c>
      <c r="G146" t="n">
        <v>9</v>
      </c>
      <c r="H146" t="n">
        <v>12</v>
      </c>
      <c r="I146" t="s">
        <v>297</v>
      </c>
      <c r="J146" t="n">
        <v>0</v>
      </c>
      <c r="K146" t="n">
        <v>0</v>
      </c>
      <c r="L146" t="n">
        <v>0</v>
      </c>
      <c r="M146" t="n">
        <v>12</v>
      </c>
      <c r="N146" t="n">
        <v>0</v>
      </c>
      <c r="O146" t="n">
        <v>0</v>
      </c>
      <c r="P146" t="n">
        <v>114</v>
      </c>
      <c r="Q146" t="n">
        <v>12</v>
      </c>
      <c r="R146" t="s">
        <v>297</v>
      </c>
      <c r="S146" t="s">
        <v>297</v>
      </c>
      <c r="T146" t="n">
        <v>0</v>
      </c>
    </row>
    <row r="147">
      <c r="A147" t="s">
        <v>31</v>
      </c>
      <c r="B147" t="n">
        <v>1</v>
      </c>
      <c r="C147" t="n">
        <v>1</v>
      </c>
      <c r="D147" t="n">
        <v>1</v>
      </c>
      <c r="E147" t="n">
        <v>-7.25</v>
      </c>
      <c r="F147" t="n">
        <v>-0.5</v>
      </c>
      <c r="G147" t="n">
        <v>3</v>
      </c>
      <c r="H147" t="n">
        <v>12</v>
      </c>
      <c r="I147" t="s">
        <v>297</v>
      </c>
      <c r="J147" t="n">
        <v>0</v>
      </c>
      <c r="K147" t="n">
        <v>0</v>
      </c>
      <c r="L147" t="n">
        <v>0</v>
      </c>
      <c r="M147" t="n">
        <v>12</v>
      </c>
      <c r="N147" t="n">
        <v>0.25</v>
      </c>
      <c r="O147" t="n">
        <v>-0.25</v>
      </c>
      <c r="P147" t="n">
        <v>48</v>
      </c>
      <c r="Q147" t="n">
        <v>12</v>
      </c>
      <c r="R147" t="s">
        <v>297</v>
      </c>
      <c r="S147" t="s">
        <v>297</v>
      </c>
      <c r="T147" t="n">
        <v>0.125</v>
      </c>
    </row>
    <row r="148">
      <c r="A148" t="s">
        <v>31</v>
      </c>
      <c r="B148" t="n">
        <v>1</v>
      </c>
      <c r="C148" t="n">
        <v>1.25</v>
      </c>
      <c r="D148" t="n">
        <v>1.25</v>
      </c>
      <c r="E148" t="n">
        <v>-5.5</v>
      </c>
      <c r="F148" t="n">
        <v>-0.25</v>
      </c>
      <c r="G148" t="n">
        <v>21</v>
      </c>
      <c r="H148" t="n">
        <v>12</v>
      </c>
      <c r="I148" t="s">
        <v>297</v>
      </c>
      <c r="J148" t="n">
        <v>0</v>
      </c>
      <c r="K148" t="n">
        <v>0</v>
      </c>
      <c r="L148" t="n">
        <v>0</v>
      </c>
      <c r="M148" t="n">
        <v>12</v>
      </c>
      <c r="N148" t="n">
        <v>-0.25</v>
      </c>
      <c r="O148" t="n">
        <v>-0.25</v>
      </c>
      <c r="P148" t="n">
        <v>108</v>
      </c>
      <c r="Q148" t="n">
        <v>12</v>
      </c>
      <c r="R148" t="s">
        <v>298</v>
      </c>
      <c r="S148" t="s">
        <v>298</v>
      </c>
      <c r="T148" t="n">
        <v>-0.375</v>
      </c>
    </row>
    <row r="149">
      <c r="A149" t="s">
        <v>31</v>
      </c>
      <c r="B149" t="n">
        <v>1</v>
      </c>
      <c r="C149" t="n">
        <v>1</v>
      </c>
      <c r="D149" t="n">
        <v>1</v>
      </c>
      <c r="E149" t="n">
        <v>-6.75</v>
      </c>
      <c r="F149" t="n">
        <v>-0.25</v>
      </c>
      <c r="G149" t="n">
        <v>146</v>
      </c>
      <c r="H149" t="n">
        <v>12</v>
      </c>
      <c r="I149" t="s">
        <v>297</v>
      </c>
      <c r="J149" t="n">
        <v>0</v>
      </c>
      <c r="K149" t="n">
        <v>0</v>
      </c>
      <c r="L149" t="n">
        <v>0</v>
      </c>
      <c r="M149" t="n">
        <v>12</v>
      </c>
      <c r="N149" t="n">
        <v>0.25</v>
      </c>
      <c r="O149" t="n">
        <v>-0.25</v>
      </c>
      <c r="P149" t="n">
        <v>75</v>
      </c>
      <c r="Q149" t="n">
        <v>12</v>
      </c>
      <c r="R149" t="s">
        <v>297</v>
      </c>
      <c r="S149" t="s">
        <v>297</v>
      </c>
      <c r="T149" t="n">
        <v>0.125</v>
      </c>
    </row>
    <row r="150">
      <c r="A150" t="s">
        <v>31</v>
      </c>
      <c r="B150" t="n">
        <v>1</v>
      </c>
      <c r="C150" t="n">
        <v>1</v>
      </c>
      <c r="D150" t="n">
        <v>1</v>
      </c>
      <c r="E150" t="n">
        <v>-5.75</v>
      </c>
      <c r="F150" t="n">
        <v>-0.75</v>
      </c>
      <c r="G150" t="n">
        <v>89</v>
      </c>
      <c r="H150" t="n">
        <v>12</v>
      </c>
      <c r="I150" t="s">
        <v>297</v>
      </c>
      <c r="J150" t="n">
        <v>0</v>
      </c>
      <c r="K150" t="n">
        <v>0</v>
      </c>
      <c r="L150" t="n">
        <v>0</v>
      </c>
      <c r="M150" t="n">
        <v>12</v>
      </c>
      <c r="N150" t="n">
        <v>-0.25</v>
      </c>
      <c r="O150" t="n">
        <v>0</v>
      </c>
      <c r="P150" t="n">
        <v>23</v>
      </c>
      <c r="Q150" t="n">
        <v>12</v>
      </c>
      <c r="R150" t="s">
        <v>297</v>
      </c>
      <c r="S150" t="s">
        <v>297</v>
      </c>
      <c r="T150" t="n">
        <v>-0.25</v>
      </c>
    </row>
    <row r="151">
      <c r="A151" t="s">
        <v>31</v>
      </c>
      <c r="B151" t="n">
        <v>1</v>
      </c>
      <c r="C151" t="n">
        <v>0.8</v>
      </c>
      <c r="D151" t="n">
        <v>0.8</v>
      </c>
      <c r="E151" t="n">
        <v>-5.75</v>
      </c>
      <c r="F151" t="n">
        <v>-0.5</v>
      </c>
      <c r="G151" t="n">
        <v>102</v>
      </c>
      <c r="H151" t="n">
        <v>12</v>
      </c>
      <c r="I151" t="s">
        <v>297</v>
      </c>
      <c r="J151" t="n">
        <v>0</v>
      </c>
      <c r="K151" t="n">
        <v>0</v>
      </c>
      <c r="L151" t="n">
        <v>0</v>
      </c>
      <c r="M151" t="n">
        <v>12</v>
      </c>
      <c r="N151" t="n">
        <v>0</v>
      </c>
      <c r="O151" t="n">
        <v>-0.25</v>
      </c>
      <c r="P151" t="n">
        <v>51</v>
      </c>
      <c r="Q151" t="n">
        <v>12</v>
      </c>
      <c r="R151" t="s">
        <v>296</v>
      </c>
      <c r="S151" t="s">
        <v>296</v>
      </c>
      <c r="T151" t="n">
        <v>-0.125</v>
      </c>
    </row>
    <row r="152">
      <c r="A152" t="s">
        <v>31</v>
      </c>
      <c r="B152" t="n">
        <v>1</v>
      </c>
      <c r="C152" t="n">
        <v>1</v>
      </c>
      <c r="D152" t="n">
        <v>1</v>
      </c>
      <c r="E152" t="n">
        <v>-7.5</v>
      </c>
      <c r="F152" t="n">
        <v>-0.25</v>
      </c>
      <c r="G152" t="n">
        <v>180</v>
      </c>
      <c r="H152" t="n">
        <v>12</v>
      </c>
      <c r="I152" t="s">
        <v>297</v>
      </c>
      <c r="J152" t="n">
        <v>0</v>
      </c>
      <c r="K152" t="n">
        <v>0</v>
      </c>
      <c r="L152" t="n">
        <v>0</v>
      </c>
      <c r="M152" t="n">
        <v>12</v>
      </c>
      <c r="N152" t="n">
        <v>-0.75</v>
      </c>
      <c r="O152" t="n">
        <v>0</v>
      </c>
      <c r="P152" t="n">
        <v>167</v>
      </c>
      <c r="Q152" t="n">
        <v>12</v>
      </c>
      <c r="R152" t="s">
        <v>297</v>
      </c>
      <c r="S152" t="s">
        <v>297</v>
      </c>
      <c r="T152" t="n">
        <v>-0.75</v>
      </c>
    </row>
    <row r="153">
      <c r="A153" t="s">
        <v>31</v>
      </c>
      <c r="B153" t="n">
        <v>1.25</v>
      </c>
      <c r="C153" t="n">
        <v>1</v>
      </c>
      <c r="D153" t="n">
        <v>1.25</v>
      </c>
      <c r="E153" t="n">
        <v>-7.5</v>
      </c>
      <c r="F153" t="n">
        <v>-0.5</v>
      </c>
      <c r="G153" t="n">
        <v>19</v>
      </c>
      <c r="H153" t="n">
        <v>12</v>
      </c>
      <c r="I153" t="s">
        <v>298</v>
      </c>
      <c r="J153" t="n">
        <v>0</v>
      </c>
      <c r="K153" t="n">
        <v>0</v>
      </c>
      <c r="L153" t="n">
        <v>0</v>
      </c>
      <c r="M153" t="n">
        <v>12</v>
      </c>
      <c r="N153" t="n">
        <v>-0.5</v>
      </c>
      <c r="O153" t="n">
        <v>0</v>
      </c>
      <c r="P153" t="n">
        <v>163</v>
      </c>
      <c r="Q153" t="n">
        <v>12</v>
      </c>
      <c r="R153" t="s">
        <v>298</v>
      </c>
      <c r="S153" t="s">
        <v>297</v>
      </c>
      <c r="T153" t="n">
        <v>-0.5</v>
      </c>
    </row>
    <row r="154">
      <c r="A154" t="s">
        <v>31</v>
      </c>
      <c r="B154" t="n">
        <v>1.25</v>
      </c>
      <c r="C154"/>
      <c r="D154"/>
      <c r="E154" t="n">
        <v>-1.25</v>
      </c>
      <c r="F154" t="n">
        <v>-2.75</v>
      </c>
      <c r="G154" t="n">
        <v>172</v>
      </c>
      <c r="H154" t="n">
        <v>12</v>
      </c>
      <c r="I154" t="s">
        <v>298</v>
      </c>
      <c r="J154" t="n">
        <v>0</v>
      </c>
      <c r="K154" t="n">
        <v>0</v>
      </c>
      <c r="L154" t="n">
        <v>0</v>
      </c>
      <c r="M154" t="n">
        <v>12</v>
      </c>
      <c r="N154"/>
      <c r="O154"/>
      <c r="P154"/>
      <c r="Q154" t="n">
        <v>12</v>
      </c>
      <c r="R154" t="s">
        <v>109</v>
      </c>
      <c r="S154" t="s">
        <v>109</v>
      </c>
      <c r="T154"/>
    </row>
    <row r="155">
      <c r="A155" t="s">
        <v>31</v>
      </c>
      <c r="B155" t="n">
        <v>1</v>
      </c>
      <c r="C155" t="n">
        <v>1.25</v>
      </c>
      <c r="D155" t="n">
        <v>1.25</v>
      </c>
      <c r="E155" t="n">
        <v>-3</v>
      </c>
      <c r="F155" t="n">
        <v>-0.5</v>
      </c>
      <c r="G155" t="n">
        <v>85</v>
      </c>
      <c r="H155" t="n">
        <v>12</v>
      </c>
      <c r="I155" t="s">
        <v>297</v>
      </c>
      <c r="J155" t="n">
        <v>0</v>
      </c>
      <c r="K155" t="n">
        <v>0</v>
      </c>
      <c r="L155" t="n">
        <v>0</v>
      </c>
      <c r="M155" t="n">
        <v>12</v>
      </c>
      <c r="N155" t="n">
        <v>0.25</v>
      </c>
      <c r="O155" t="n">
        <v>-0.25</v>
      </c>
      <c r="P155" t="n">
        <v>110</v>
      </c>
      <c r="Q155" t="n">
        <v>12</v>
      </c>
      <c r="R155" t="s">
        <v>298</v>
      </c>
      <c r="S155" t="s">
        <v>298</v>
      </c>
      <c r="T155" t="n">
        <v>0.125</v>
      </c>
    </row>
    <row r="156">
      <c r="A156" t="s">
        <v>31</v>
      </c>
      <c r="B156" t="n">
        <v>1.25</v>
      </c>
      <c r="C156" t="n">
        <v>1.25</v>
      </c>
      <c r="D156" t="n">
        <v>1.25</v>
      </c>
      <c r="E156" t="n">
        <v>-5</v>
      </c>
      <c r="F156" t="n">
        <v>-1</v>
      </c>
      <c r="G156" t="n">
        <v>95</v>
      </c>
      <c r="H156" t="n">
        <v>12</v>
      </c>
      <c r="I156" t="s">
        <v>298</v>
      </c>
      <c r="J156" t="n">
        <v>0</v>
      </c>
      <c r="K156" t="n">
        <v>0</v>
      </c>
      <c r="L156" t="n">
        <v>0</v>
      </c>
      <c r="M156" t="n">
        <v>12</v>
      </c>
      <c r="N156" t="n">
        <v>0</v>
      </c>
      <c r="O156" t="n">
        <v>0</v>
      </c>
      <c r="P156" t="n">
        <v>32</v>
      </c>
      <c r="Q156" t="n">
        <v>12</v>
      </c>
      <c r="R156" t="s">
        <v>298</v>
      </c>
      <c r="S156" t="s">
        <v>298</v>
      </c>
      <c r="T156" t="n">
        <v>0</v>
      </c>
    </row>
    <row r="157">
      <c r="A157" t="s">
        <v>31</v>
      </c>
      <c r="B157" t="n">
        <v>1</v>
      </c>
      <c r="C157" t="n">
        <v>1.25</v>
      </c>
      <c r="D157" t="n">
        <v>1.25</v>
      </c>
      <c r="E157" t="n">
        <v>-5.75</v>
      </c>
      <c r="F157" t="n">
        <v>-0.75</v>
      </c>
      <c r="G157" t="n">
        <v>104</v>
      </c>
      <c r="H157" t="n">
        <v>12</v>
      </c>
      <c r="I157" t="s">
        <v>297</v>
      </c>
      <c r="J157" t="n">
        <v>0</v>
      </c>
      <c r="K157" t="n">
        <v>0</v>
      </c>
      <c r="L157" t="n">
        <v>0</v>
      </c>
      <c r="M157" t="n">
        <v>12</v>
      </c>
      <c r="N157" t="n">
        <v>-0.25</v>
      </c>
      <c r="O157" t="n">
        <v>-0.25</v>
      </c>
      <c r="P157" t="n">
        <v>84</v>
      </c>
      <c r="Q157" t="n">
        <v>12</v>
      </c>
      <c r="R157" t="s">
        <v>298</v>
      </c>
      <c r="S157" t="s">
        <v>298</v>
      </c>
      <c r="T157" t="n">
        <v>-0.375</v>
      </c>
    </row>
    <row r="158">
      <c r="A158" t="s">
        <v>31</v>
      </c>
      <c r="B158" t="n">
        <v>1</v>
      </c>
      <c r="C158" t="n">
        <v>1</v>
      </c>
      <c r="D158" t="n">
        <v>1</v>
      </c>
      <c r="E158" t="n">
        <v>-6.5</v>
      </c>
      <c r="F158" t="n">
        <v>-0.5</v>
      </c>
      <c r="G158" t="n">
        <v>77</v>
      </c>
      <c r="H158" t="n">
        <v>12</v>
      </c>
      <c r="I158" t="s">
        <v>297</v>
      </c>
      <c r="J158" t="n">
        <v>0</v>
      </c>
      <c r="K158" t="n">
        <v>0</v>
      </c>
      <c r="L158" t="n">
        <v>0</v>
      </c>
      <c r="M158" t="n">
        <v>12</v>
      </c>
      <c r="N158" t="n">
        <v>0</v>
      </c>
      <c r="O158" t="n">
        <v>-0.25</v>
      </c>
      <c r="P158" t="n">
        <v>48</v>
      </c>
      <c r="Q158" t="n">
        <v>12</v>
      </c>
      <c r="R158" t="s">
        <v>297</v>
      </c>
      <c r="S158" t="s">
        <v>297</v>
      </c>
      <c r="T158" t="n">
        <v>-0.125</v>
      </c>
    </row>
    <row r="159">
      <c r="A159" t="s">
        <v>31</v>
      </c>
      <c r="B159" t="n">
        <v>1.25</v>
      </c>
      <c r="C159" t="n">
        <v>1.6</v>
      </c>
      <c r="D159" t="n">
        <v>1.6</v>
      </c>
      <c r="E159" t="n">
        <v>-3.75</v>
      </c>
      <c r="F159" t="n">
        <v>-1.75</v>
      </c>
      <c r="G159" t="n">
        <v>65</v>
      </c>
      <c r="H159" t="n">
        <v>12</v>
      </c>
      <c r="I159" t="s">
        <v>298</v>
      </c>
      <c r="J159" t="n">
        <v>0</v>
      </c>
      <c r="K159" t="n">
        <v>0</v>
      </c>
      <c r="L159" t="n">
        <v>0</v>
      </c>
      <c r="M159" t="n">
        <v>12</v>
      </c>
      <c r="N159" t="n">
        <v>0</v>
      </c>
      <c r="O159" t="n">
        <v>-0.25</v>
      </c>
      <c r="P159" t="n">
        <v>9</v>
      </c>
      <c r="Q159" t="n">
        <v>12</v>
      </c>
      <c r="R159" t="s">
        <v>299</v>
      </c>
      <c r="S159" t="s">
        <v>299</v>
      </c>
      <c r="T159" t="n">
        <v>-0.125</v>
      </c>
    </row>
    <row r="160">
      <c r="A160" t="s">
        <v>31</v>
      </c>
      <c r="B160" t="n">
        <v>1.25</v>
      </c>
      <c r="C160" t="n">
        <v>1.6</v>
      </c>
      <c r="D160" t="n">
        <v>1.6</v>
      </c>
      <c r="E160" t="n">
        <v>-4</v>
      </c>
      <c r="F160" t="n">
        <v>-1.25</v>
      </c>
      <c r="G160" t="n">
        <v>107</v>
      </c>
      <c r="H160" t="n">
        <v>12</v>
      </c>
      <c r="I160" t="s">
        <v>298</v>
      </c>
      <c r="J160" t="n">
        <v>0</v>
      </c>
      <c r="K160" t="n">
        <v>0</v>
      </c>
      <c r="L160" t="n">
        <v>0</v>
      </c>
      <c r="M160" t="n">
        <v>12</v>
      </c>
      <c r="N160" t="n">
        <v>0</v>
      </c>
      <c r="O160" t="n">
        <v>-0.25</v>
      </c>
      <c r="P160" t="n">
        <v>134</v>
      </c>
      <c r="Q160" t="n">
        <v>12</v>
      </c>
      <c r="R160" t="s">
        <v>299</v>
      </c>
      <c r="S160" t="s">
        <v>299</v>
      </c>
      <c r="T160" t="n">
        <v>-0.125</v>
      </c>
    </row>
    <row r="161">
      <c r="A161" t="s">
        <v>31</v>
      </c>
      <c r="B161" t="n">
        <v>1</v>
      </c>
      <c r="C161"/>
      <c r="D161"/>
      <c r="E161" t="n">
        <v>-5.5</v>
      </c>
      <c r="F161" t="n">
        <v>-0.75</v>
      </c>
      <c r="G161" t="n">
        <v>12</v>
      </c>
      <c r="H161" t="n">
        <v>12</v>
      </c>
      <c r="I161" t="s">
        <v>297</v>
      </c>
      <c r="J161" t="n">
        <v>0</v>
      </c>
      <c r="K161" t="n">
        <v>0</v>
      </c>
      <c r="L161" t="n">
        <v>0</v>
      </c>
      <c r="M161" t="n">
        <v>12</v>
      </c>
      <c r="N161"/>
      <c r="O161"/>
      <c r="P161"/>
      <c r="Q161" t="n">
        <v>12</v>
      </c>
      <c r="R161" t="s">
        <v>109</v>
      </c>
      <c r="S161" t="s">
        <v>109</v>
      </c>
      <c r="T161"/>
    </row>
    <row r="162">
      <c r="A162" t="s">
        <v>31</v>
      </c>
      <c r="B162" t="n">
        <v>1</v>
      </c>
      <c r="C162"/>
      <c r="D162"/>
      <c r="E162" t="n">
        <v>-4</v>
      </c>
      <c r="F162" t="n">
        <v>-0.75</v>
      </c>
      <c r="G162" t="n">
        <v>5</v>
      </c>
      <c r="H162" t="n">
        <v>12</v>
      </c>
      <c r="I162" t="s">
        <v>297</v>
      </c>
      <c r="J162" t="n">
        <v>0</v>
      </c>
      <c r="K162" t="n">
        <v>0</v>
      </c>
      <c r="L162" t="n">
        <v>0</v>
      </c>
      <c r="M162" t="n">
        <v>12</v>
      </c>
      <c r="N162"/>
      <c r="O162"/>
      <c r="P162"/>
      <c r="Q162" t="n">
        <v>12</v>
      </c>
      <c r="R162" t="s">
        <v>109</v>
      </c>
      <c r="S162" t="s">
        <v>109</v>
      </c>
      <c r="T162"/>
    </row>
    <row r="163">
      <c r="A163" t="s">
        <v>31</v>
      </c>
      <c r="B163" t="n">
        <v>1</v>
      </c>
      <c r="C163" t="n">
        <v>1</v>
      </c>
      <c r="D163" t="n">
        <v>1</v>
      </c>
      <c r="E163" t="n">
        <v>-4</v>
      </c>
      <c r="F163" t="n">
        <v>-1.25</v>
      </c>
      <c r="G163" t="n">
        <v>22</v>
      </c>
      <c r="H163" t="n">
        <v>12</v>
      </c>
      <c r="I163" t="s">
        <v>297</v>
      </c>
      <c r="J163" t="n">
        <v>0</v>
      </c>
      <c r="K163" t="n">
        <v>0</v>
      </c>
      <c r="L163" t="n">
        <v>0</v>
      </c>
      <c r="M163" t="n">
        <v>12</v>
      </c>
      <c r="N163" t="n">
        <v>-0.25</v>
      </c>
      <c r="O163" t="n">
        <v>-0.25</v>
      </c>
      <c r="P163" t="n">
        <v>156</v>
      </c>
      <c r="Q163" t="n">
        <v>12</v>
      </c>
      <c r="R163" t="s">
        <v>297</v>
      </c>
      <c r="S163" t="s">
        <v>297</v>
      </c>
      <c r="T163" t="n">
        <v>-0.375</v>
      </c>
    </row>
    <row r="164">
      <c r="A164" t="s">
        <v>31</v>
      </c>
      <c r="B164" t="n">
        <v>0.8</v>
      </c>
      <c r="C164" t="n">
        <v>0.8</v>
      </c>
      <c r="D164" t="n">
        <v>0.8</v>
      </c>
      <c r="E164" t="n">
        <v>-5.5</v>
      </c>
      <c r="F164" t="n">
        <v>-1.5</v>
      </c>
      <c r="G164" t="n">
        <v>172</v>
      </c>
      <c r="H164" t="n">
        <v>12</v>
      </c>
      <c r="I164" t="s">
        <v>296</v>
      </c>
      <c r="J164" t="n">
        <v>0</v>
      </c>
      <c r="K164" t="n">
        <v>0</v>
      </c>
      <c r="L164" t="n">
        <v>0</v>
      </c>
      <c r="M164" t="n">
        <v>12</v>
      </c>
      <c r="N164" t="n">
        <v>-0.25</v>
      </c>
      <c r="O164" t="n">
        <v>-0.25</v>
      </c>
      <c r="P164" t="n">
        <v>137</v>
      </c>
      <c r="Q164" t="n">
        <v>12</v>
      </c>
      <c r="R164" t="s">
        <v>296</v>
      </c>
      <c r="S164" t="s">
        <v>296</v>
      </c>
      <c r="T164" t="n">
        <v>-0.375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5" t="s">
        <v>279</v>
      </c>
      <c r="B1" s="5" t="s">
        <v>280</v>
      </c>
      <c r="C1" s="5" t="s">
        <v>281</v>
      </c>
      <c r="D1" s="5" t="s">
        <v>282</v>
      </c>
      <c r="E1" s="6" t="s">
        <v>283</v>
      </c>
      <c r="F1" s="6" t="s">
        <v>284</v>
      </c>
      <c r="G1" s="6" t="s">
        <v>285</v>
      </c>
      <c r="H1" s="6" t="s">
        <v>286</v>
      </c>
      <c r="I1" s="6" t="s">
        <v>82</v>
      </c>
      <c r="J1" s="7" t="s">
        <v>287</v>
      </c>
      <c r="K1" s="7" t="s">
        <v>288</v>
      </c>
      <c r="L1" s="7" t="s">
        <v>289</v>
      </c>
      <c r="M1" s="7" t="s">
        <v>290</v>
      </c>
      <c r="N1" s="8" t="s">
        <v>291</v>
      </c>
      <c r="O1" s="8" t="s">
        <v>292</v>
      </c>
      <c r="P1" s="8" t="s">
        <v>293</v>
      </c>
      <c r="Q1" s="8" t="s">
        <v>294</v>
      </c>
      <c r="R1" s="8" t="s">
        <v>203</v>
      </c>
      <c r="S1" s="8" t="s">
        <v>194</v>
      </c>
      <c r="T1" s="9" t="s">
        <v>295</v>
      </c>
    </row>
    <row r="2">
      <c r="A2" t="s">
        <v>32</v>
      </c>
      <c r="B2" t="n">
        <v>1.25</v>
      </c>
      <c r="C2"/>
      <c r="D2"/>
      <c r="E2" t="n">
        <v>-3.25</v>
      </c>
      <c r="F2" t="n">
        <v>-0.5</v>
      </c>
      <c r="G2" t="n">
        <v>170</v>
      </c>
      <c r="H2" t="n">
        <v>12</v>
      </c>
      <c r="I2" t="s">
        <v>298</v>
      </c>
      <c r="J2" t="n">
        <v>0</v>
      </c>
      <c r="K2" t="n">
        <v>0</v>
      </c>
      <c r="L2" t="n">
        <v>0</v>
      </c>
      <c r="M2" t="n">
        <v>12</v>
      </c>
      <c r="N2"/>
      <c r="O2"/>
      <c r="P2"/>
      <c r="Q2" t="n">
        <v>12</v>
      </c>
      <c r="R2" t="s">
        <v>109</v>
      </c>
      <c r="S2" t="s">
        <v>109</v>
      </c>
      <c r="T2"/>
    </row>
    <row r="3">
      <c r="A3" t="s">
        <v>32</v>
      </c>
      <c r="B3" t="n">
        <v>1.25</v>
      </c>
      <c r="C3"/>
      <c r="D3"/>
      <c r="E3" t="n">
        <v>-4</v>
      </c>
      <c r="F3" t="n">
        <v>-0.5</v>
      </c>
      <c r="G3" t="n">
        <v>13</v>
      </c>
      <c r="H3" t="n">
        <v>12</v>
      </c>
      <c r="I3" t="s">
        <v>298</v>
      </c>
      <c r="J3" t="n">
        <v>0</v>
      </c>
      <c r="K3" t="n">
        <v>0</v>
      </c>
      <c r="L3" t="n">
        <v>0</v>
      </c>
      <c r="M3" t="n">
        <v>12</v>
      </c>
      <c r="N3"/>
      <c r="O3"/>
      <c r="P3"/>
      <c r="Q3" t="n">
        <v>12</v>
      </c>
      <c r="R3" t="s">
        <v>109</v>
      </c>
      <c r="S3" t="s">
        <v>109</v>
      </c>
      <c r="T3"/>
    </row>
    <row r="4">
      <c r="A4" t="s">
        <v>32</v>
      </c>
      <c r="B4" t="n">
        <v>1.25</v>
      </c>
      <c r="C4" t="n">
        <v>1.25</v>
      </c>
      <c r="D4" t="n">
        <v>1.25</v>
      </c>
      <c r="E4" t="n">
        <v>-2.25</v>
      </c>
      <c r="F4" t="n">
        <v>-0.25</v>
      </c>
      <c r="G4" t="n">
        <v>147</v>
      </c>
      <c r="H4" t="n">
        <v>12</v>
      </c>
      <c r="I4" t="s">
        <v>298</v>
      </c>
      <c r="J4" t="n">
        <v>0</v>
      </c>
      <c r="K4" t="n">
        <v>0</v>
      </c>
      <c r="L4" t="n">
        <v>0</v>
      </c>
      <c r="M4" t="n">
        <v>12</v>
      </c>
      <c r="N4" t="n">
        <v>0</v>
      </c>
      <c r="O4" t="n">
        <v>0</v>
      </c>
      <c r="P4" t="n">
        <v>169</v>
      </c>
      <c r="Q4" t="n">
        <v>12</v>
      </c>
      <c r="R4" t="s">
        <v>298</v>
      </c>
      <c r="S4" t="s">
        <v>298</v>
      </c>
      <c r="T4" t="n">
        <v>0</v>
      </c>
    </row>
    <row r="5">
      <c r="A5" t="s">
        <v>32</v>
      </c>
      <c r="B5" t="n">
        <v>1.25</v>
      </c>
      <c r="C5" t="n">
        <v>1</v>
      </c>
      <c r="D5" t="n">
        <v>1.25</v>
      </c>
      <c r="E5" t="n">
        <v>-6.75</v>
      </c>
      <c r="F5" t="n">
        <v>-0.25</v>
      </c>
      <c r="G5" t="n">
        <v>14</v>
      </c>
      <c r="H5" t="n">
        <v>12</v>
      </c>
      <c r="I5" t="s">
        <v>298</v>
      </c>
      <c r="J5" t="n">
        <v>0</v>
      </c>
      <c r="K5" t="n">
        <v>0</v>
      </c>
      <c r="L5" t="n">
        <v>0</v>
      </c>
      <c r="M5" t="n">
        <v>12</v>
      </c>
      <c r="N5" t="n">
        <v>-0.5</v>
      </c>
      <c r="O5" t="n">
        <v>0</v>
      </c>
      <c r="P5" t="n">
        <v>43</v>
      </c>
      <c r="Q5" t="n">
        <v>12</v>
      </c>
      <c r="R5" t="s">
        <v>298</v>
      </c>
      <c r="S5" t="s">
        <v>297</v>
      </c>
      <c r="T5" t="n">
        <v>-0.5</v>
      </c>
    </row>
    <row r="6">
      <c r="A6" t="s">
        <v>32</v>
      </c>
      <c r="B6" t="n">
        <v>1</v>
      </c>
      <c r="C6" t="n">
        <v>0.8</v>
      </c>
      <c r="D6" t="n">
        <v>0.8</v>
      </c>
      <c r="E6" t="n">
        <v>-1</v>
      </c>
      <c r="F6" t="n">
        <v>-0.75</v>
      </c>
      <c r="G6" t="n">
        <v>156</v>
      </c>
      <c r="H6" t="n">
        <v>12</v>
      </c>
      <c r="I6" t="s">
        <v>297</v>
      </c>
      <c r="J6" t="n">
        <v>0</v>
      </c>
      <c r="K6" t="n">
        <v>0</v>
      </c>
      <c r="L6" t="n">
        <v>0</v>
      </c>
      <c r="M6" t="n">
        <v>12</v>
      </c>
      <c r="N6" t="n">
        <v>0.5</v>
      </c>
      <c r="O6" t="n">
        <v>0</v>
      </c>
      <c r="P6" t="n">
        <v>149</v>
      </c>
      <c r="Q6" t="n">
        <v>12</v>
      </c>
      <c r="R6" t="s">
        <v>296</v>
      </c>
      <c r="S6" t="s">
        <v>296</v>
      </c>
      <c r="T6" t="n">
        <v>0.5</v>
      </c>
    </row>
    <row r="7">
      <c r="A7" t="s">
        <v>32</v>
      </c>
      <c r="B7" t="n">
        <v>1</v>
      </c>
      <c r="C7" t="n">
        <v>0.63</v>
      </c>
      <c r="D7" t="n">
        <v>0.63</v>
      </c>
      <c r="E7" t="n">
        <v>-3.5</v>
      </c>
      <c r="F7" t="n">
        <v>-1</v>
      </c>
      <c r="G7" t="n">
        <v>26</v>
      </c>
      <c r="H7" t="n">
        <v>12</v>
      </c>
      <c r="I7" t="s">
        <v>297</v>
      </c>
      <c r="J7" t="n">
        <v>0</v>
      </c>
      <c r="K7" t="n">
        <v>0</v>
      </c>
      <c r="L7" t="n">
        <v>0</v>
      </c>
      <c r="M7" t="n">
        <v>12</v>
      </c>
      <c r="N7" t="n">
        <v>0</v>
      </c>
      <c r="O7" t="n">
        <v>-0.25</v>
      </c>
      <c r="P7" t="n">
        <v>42</v>
      </c>
      <c r="Q7" t="n">
        <v>12</v>
      </c>
      <c r="R7" t="s">
        <v>301</v>
      </c>
      <c r="S7" t="s">
        <v>301</v>
      </c>
      <c r="T7" t="n">
        <v>-0.125</v>
      </c>
    </row>
    <row r="8">
      <c r="A8" t="s">
        <v>32</v>
      </c>
      <c r="B8" t="n">
        <v>1.25</v>
      </c>
      <c r="C8" t="n">
        <v>1.25</v>
      </c>
      <c r="D8" t="n">
        <v>1.25</v>
      </c>
      <c r="E8" t="n">
        <v>-6</v>
      </c>
      <c r="F8" t="n">
        <v>-0.75</v>
      </c>
      <c r="G8" t="n">
        <v>2</v>
      </c>
      <c r="H8" t="n">
        <v>12</v>
      </c>
      <c r="I8" t="s">
        <v>298</v>
      </c>
      <c r="J8" t="n">
        <v>0</v>
      </c>
      <c r="K8" t="n">
        <v>0</v>
      </c>
      <c r="L8" t="n">
        <v>0</v>
      </c>
      <c r="M8" t="n">
        <v>12</v>
      </c>
      <c r="N8" t="n">
        <v>0</v>
      </c>
      <c r="O8" t="n">
        <v>-0.25</v>
      </c>
      <c r="P8" t="n">
        <v>48</v>
      </c>
      <c r="Q8" t="n">
        <v>12</v>
      </c>
      <c r="R8" t="s">
        <v>298</v>
      </c>
      <c r="S8" t="s">
        <v>298</v>
      </c>
      <c r="T8" t="n">
        <v>-0.125</v>
      </c>
    </row>
    <row r="9">
      <c r="A9" t="s">
        <v>32</v>
      </c>
      <c r="B9" t="n">
        <v>1.25</v>
      </c>
      <c r="C9" t="n">
        <v>1.25</v>
      </c>
      <c r="D9" t="n">
        <v>1.6</v>
      </c>
      <c r="E9" t="n">
        <v>-6</v>
      </c>
      <c r="F9" t="n">
        <v>-1.75</v>
      </c>
      <c r="G9" t="n">
        <v>176</v>
      </c>
      <c r="H9" t="n">
        <v>12</v>
      </c>
      <c r="I9" t="s">
        <v>298</v>
      </c>
      <c r="J9" t="n">
        <v>0</v>
      </c>
      <c r="K9" t="n">
        <v>0</v>
      </c>
      <c r="L9" t="n">
        <v>0</v>
      </c>
      <c r="M9" t="n">
        <v>12</v>
      </c>
      <c r="N9" t="n">
        <v>-0.5</v>
      </c>
      <c r="O9" t="n">
        <v>-0.5</v>
      </c>
      <c r="P9" t="n">
        <v>129</v>
      </c>
      <c r="Q9" t="n">
        <v>12</v>
      </c>
      <c r="R9" t="s">
        <v>299</v>
      </c>
      <c r="S9" t="s">
        <v>298</v>
      </c>
      <c r="T9" t="n">
        <v>-0.75</v>
      </c>
    </row>
    <row r="10">
      <c r="A10" t="s">
        <v>32</v>
      </c>
      <c r="B10" t="n">
        <v>1.25</v>
      </c>
      <c r="C10" t="n">
        <v>1.25</v>
      </c>
      <c r="D10" t="n">
        <v>1.25</v>
      </c>
      <c r="E10" t="n">
        <v>-2.75</v>
      </c>
      <c r="F10" t="n">
        <v>-0.75</v>
      </c>
      <c r="G10" t="n">
        <v>165</v>
      </c>
      <c r="H10" t="n">
        <v>12</v>
      </c>
      <c r="I10" t="s">
        <v>298</v>
      </c>
      <c r="J10" t="n">
        <v>0</v>
      </c>
      <c r="K10" t="n">
        <v>0</v>
      </c>
      <c r="L10" t="n">
        <v>0</v>
      </c>
      <c r="M10" t="n">
        <v>12</v>
      </c>
      <c r="N10" t="n">
        <v>0.75</v>
      </c>
      <c r="O10" t="n">
        <v>-0.25</v>
      </c>
      <c r="P10" t="n">
        <v>100</v>
      </c>
      <c r="Q10" t="n">
        <v>12</v>
      </c>
      <c r="R10" t="s">
        <v>298</v>
      </c>
      <c r="S10" t="s">
        <v>298</v>
      </c>
      <c r="T10" t="n">
        <v>0.625</v>
      </c>
    </row>
    <row r="11">
      <c r="A11" t="s">
        <v>32</v>
      </c>
      <c r="B11" t="n">
        <v>1.25</v>
      </c>
      <c r="C11" t="n">
        <v>1.25</v>
      </c>
      <c r="D11" t="n">
        <v>1.25</v>
      </c>
      <c r="E11" t="n">
        <v>-3</v>
      </c>
      <c r="F11" t="n">
        <v>-1</v>
      </c>
      <c r="G11" t="n">
        <v>18</v>
      </c>
      <c r="H11" t="n">
        <v>12</v>
      </c>
      <c r="I11" t="s">
        <v>298</v>
      </c>
      <c r="J11" t="n">
        <v>0</v>
      </c>
      <c r="K11" t="n">
        <v>0</v>
      </c>
      <c r="L11" t="n">
        <v>0</v>
      </c>
      <c r="M11" t="n">
        <v>12</v>
      </c>
      <c r="N11" t="n">
        <v>0</v>
      </c>
      <c r="O11" t="n">
        <v>-0.25</v>
      </c>
      <c r="P11" t="n">
        <v>129</v>
      </c>
      <c r="Q11" t="n">
        <v>12</v>
      </c>
      <c r="R11" t="s">
        <v>298</v>
      </c>
      <c r="S11" t="s">
        <v>298</v>
      </c>
      <c r="T11" t="n">
        <v>-0.125</v>
      </c>
    </row>
    <row r="12">
      <c r="A12" t="s">
        <v>32</v>
      </c>
      <c r="B12" t="n">
        <v>1.25</v>
      </c>
      <c r="C12"/>
      <c r="D12"/>
      <c r="E12" t="n">
        <v>-5</v>
      </c>
      <c r="F12" t="n">
        <v>-2.75</v>
      </c>
      <c r="G12" t="n">
        <v>146</v>
      </c>
      <c r="H12" t="n">
        <v>12</v>
      </c>
      <c r="I12" t="s">
        <v>298</v>
      </c>
      <c r="J12" t="n">
        <v>0</v>
      </c>
      <c r="K12" t="n">
        <v>0</v>
      </c>
      <c r="L12" t="n">
        <v>0</v>
      </c>
      <c r="M12" t="n">
        <v>12</v>
      </c>
      <c r="N12"/>
      <c r="O12"/>
      <c r="P12"/>
      <c r="Q12" t="n">
        <v>12</v>
      </c>
      <c r="R12" t="s">
        <v>109</v>
      </c>
      <c r="S12" t="s">
        <v>109</v>
      </c>
      <c r="T12"/>
    </row>
    <row r="13">
      <c r="A13" t="s">
        <v>32</v>
      </c>
      <c r="B13" t="n">
        <v>1.25</v>
      </c>
      <c r="C13"/>
      <c r="D13"/>
      <c r="E13" t="n">
        <v>-4.75</v>
      </c>
      <c r="F13" t="n">
        <v>-2.25</v>
      </c>
      <c r="G13" t="n">
        <v>30</v>
      </c>
      <c r="H13" t="n">
        <v>12</v>
      </c>
      <c r="I13" t="s">
        <v>298</v>
      </c>
      <c r="J13" t="n">
        <v>0</v>
      </c>
      <c r="K13" t="n">
        <v>0</v>
      </c>
      <c r="L13" t="n">
        <v>0</v>
      </c>
      <c r="M13" t="n">
        <v>12</v>
      </c>
      <c r="N13"/>
      <c r="O13"/>
      <c r="P13"/>
      <c r="Q13" t="n">
        <v>12</v>
      </c>
      <c r="R13" t="s">
        <v>109</v>
      </c>
      <c r="S13" t="s">
        <v>109</v>
      </c>
      <c r="T13"/>
    </row>
    <row r="14">
      <c r="A14" t="s">
        <v>32</v>
      </c>
      <c r="B14" t="n">
        <v>1.25</v>
      </c>
      <c r="C14"/>
      <c r="D14"/>
      <c r="E14" t="n">
        <v>-5.25</v>
      </c>
      <c r="F14" t="n">
        <v>-0.75</v>
      </c>
      <c r="G14" t="n">
        <v>112</v>
      </c>
      <c r="H14" t="n">
        <v>12</v>
      </c>
      <c r="I14" t="s">
        <v>298</v>
      </c>
      <c r="J14" t="n">
        <v>0</v>
      </c>
      <c r="K14" t="n">
        <v>0</v>
      </c>
      <c r="L14" t="n">
        <v>0</v>
      </c>
      <c r="M14" t="n">
        <v>12</v>
      </c>
      <c r="N14"/>
      <c r="O14"/>
      <c r="P14"/>
      <c r="Q14" t="n">
        <v>12</v>
      </c>
      <c r="R14" t="s">
        <v>109</v>
      </c>
      <c r="S14" t="s">
        <v>109</v>
      </c>
      <c r="T14"/>
    </row>
    <row r="15">
      <c r="A15" t="s">
        <v>32</v>
      </c>
      <c r="B15" t="n">
        <v>1.25</v>
      </c>
      <c r="C15"/>
      <c r="D15"/>
      <c r="E15" t="n">
        <v>-6.5</v>
      </c>
      <c r="F15" t="n">
        <v>-1.25</v>
      </c>
      <c r="G15" t="n">
        <v>75</v>
      </c>
      <c r="H15" t="n">
        <v>12</v>
      </c>
      <c r="I15" t="s">
        <v>298</v>
      </c>
      <c r="J15" t="n">
        <v>0</v>
      </c>
      <c r="K15" t="n">
        <v>0</v>
      </c>
      <c r="L15" t="n">
        <v>0</v>
      </c>
      <c r="M15" t="n">
        <v>12</v>
      </c>
      <c r="N15"/>
      <c r="O15"/>
      <c r="P15"/>
      <c r="Q15" t="n">
        <v>12</v>
      </c>
      <c r="R15" t="s">
        <v>109</v>
      </c>
      <c r="S15" t="s">
        <v>109</v>
      </c>
      <c r="T15"/>
    </row>
    <row r="16">
      <c r="A16" t="s">
        <v>32</v>
      </c>
      <c r="B16" t="n">
        <v>1</v>
      </c>
      <c r="C16" t="n">
        <v>1</v>
      </c>
      <c r="D16" t="n">
        <v>1</v>
      </c>
      <c r="E16" t="n">
        <v>-4.75</v>
      </c>
      <c r="F16" t="n">
        <v>-1</v>
      </c>
      <c r="G16" t="n">
        <v>147</v>
      </c>
      <c r="H16" t="n">
        <v>12</v>
      </c>
      <c r="I16" t="s">
        <v>297</v>
      </c>
      <c r="J16" t="n">
        <v>0</v>
      </c>
      <c r="K16" t="n">
        <v>0</v>
      </c>
      <c r="L16" t="n">
        <v>0</v>
      </c>
      <c r="M16" t="n">
        <v>12</v>
      </c>
      <c r="N16" t="n">
        <v>0.5</v>
      </c>
      <c r="O16" t="n">
        <v>-0.5</v>
      </c>
      <c r="P16" t="n">
        <v>129</v>
      </c>
      <c r="Q16" t="n">
        <v>12</v>
      </c>
      <c r="R16" t="s">
        <v>297</v>
      </c>
      <c r="S16" t="s">
        <v>297</v>
      </c>
      <c r="T16" t="n">
        <v>0.25</v>
      </c>
    </row>
    <row r="17">
      <c r="A17" t="s">
        <v>32</v>
      </c>
      <c r="B17" t="n">
        <v>1</v>
      </c>
      <c r="C17" t="n">
        <v>1</v>
      </c>
      <c r="D17" t="n">
        <v>1</v>
      </c>
      <c r="E17" t="n">
        <v>-3.25</v>
      </c>
      <c r="F17" t="n">
        <v>-1.75</v>
      </c>
      <c r="G17" t="n">
        <v>36</v>
      </c>
      <c r="H17" t="n">
        <v>12</v>
      </c>
      <c r="I17" t="s">
        <v>297</v>
      </c>
      <c r="J17" t="n">
        <v>0</v>
      </c>
      <c r="K17" t="n">
        <v>0</v>
      </c>
      <c r="L17" t="n">
        <v>0</v>
      </c>
      <c r="M17" t="n">
        <v>12</v>
      </c>
      <c r="N17" t="n">
        <v>0.25</v>
      </c>
      <c r="O17" t="n">
        <v>-0.75</v>
      </c>
      <c r="P17" t="n">
        <v>18</v>
      </c>
      <c r="Q17" t="n">
        <v>12</v>
      </c>
      <c r="R17" t="s">
        <v>297</v>
      </c>
      <c r="S17" t="s">
        <v>297</v>
      </c>
      <c r="T17" t="n">
        <v>-0.125</v>
      </c>
    </row>
    <row r="18">
      <c r="A18" t="s">
        <v>32</v>
      </c>
      <c r="B18" t="n">
        <v>1.25</v>
      </c>
      <c r="C18"/>
      <c r="D18"/>
      <c r="E18" t="n">
        <v>-2.75</v>
      </c>
      <c r="F18" t="n">
        <v>-1</v>
      </c>
      <c r="G18" t="n">
        <v>171</v>
      </c>
      <c r="H18" t="n">
        <v>12</v>
      </c>
      <c r="I18" t="s">
        <v>298</v>
      </c>
      <c r="J18" t="n">
        <v>0</v>
      </c>
      <c r="K18" t="n">
        <v>0</v>
      </c>
      <c r="L18" t="n">
        <v>0</v>
      </c>
      <c r="M18" t="n">
        <v>12</v>
      </c>
      <c r="N18"/>
      <c r="O18"/>
      <c r="P18"/>
      <c r="Q18" t="n">
        <v>12</v>
      </c>
      <c r="R18" t="s">
        <v>109</v>
      </c>
      <c r="S18" t="s">
        <v>109</v>
      </c>
      <c r="T18"/>
    </row>
    <row r="19">
      <c r="A19" t="s">
        <v>32</v>
      </c>
      <c r="B19" t="n">
        <v>1.25</v>
      </c>
      <c r="C19"/>
      <c r="D19"/>
      <c r="E19" t="n">
        <v>-4.25</v>
      </c>
      <c r="F19" t="n">
        <v>-0.25</v>
      </c>
      <c r="G19" t="n">
        <v>14</v>
      </c>
      <c r="H19" t="n">
        <v>12</v>
      </c>
      <c r="I19" t="s">
        <v>298</v>
      </c>
      <c r="J19" t="n">
        <v>0</v>
      </c>
      <c r="K19" t="n">
        <v>0</v>
      </c>
      <c r="L19" t="n">
        <v>0</v>
      </c>
      <c r="M19" t="n">
        <v>12</v>
      </c>
      <c r="N19"/>
      <c r="O19"/>
      <c r="P19"/>
      <c r="Q19" t="n">
        <v>12</v>
      </c>
      <c r="R19" t="s">
        <v>109</v>
      </c>
      <c r="S19" t="s">
        <v>109</v>
      </c>
      <c r="T19"/>
    </row>
    <row r="20">
      <c r="A20" t="s">
        <v>32</v>
      </c>
      <c r="B20" t="n">
        <v>1</v>
      </c>
      <c r="C20" t="n">
        <v>1</v>
      </c>
      <c r="D20" t="n">
        <v>1</v>
      </c>
      <c r="E20" t="n">
        <v>-6</v>
      </c>
      <c r="F20" t="n">
        <v>-0.5</v>
      </c>
      <c r="G20" t="n">
        <v>112</v>
      </c>
      <c r="H20" t="n">
        <v>12</v>
      </c>
      <c r="I20" t="s">
        <v>297</v>
      </c>
      <c r="J20" t="n">
        <v>0</v>
      </c>
      <c r="K20" t="n">
        <v>0</v>
      </c>
      <c r="L20" t="n">
        <v>0</v>
      </c>
      <c r="M20" t="n">
        <v>12</v>
      </c>
      <c r="N20" t="n">
        <v>-0.25</v>
      </c>
      <c r="O20" t="n">
        <v>-0.25</v>
      </c>
      <c r="P20" t="n">
        <v>170</v>
      </c>
      <c r="Q20" t="n">
        <v>12</v>
      </c>
      <c r="R20" t="s">
        <v>297</v>
      </c>
      <c r="S20" t="s">
        <v>297</v>
      </c>
      <c r="T20" t="n">
        <v>-0.375</v>
      </c>
    </row>
    <row r="21">
      <c r="A21" t="s">
        <v>32</v>
      </c>
      <c r="B21" t="n">
        <v>1</v>
      </c>
      <c r="C21" t="n">
        <v>1</v>
      </c>
      <c r="D21" t="n">
        <v>1</v>
      </c>
      <c r="E21" t="n">
        <v>-6.25</v>
      </c>
      <c r="F21" t="n">
        <v>-0.25</v>
      </c>
      <c r="G21" t="n">
        <v>64</v>
      </c>
      <c r="H21" t="n">
        <v>12</v>
      </c>
      <c r="I21" t="s">
        <v>297</v>
      </c>
      <c r="J21" t="n">
        <v>0</v>
      </c>
      <c r="K21" t="n">
        <v>0</v>
      </c>
      <c r="L21" t="n">
        <v>0</v>
      </c>
      <c r="M21" t="n">
        <v>12</v>
      </c>
      <c r="N21" t="n">
        <v>0</v>
      </c>
      <c r="O21" t="n">
        <v>0</v>
      </c>
      <c r="P21" t="n">
        <v>23</v>
      </c>
      <c r="Q21" t="n">
        <v>12</v>
      </c>
      <c r="R21" t="s">
        <v>297</v>
      </c>
      <c r="S21" t="s">
        <v>297</v>
      </c>
      <c r="T21" t="n">
        <v>0</v>
      </c>
    </row>
    <row r="22">
      <c r="A22" t="s">
        <v>32</v>
      </c>
      <c r="B22" t="n">
        <v>1.25</v>
      </c>
      <c r="C22" t="n">
        <v>1</v>
      </c>
      <c r="D22" t="n">
        <v>1.25</v>
      </c>
      <c r="E22" t="n">
        <v>-1</v>
      </c>
      <c r="F22" t="n">
        <v>-3.25</v>
      </c>
      <c r="G22" t="n">
        <v>178</v>
      </c>
      <c r="H22" t="n">
        <v>12</v>
      </c>
      <c r="I22" t="s">
        <v>298</v>
      </c>
      <c r="J22" t="n">
        <v>0</v>
      </c>
      <c r="K22" t="n">
        <v>0</v>
      </c>
      <c r="L22" t="n">
        <v>0</v>
      </c>
      <c r="M22" t="n">
        <v>12</v>
      </c>
      <c r="N22" t="n">
        <v>0.75</v>
      </c>
      <c r="O22" t="n">
        <v>-1.5</v>
      </c>
      <c r="P22" t="n">
        <v>28</v>
      </c>
      <c r="Q22" t="n">
        <v>12</v>
      </c>
      <c r="R22" t="s">
        <v>298</v>
      </c>
      <c r="S22" t="s">
        <v>297</v>
      </c>
      <c r="T22" t="n">
        <v>0</v>
      </c>
    </row>
    <row r="23">
      <c r="A23" t="s">
        <v>32</v>
      </c>
      <c r="B23" t="n">
        <v>1</v>
      </c>
      <c r="C23" t="n">
        <v>1</v>
      </c>
      <c r="D23" t="n">
        <v>1</v>
      </c>
      <c r="E23" t="n">
        <v>-1.25</v>
      </c>
      <c r="F23" t="n">
        <v>-2.25</v>
      </c>
      <c r="G23" t="n">
        <v>173</v>
      </c>
      <c r="H23" t="n">
        <v>12</v>
      </c>
      <c r="I23" t="s">
        <v>297</v>
      </c>
      <c r="J23" t="n">
        <v>0</v>
      </c>
      <c r="K23" t="n">
        <v>0</v>
      </c>
      <c r="L23" t="n">
        <v>0</v>
      </c>
      <c r="M23" t="n">
        <v>12</v>
      </c>
      <c r="N23" t="n">
        <v>0.25</v>
      </c>
      <c r="O23" t="n">
        <v>-0.25</v>
      </c>
      <c r="P23" t="n">
        <v>7</v>
      </c>
      <c r="Q23" t="n">
        <v>12</v>
      </c>
      <c r="R23" t="s">
        <v>297</v>
      </c>
      <c r="S23" t="s">
        <v>297</v>
      </c>
      <c r="T23" t="n">
        <v>0.125</v>
      </c>
    </row>
    <row r="24">
      <c r="A24" t="s">
        <v>32</v>
      </c>
      <c r="B24" t="n">
        <v>1.25</v>
      </c>
      <c r="C24" t="n">
        <v>1</v>
      </c>
      <c r="D24" t="n">
        <v>1</v>
      </c>
      <c r="E24" t="n">
        <v>-2.5</v>
      </c>
      <c r="F24" t="n">
        <v>-0.5</v>
      </c>
      <c r="G24" t="n">
        <v>63</v>
      </c>
      <c r="H24" t="n">
        <v>12</v>
      </c>
      <c r="I24" t="s">
        <v>298</v>
      </c>
      <c r="J24" t="n">
        <v>0</v>
      </c>
      <c r="K24" t="n">
        <v>0</v>
      </c>
      <c r="L24" t="n">
        <v>0</v>
      </c>
      <c r="M24" t="n">
        <v>12</v>
      </c>
      <c r="N24" t="n">
        <v>-0.25</v>
      </c>
      <c r="O24" t="n">
        <v>-0.25</v>
      </c>
      <c r="P24" t="n">
        <v>96</v>
      </c>
      <c r="Q24" t="n">
        <v>12</v>
      </c>
      <c r="R24" t="s">
        <v>297</v>
      </c>
      <c r="S24" t="s">
        <v>297</v>
      </c>
      <c r="T24" t="n">
        <v>-0.375</v>
      </c>
    </row>
    <row r="25">
      <c r="A25" t="s">
        <v>32</v>
      </c>
      <c r="B25" t="n">
        <v>1</v>
      </c>
      <c r="C25" t="n">
        <v>1</v>
      </c>
      <c r="D25" t="n">
        <v>1</v>
      </c>
      <c r="E25" t="n">
        <v>-4.5</v>
      </c>
      <c r="F25" t="n">
        <v>-0.5</v>
      </c>
      <c r="G25" t="n">
        <v>55</v>
      </c>
      <c r="H25" t="n">
        <v>12</v>
      </c>
      <c r="I25" t="s">
        <v>297</v>
      </c>
      <c r="J25" t="n">
        <v>0</v>
      </c>
      <c r="K25" t="n">
        <v>0</v>
      </c>
      <c r="L25" t="n">
        <v>0</v>
      </c>
      <c r="M25" t="n">
        <v>12</v>
      </c>
      <c r="N25" t="n">
        <v>0.5</v>
      </c>
      <c r="O25" t="n">
        <v>-0.25</v>
      </c>
      <c r="P25" t="n">
        <v>91</v>
      </c>
      <c r="Q25" t="n">
        <v>12</v>
      </c>
      <c r="R25" t="s">
        <v>297</v>
      </c>
      <c r="S25" t="s">
        <v>297</v>
      </c>
      <c r="T25" t="n">
        <v>0.375</v>
      </c>
    </row>
    <row r="26">
      <c r="A26" t="s">
        <v>32</v>
      </c>
      <c r="B26" t="n">
        <v>1</v>
      </c>
      <c r="C26" t="n">
        <v>1</v>
      </c>
      <c r="D26" t="n">
        <v>1</v>
      </c>
      <c r="E26" t="n">
        <v>-3.25</v>
      </c>
      <c r="F26" t="n">
        <v>-2</v>
      </c>
      <c r="G26" t="n">
        <v>124</v>
      </c>
      <c r="H26" t="n">
        <v>12</v>
      </c>
      <c r="I26" t="s">
        <v>297</v>
      </c>
      <c r="J26" t="n">
        <v>0</v>
      </c>
      <c r="K26" t="n">
        <v>0</v>
      </c>
      <c r="L26" t="n">
        <v>0</v>
      </c>
      <c r="M26" t="n">
        <v>12</v>
      </c>
      <c r="N26" t="n">
        <v>0.75</v>
      </c>
      <c r="O26" t="n">
        <v>-0.75</v>
      </c>
      <c r="P26" t="n">
        <v>164</v>
      </c>
      <c r="Q26" t="n">
        <v>12</v>
      </c>
      <c r="R26" t="s">
        <v>297</v>
      </c>
      <c r="S26" t="s">
        <v>297</v>
      </c>
      <c r="T26" t="n">
        <v>0.375</v>
      </c>
    </row>
    <row r="27">
      <c r="A27" t="s">
        <v>32</v>
      </c>
      <c r="B27" t="n">
        <v>1</v>
      </c>
      <c r="C27" t="n">
        <v>1</v>
      </c>
      <c r="D27" t="n">
        <v>1</v>
      </c>
      <c r="E27" t="n">
        <v>-1.25</v>
      </c>
      <c r="F27" t="n">
        <v>-0.5</v>
      </c>
      <c r="G27" t="n">
        <v>19</v>
      </c>
      <c r="H27" t="n">
        <v>12</v>
      </c>
      <c r="I27" t="s">
        <v>297</v>
      </c>
      <c r="J27" t="n">
        <v>0</v>
      </c>
      <c r="K27" t="n">
        <v>0</v>
      </c>
      <c r="L27" t="n">
        <v>0</v>
      </c>
      <c r="M27" t="n">
        <v>12</v>
      </c>
      <c r="N27" t="n">
        <v>0.25</v>
      </c>
      <c r="O27" t="n">
        <v>0</v>
      </c>
      <c r="P27" t="n">
        <v>148</v>
      </c>
      <c r="Q27" t="n">
        <v>12</v>
      </c>
      <c r="R27" t="s">
        <v>297</v>
      </c>
      <c r="S27" t="s">
        <v>297</v>
      </c>
      <c r="T27" t="n">
        <v>0.25</v>
      </c>
    </row>
    <row r="28">
      <c r="A28" t="s">
        <v>32</v>
      </c>
      <c r="B28" t="n">
        <v>1</v>
      </c>
      <c r="C28" t="n">
        <v>0.8</v>
      </c>
      <c r="D28" t="n">
        <v>0.8</v>
      </c>
      <c r="E28" t="n">
        <v>-1.5</v>
      </c>
      <c r="F28" t="n">
        <v>-0.5</v>
      </c>
      <c r="G28" t="n">
        <v>167</v>
      </c>
      <c r="H28" t="n">
        <v>12</v>
      </c>
      <c r="I28" t="s">
        <v>297</v>
      </c>
      <c r="J28" t="n">
        <v>0</v>
      </c>
      <c r="K28" t="n">
        <v>0</v>
      </c>
      <c r="L28" t="n">
        <v>0</v>
      </c>
      <c r="M28" t="n">
        <v>12</v>
      </c>
      <c r="N28" t="n">
        <v>0.75</v>
      </c>
      <c r="O28" t="n">
        <v>-0.25</v>
      </c>
      <c r="P28" t="n">
        <v>56</v>
      </c>
      <c r="Q28" t="n">
        <v>12</v>
      </c>
      <c r="R28" t="s">
        <v>296</v>
      </c>
      <c r="S28" t="s">
        <v>296</v>
      </c>
      <c r="T28" t="n">
        <v>0.625</v>
      </c>
    </row>
    <row r="29">
      <c r="A29" t="s">
        <v>32</v>
      </c>
      <c r="B29" t="n">
        <v>1.25</v>
      </c>
      <c r="C29" t="n">
        <v>1</v>
      </c>
      <c r="D29" t="n">
        <v>1.25</v>
      </c>
      <c r="E29" t="n">
        <v>-2.75</v>
      </c>
      <c r="F29" t="n">
        <v>-1.75</v>
      </c>
      <c r="G29" t="n">
        <v>18</v>
      </c>
      <c r="H29" t="n">
        <v>12</v>
      </c>
      <c r="I29" t="s">
        <v>298</v>
      </c>
      <c r="J29" t="n">
        <v>0</v>
      </c>
      <c r="K29" t="n">
        <v>0</v>
      </c>
      <c r="L29" t="n">
        <v>0</v>
      </c>
      <c r="M29" t="n">
        <v>12</v>
      </c>
      <c r="N29" t="n">
        <v>0.25</v>
      </c>
      <c r="O29" t="n">
        <v>-1</v>
      </c>
      <c r="P29" t="n">
        <v>158</v>
      </c>
      <c r="Q29" t="n">
        <v>12</v>
      </c>
      <c r="R29" t="s">
        <v>298</v>
      </c>
      <c r="S29" t="s">
        <v>297</v>
      </c>
      <c r="T29" t="n">
        <v>-0.25</v>
      </c>
    </row>
    <row r="30">
      <c r="A30" t="s">
        <v>32</v>
      </c>
      <c r="B30" t="n">
        <v>1.25</v>
      </c>
      <c r="C30" t="n">
        <v>1.25</v>
      </c>
      <c r="D30" t="n">
        <v>1.25</v>
      </c>
      <c r="E30" t="n">
        <v>-3.25</v>
      </c>
      <c r="F30" t="n">
        <v>-1.25</v>
      </c>
      <c r="G30" t="n">
        <v>171</v>
      </c>
      <c r="H30" t="n">
        <v>12</v>
      </c>
      <c r="I30" t="s">
        <v>298</v>
      </c>
      <c r="J30" t="n">
        <v>0</v>
      </c>
      <c r="K30" t="n">
        <v>0</v>
      </c>
      <c r="L30" t="n">
        <v>0</v>
      </c>
      <c r="M30" t="n">
        <v>12</v>
      </c>
      <c r="N30" t="n">
        <v>0</v>
      </c>
      <c r="O30" t="n">
        <v>-0.25</v>
      </c>
      <c r="P30" t="n">
        <v>28</v>
      </c>
      <c r="Q30" t="n">
        <v>12</v>
      </c>
      <c r="R30" t="s">
        <v>298</v>
      </c>
      <c r="S30" t="s">
        <v>298</v>
      </c>
      <c r="T30" t="n">
        <v>-0.125</v>
      </c>
    </row>
    <row r="31">
      <c r="A31" t="s">
        <v>32</v>
      </c>
      <c r="B31" t="n">
        <v>1.25</v>
      </c>
      <c r="C31" t="n">
        <v>1.25</v>
      </c>
      <c r="D31" t="n">
        <v>1.25</v>
      </c>
      <c r="E31" t="n">
        <v>-5.25</v>
      </c>
      <c r="F31" t="n">
        <v>-0.5</v>
      </c>
      <c r="G31" t="n">
        <v>11</v>
      </c>
      <c r="H31" t="n">
        <v>12</v>
      </c>
      <c r="I31" t="s">
        <v>298</v>
      </c>
      <c r="J31" t="n">
        <v>0</v>
      </c>
      <c r="K31" t="n">
        <v>0</v>
      </c>
      <c r="L31" t="n">
        <v>0</v>
      </c>
      <c r="M31" t="n">
        <v>12</v>
      </c>
      <c r="N31" t="n">
        <v>0.25</v>
      </c>
      <c r="O31" t="n">
        <v>0</v>
      </c>
      <c r="P31" t="n">
        <v>91</v>
      </c>
      <c r="Q31" t="n">
        <v>12</v>
      </c>
      <c r="R31" t="s">
        <v>298</v>
      </c>
      <c r="S31" t="s">
        <v>298</v>
      </c>
      <c r="T31" t="n">
        <v>0.25</v>
      </c>
    </row>
    <row r="32">
      <c r="A32" t="s">
        <v>32</v>
      </c>
      <c r="B32" t="n">
        <v>1.25</v>
      </c>
      <c r="C32" t="n">
        <v>1.6</v>
      </c>
      <c r="D32" t="n">
        <v>1.6</v>
      </c>
      <c r="E32" t="n">
        <v>-3.75</v>
      </c>
      <c r="F32" t="n">
        <v>-1</v>
      </c>
      <c r="G32" t="n">
        <v>159</v>
      </c>
      <c r="H32" t="n">
        <v>12</v>
      </c>
      <c r="I32" t="s">
        <v>298</v>
      </c>
      <c r="J32" t="n">
        <v>0</v>
      </c>
      <c r="K32" t="n">
        <v>0</v>
      </c>
      <c r="L32" t="n">
        <v>0</v>
      </c>
      <c r="M32" t="n">
        <v>12</v>
      </c>
      <c r="N32" t="n">
        <v>0.25</v>
      </c>
      <c r="O32" t="n">
        <v>0</v>
      </c>
      <c r="P32" t="n">
        <v>100</v>
      </c>
      <c r="Q32" t="n">
        <v>12</v>
      </c>
      <c r="R32" t="s">
        <v>299</v>
      </c>
      <c r="S32" t="s">
        <v>299</v>
      </c>
      <c r="T32" t="n">
        <v>0.25</v>
      </c>
    </row>
    <row r="33">
      <c r="A33" t="s">
        <v>32</v>
      </c>
      <c r="B33" t="n">
        <v>1</v>
      </c>
      <c r="C33" t="n">
        <v>1</v>
      </c>
      <c r="D33" t="n">
        <v>1</v>
      </c>
      <c r="E33" t="n">
        <v>-0.75</v>
      </c>
      <c r="F33" t="n">
        <v>-0.25</v>
      </c>
      <c r="G33" t="n">
        <v>55</v>
      </c>
      <c r="H33" t="n">
        <v>12</v>
      </c>
      <c r="I33" t="s">
        <v>297</v>
      </c>
      <c r="J33" t="n">
        <v>0</v>
      </c>
      <c r="K33" t="n">
        <v>0</v>
      </c>
      <c r="L33" t="n">
        <v>0</v>
      </c>
      <c r="M33" t="n">
        <v>12</v>
      </c>
      <c r="N33" t="n">
        <v>-0.25</v>
      </c>
      <c r="O33" t="n">
        <v>-0.25</v>
      </c>
      <c r="P33" t="n">
        <v>30</v>
      </c>
      <c r="Q33" t="n">
        <v>12</v>
      </c>
      <c r="R33" t="s">
        <v>297</v>
      </c>
      <c r="S33" t="s">
        <v>297</v>
      </c>
      <c r="T33" t="n">
        <v>-0.375</v>
      </c>
    </row>
    <row r="34">
      <c r="A34" t="s">
        <v>32</v>
      </c>
      <c r="B34" t="n">
        <v>0.8</v>
      </c>
      <c r="C34" t="n">
        <v>0.8</v>
      </c>
      <c r="D34" t="n">
        <v>0.8</v>
      </c>
      <c r="E34" t="n">
        <v>-3.25</v>
      </c>
      <c r="F34" t="n">
        <v>-1.5</v>
      </c>
      <c r="G34" t="n">
        <v>30</v>
      </c>
      <c r="H34" t="n">
        <v>12</v>
      </c>
      <c r="I34" t="s">
        <v>296</v>
      </c>
      <c r="J34" t="n">
        <v>0</v>
      </c>
      <c r="K34" t="n">
        <v>0</v>
      </c>
      <c r="L34" t="n">
        <v>0</v>
      </c>
      <c r="M34" t="n">
        <v>12</v>
      </c>
      <c r="N34" t="n">
        <v>0</v>
      </c>
      <c r="O34" t="n">
        <v>-0.5</v>
      </c>
      <c r="P34" t="n">
        <v>2</v>
      </c>
      <c r="Q34" t="n">
        <v>12</v>
      </c>
      <c r="R34" t="s">
        <v>296</v>
      </c>
      <c r="S34" t="s">
        <v>296</v>
      </c>
      <c r="T34" t="n">
        <v>-0.25</v>
      </c>
    </row>
    <row r="35">
      <c r="A35" t="s">
        <v>32</v>
      </c>
      <c r="B35" t="n">
        <v>0.8</v>
      </c>
      <c r="C35" t="n">
        <v>0.8</v>
      </c>
      <c r="D35" t="n">
        <v>0.8</v>
      </c>
      <c r="E35" t="n">
        <v>-3.25</v>
      </c>
      <c r="F35" t="n">
        <v>-1.25</v>
      </c>
      <c r="G35" t="n">
        <v>136</v>
      </c>
      <c r="H35" t="n">
        <v>12</v>
      </c>
      <c r="I35" t="s">
        <v>296</v>
      </c>
      <c r="J35" t="n">
        <v>0</v>
      </c>
      <c r="K35" t="n">
        <v>0</v>
      </c>
      <c r="L35" t="n">
        <v>0</v>
      </c>
      <c r="M35" t="n">
        <v>12</v>
      </c>
      <c r="N35" t="n">
        <v>0.25</v>
      </c>
      <c r="O35" t="n">
        <v>-0.5</v>
      </c>
      <c r="P35" t="n">
        <v>164</v>
      </c>
      <c r="Q35" t="n">
        <v>12</v>
      </c>
      <c r="R35" t="s">
        <v>296</v>
      </c>
      <c r="S35" t="s">
        <v>296</v>
      </c>
      <c r="T35" t="n">
        <v>0</v>
      </c>
    </row>
    <row r="36">
      <c r="A36" t="s">
        <v>32</v>
      </c>
      <c r="B36" t="n">
        <v>1</v>
      </c>
      <c r="C36" t="n">
        <v>1</v>
      </c>
      <c r="D36" t="n">
        <v>1</v>
      </c>
      <c r="E36" t="n">
        <v>-3.25</v>
      </c>
      <c r="F36" t="n">
        <v>-0.5</v>
      </c>
      <c r="G36" t="n">
        <v>8</v>
      </c>
      <c r="H36" t="n">
        <v>12</v>
      </c>
      <c r="I36" t="s">
        <v>297</v>
      </c>
      <c r="J36" t="n">
        <v>0</v>
      </c>
      <c r="K36" t="n">
        <v>0</v>
      </c>
      <c r="L36" t="n">
        <v>0</v>
      </c>
      <c r="M36" t="n">
        <v>12</v>
      </c>
      <c r="N36" t="n">
        <v>0.25</v>
      </c>
      <c r="O36" t="n">
        <v>-0.25</v>
      </c>
      <c r="P36" t="n">
        <v>12</v>
      </c>
      <c r="Q36" t="n">
        <v>12</v>
      </c>
      <c r="R36" t="s">
        <v>297</v>
      </c>
      <c r="S36" t="s">
        <v>297</v>
      </c>
      <c r="T36" t="n">
        <v>0.125</v>
      </c>
    </row>
    <row r="37">
      <c r="A37" t="s">
        <v>32</v>
      </c>
      <c r="B37" t="n">
        <v>1</v>
      </c>
      <c r="C37" t="n">
        <v>0.8</v>
      </c>
      <c r="D37" t="n">
        <v>1</v>
      </c>
      <c r="E37" t="n">
        <v>-3.25</v>
      </c>
      <c r="F37" t="n">
        <v>-0.5</v>
      </c>
      <c r="G37" t="n">
        <v>163</v>
      </c>
      <c r="H37" t="n">
        <v>12</v>
      </c>
      <c r="I37" t="s">
        <v>297</v>
      </c>
      <c r="J37" t="n">
        <v>0</v>
      </c>
      <c r="K37" t="n">
        <v>0</v>
      </c>
      <c r="L37" t="n">
        <v>0</v>
      </c>
      <c r="M37" t="n">
        <v>12</v>
      </c>
      <c r="N37" t="n">
        <v>0.75</v>
      </c>
      <c r="O37" t="n">
        <v>-0.25</v>
      </c>
      <c r="P37" t="n">
        <v>9</v>
      </c>
      <c r="Q37" t="n">
        <v>12</v>
      </c>
      <c r="R37" t="s">
        <v>297</v>
      </c>
      <c r="S37" t="s">
        <v>296</v>
      </c>
      <c r="T37" t="n">
        <v>0.625</v>
      </c>
    </row>
    <row r="38">
      <c r="A38" t="s">
        <v>32</v>
      </c>
      <c r="B38" t="n">
        <v>1.6</v>
      </c>
      <c r="C38" t="n">
        <v>1.6</v>
      </c>
      <c r="D38" t="n">
        <v>1.6</v>
      </c>
      <c r="E38" t="n">
        <v>-1</v>
      </c>
      <c r="F38" t="n">
        <v>-1</v>
      </c>
      <c r="G38" t="n">
        <v>70</v>
      </c>
      <c r="H38" t="n">
        <v>12</v>
      </c>
      <c r="I38" t="s">
        <v>299</v>
      </c>
      <c r="J38" t="n">
        <v>0</v>
      </c>
      <c r="K38" t="n">
        <v>0</v>
      </c>
      <c r="L38" t="n">
        <v>0</v>
      </c>
      <c r="M38" t="n">
        <v>12</v>
      </c>
      <c r="N38" t="n">
        <v>0.25</v>
      </c>
      <c r="O38" t="n">
        <v>-0.25</v>
      </c>
      <c r="P38" t="n">
        <v>30</v>
      </c>
      <c r="Q38" t="n">
        <v>12</v>
      </c>
      <c r="R38" t="s">
        <v>299</v>
      </c>
      <c r="S38" t="s">
        <v>299</v>
      </c>
      <c r="T38" t="n">
        <v>0.125</v>
      </c>
    </row>
    <row r="39">
      <c r="A39" t="s">
        <v>32</v>
      </c>
      <c r="B39" t="n">
        <v>1.25</v>
      </c>
      <c r="C39" t="n">
        <v>1</v>
      </c>
      <c r="D39" t="n">
        <v>1.6</v>
      </c>
      <c r="E39" t="n">
        <v>-1</v>
      </c>
      <c r="F39" t="n">
        <v>-1</v>
      </c>
      <c r="G39" t="n">
        <v>107</v>
      </c>
      <c r="H39" t="n">
        <v>12</v>
      </c>
      <c r="I39" t="s">
        <v>298</v>
      </c>
      <c r="J39" t="n">
        <v>-1</v>
      </c>
      <c r="K39" t="n">
        <v>0</v>
      </c>
      <c r="L39" t="n">
        <v>0</v>
      </c>
      <c r="M39" t="n">
        <v>12</v>
      </c>
      <c r="N39" t="n">
        <v>-0.75</v>
      </c>
      <c r="O39" t="n">
        <v>-0.25</v>
      </c>
      <c r="P39" t="n">
        <v>139</v>
      </c>
      <c r="Q39" t="n">
        <v>12</v>
      </c>
      <c r="R39" t="s">
        <v>299</v>
      </c>
      <c r="S39" t="s">
        <v>297</v>
      </c>
      <c r="T39" t="n">
        <v>-0.875</v>
      </c>
    </row>
    <row r="40">
      <c r="A40" t="s">
        <v>32</v>
      </c>
      <c r="B40" t="n">
        <v>1</v>
      </c>
      <c r="C40"/>
      <c r="D40"/>
      <c r="E40" t="n">
        <v>0.25</v>
      </c>
      <c r="F40" t="n">
        <v>-1.5</v>
      </c>
      <c r="G40" t="n">
        <v>42</v>
      </c>
      <c r="H40" t="n">
        <v>12</v>
      </c>
      <c r="I40" t="s">
        <v>297</v>
      </c>
      <c r="J40" t="n">
        <v>0</v>
      </c>
      <c r="K40" t="n">
        <v>0</v>
      </c>
      <c r="L40" t="n">
        <v>0</v>
      </c>
      <c r="M40" t="n">
        <v>12</v>
      </c>
      <c r="N40"/>
      <c r="O40"/>
      <c r="P40"/>
      <c r="Q40" t="n">
        <v>12</v>
      </c>
      <c r="R40" t="s">
        <v>109</v>
      </c>
      <c r="S40" t="s">
        <v>109</v>
      </c>
      <c r="T40"/>
    </row>
    <row r="41">
      <c r="A41" t="s">
        <v>32</v>
      </c>
      <c r="B41" t="n">
        <v>1.25</v>
      </c>
      <c r="C41" t="n">
        <v>1.25</v>
      </c>
      <c r="D41" t="n">
        <v>1.25</v>
      </c>
      <c r="E41" t="n">
        <v>-3</v>
      </c>
      <c r="F41" t="n">
        <v>-0.25</v>
      </c>
      <c r="G41" t="n">
        <v>148</v>
      </c>
      <c r="H41" t="n">
        <v>12</v>
      </c>
      <c r="I41" t="s">
        <v>298</v>
      </c>
      <c r="J41" t="n">
        <v>0</v>
      </c>
      <c r="K41" t="n">
        <v>0</v>
      </c>
      <c r="L41" t="n">
        <v>0</v>
      </c>
      <c r="M41" t="n">
        <v>12</v>
      </c>
      <c r="N41" t="n">
        <v>0.25</v>
      </c>
      <c r="O41" t="n">
        <v>-0.25</v>
      </c>
      <c r="P41" t="n">
        <v>87</v>
      </c>
      <c r="Q41" t="n">
        <v>12</v>
      </c>
      <c r="R41" t="s">
        <v>298</v>
      </c>
      <c r="S41" t="s">
        <v>298</v>
      </c>
      <c r="T41" t="n">
        <v>0.125</v>
      </c>
    </row>
    <row r="42">
      <c r="A42" t="s">
        <v>32</v>
      </c>
      <c r="B42" t="n">
        <v>1.25</v>
      </c>
      <c r="C42" t="n">
        <v>1.25</v>
      </c>
      <c r="D42" t="n">
        <v>1.25</v>
      </c>
      <c r="E42" t="n">
        <v>-1.25</v>
      </c>
      <c r="F42" t="n">
        <v>-0.5</v>
      </c>
      <c r="G42" t="n">
        <v>43</v>
      </c>
      <c r="H42" t="n">
        <v>12</v>
      </c>
      <c r="I42" t="s">
        <v>298</v>
      </c>
      <c r="J42" t="n">
        <v>0</v>
      </c>
      <c r="K42" t="n">
        <v>0</v>
      </c>
      <c r="L42" t="n">
        <v>0</v>
      </c>
      <c r="M42" t="n">
        <v>12</v>
      </c>
      <c r="N42" t="n">
        <v>0</v>
      </c>
      <c r="O42" t="n">
        <v>-0.25</v>
      </c>
      <c r="P42" t="n">
        <v>112</v>
      </c>
      <c r="Q42" t="n">
        <v>12</v>
      </c>
      <c r="R42" t="s">
        <v>298</v>
      </c>
      <c r="S42" t="s">
        <v>298</v>
      </c>
      <c r="T42" t="n">
        <v>-0.125</v>
      </c>
    </row>
    <row r="43">
      <c r="A43" t="s">
        <v>32</v>
      </c>
      <c r="B43" t="n">
        <v>1.25</v>
      </c>
      <c r="C43" t="n">
        <v>1.6</v>
      </c>
      <c r="D43" t="n">
        <v>1.6</v>
      </c>
      <c r="E43" t="n">
        <v>-0.75</v>
      </c>
      <c r="F43" t="n">
        <v>-1.5</v>
      </c>
      <c r="G43" t="n">
        <v>86</v>
      </c>
      <c r="H43" t="n">
        <v>12</v>
      </c>
      <c r="I43" t="s">
        <v>298</v>
      </c>
      <c r="J43" t="n">
        <v>0</v>
      </c>
      <c r="K43" t="n">
        <v>0</v>
      </c>
      <c r="L43" t="n">
        <v>0</v>
      </c>
      <c r="M43" t="n">
        <v>12</v>
      </c>
      <c r="N43" t="n">
        <v>0.5</v>
      </c>
      <c r="O43" t="n">
        <v>0</v>
      </c>
      <c r="P43" t="n">
        <v>56</v>
      </c>
      <c r="Q43" t="n">
        <v>12</v>
      </c>
      <c r="R43" t="s">
        <v>299</v>
      </c>
      <c r="S43" t="s">
        <v>299</v>
      </c>
      <c r="T43" t="n">
        <v>0.5</v>
      </c>
    </row>
    <row r="44">
      <c r="A44" t="s">
        <v>32</v>
      </c>
      <c r="B44" t="n">
        <v>1</v>
      </c>
      <c r="C44" t="n">
        <v>1</v>
      </c>
      <c r="D44" t="n">
        <v>1</v>
      </c>
      <c r="E44" t="n">
        <v>-2.25</v>
      </c>
      <c r="F44" t="n">
        <v>-2</v>
      </c>
      <c r="G44" t="n">
        <v>84</v>
      </c>
      <c r="H44" t="n">
        <v>12</v>
      </c>
      <c r="I44" t="s">
        <v>297</v>
      </c>
      <c r="J44" t="n">
        <v>0</v>
      </c>
      <c r="K44" t="n">
        <v>0</v>
      </c>
      <c r="L44" t="n">
        <v>0</v>
      </c>
      <c r="M44" t="n">
        <v>12</v>
      </c>
      <c r="N44" t="n">
        <v>0.25</v>
      </c>
      <c r="O44" t="n">
        <v>-0.5</v>
      </c>
      <c r="P44" t="n">
        <v>41</v>
      </c>
      <c r="Q44" t="n">
        <v>12</v>
      </c>
      <c r="R44" t="s">
        <v>297</v>
      </c>
      <c r="S44" t="s">
        <v>297</v>
      </c>
      <c r="T44" t="n">
        <v>0</v>
      </c>
    </row>
    <row r="45">
      <c r="A45" t="s">
        <v>32</v>
      </c>
      <c r="B45" t="n">
        <v>1.25</v>
      </c>
      <c r="C45" t="n">
        <v>1.25</v>
      </c>
      <c r="D45" t="n">
        <v>1.25</v>
      </c>
      <c r="E45" t="n">
        <v>-2.25</v>
      </c>
      <c r="F45" t="n">
        <v>-0.25</v>
      </c>
      <c r="G45" t="n">
        <v>6</v>
      </c>
      <c r="H45" t="n">
        <v>12</v>
      </c>
      <c r="I45" t="s">
        <v>298</v>
      </c>
      <c r="J45" t="n">
        <v>0</v>
      </c>
      <c r="K45" t="n">
        <v>0</v>
      </c>
      <c r="L45" t="n">
        <v>0</v>
      </c>
      <c r="M45" t="n">
        <v>12</v>
      </c>
      <c r="N45" t="n">
        <v>-0.25</v>
      </c>
      <c r="O45" t="n">
        <v>-0.25</v>
      </c>
      <c r="P45" t="n">
        <v>153</v>
      </c>
      <c r="Q45" t="n">
        <v>12</v>
      </c>
      <c r="R45" t="s">
        <v>298</v>
      </c>
      <c r="S45" t="s">
        <v>298</v>
      </c>
      <c r="T45" t="n">
        <v>-0.375</v>
      </c>
    </row>
    <row r="46">
      <c r="A46" t="s">
        <v>32</v>
      </c>
      <c r="B46" t="n">
        <v>1.25</v>
      </c>
      <c r="C46" t="n">
        <v>1.25</v>
      </c>
      <c r="D46" t="n">
        <v>1.25</v>
      </c>
      <c r="E46" t="n">
        <v>-1.25</v>
      </c>
      <c r="F46" t="n">
        <v>-0.75</v>
      </c>
      <c r="G46" t="n">
        <v>167</v>
      </c>
      <c r="H46" t="n">
        <v>12</v>
      </c>
      <c r="I46" t="s">
        <v>298</v>
      </c>
      <c r="J46" t="n">
        <v>0</v>
      </c>
      <c r="K46" t="n">
        <v>0</v>
      </c>
      <c r="L46" t="n">
        <v>0</v>
      </c>
      <c r="M46" t="n">
        <v>12</v>
      </c>
      <c r="N46" t="n">
        <v>0.25</v>
      </c>
      <c r="O46" t="n">
        <v>-0.25</v>
      </c>
      <c r="P46" t="n">
        <v>6</v>
      </c>
      <c r="Q46" t="n">
        <v>12</v>
      </c>
      <c r="R46" t="s">
        <v>298</v>
      </c>
      <c r="S46" t="s">
        <v>298</v>
      </c>
      <c r="T46" t="n">
        <v>0.125</v>
      </c>
    </row>
    <row r="47">
      <c r="A47" t="s">
        <v>32</v>
      </c>
      <c r="B47" t="n">
        <v>1</v>
      </c>
      <c r="C47" t="n">
        <v>1.25</v>
      </c>
      <c r="D47" t="n">
        <v>1.25</v>
      </c>
      <c r="E47" t="n">
        <v>-3.25</v>
      </c>
      <c r="F47" t="n">
        <v>-1.5</v>
      </c>
      <c r="G47" t="n">
        <v>34</v>
      </c>
      <c r="H47" t="n">
        <v>12</v>
      </c>
      <c r="I47" t="s">
        <v>297</v>
      </c>
      <c r="J47" t="n">
        <v>0</v>
      </c>
      <c r="K47" t="n">
        <v>0</v>
      </c>
      <c r="L47" t="n">
        <v>0</v>
      </c>
      <c r="M47" t="n">
        <v>12</v>
      </c>
      <c r="N47" t="n">
        <v>0</v>
      </c>
      <c r="O47" t="n">
        <v>-0.25</v>
      </c>
      <c r="P47" t="n">
        <v>41</v>
      </c>
      <c r="Q47" t="n">
        <v>12</v>
      </c>
      <c r="R47" t="s">
        <v>298</v>
      </c>
      <c r="S47" t="s">
        <v>298</v>
      </c>
      <c r="T47" t="n">
        <v>-0.125</v>
      </c>
    </row>
    <row r="48">
      <c r="A48" t="s">
        <v>32</v>
      </c>
      <c r="B48" t="n">
        <v>1</v>
      </c>
      <c r="C48" t="n">
        <v>1</v>
      </c>
      <c r="D48" t="n">
        <v>1</v>
      </c>
      <c r="E48" t="n">
        <v>-3.75</v>
      </c>
      <c r="F48" t="n">
        <v>-0.5</v>
      </c>
      <c r="G48" t="n">
        <v>145</v>
      </c>
      <c r="H48" t="n">
        <v>12</v>
      </c>
      <c r="I48" t="s">
        <v>297</v>
      </c>
      <c r="J48" t="n">
        <v>0</v>
      </c>
      <c r="K48" t="n">
        <v>0</v>
      </c>
      <c r="L48" t="n">
        <v>0</v>
      </c>
      <c r="M48" t="n">
        <v>12</v>
      </c>
      <c r="N48" t="n">
        <v>0.25</v>
      </c>
      <c r="O48" t="n">
        <v>-0.25</v>
      </c>
      <c r="P48" t="n">
        <v>107</v>
      </c>
      <c r="Q48" t="n">
        <v>12</v>
      </c>
      <c r="R48" t="s">
        <v>297</v>
      </c>
      <c r="S48" t="s">
        <v>297</v>
      </c>
      <c r="T48" t="n">
        <v>0.125</v>
      </c>
    </row>
    <row r="49">
      <c r="A49" t="s">
        <v>32</v>
      </c>
      <c r="B49" t="n">
        <v>1</v>
      </c>
      <c r="C49" t="n">
        <v>1</v>
      </c>
      <c r="D49" t="n">
        <v>1</v>
      </c>
      <c r="E49" t="n">
        <v>-4.75</v>
      </c>
      <c r="F49" t="n">
        <v>-1.25</v>
      </c>
      <c r="G49" t="n">
        <v>2</v>
      </c>
      <c r="H49" t="n">
        <v>12</v>
      </c>
      <c r="I49" t="s">
        <v>297</v>
      </c>
      <c r="J49" t="n">
        <v>0</v>
      </c>
      <c r="K49" t="n">
        <v>0</v>
      </c>
      <c r="L49" t="n">
        <v>0</v>
      </c>
      <c r="M49" t="n">
        <v>12</v>
      </c>
      <c r="N49" t="n">
        <v>0</v>
      </c>
      <c r="O49" t="n">
        <v>-0.25</v>
      </c>
      <c r="P49" t="n">
        <v>105</v>
      </c>
      <c r="Q49" t="n">
        <v>12</v>
      </c>
      <c r="R49" t="s">
        <v>297</v>
      </c>
      <c r="S49" t="s">
        <v>297</v>
      </c>
      <c r="T49" t="n">
        <v>-0.125</v>
      </c>
    </row>
    <row r="50">
      <c r="A50" t="s">
        <v>32</v>
      </c>
      <c r="B50" t="n">
        <v>1</v>
      </c>
      <c r="C50" t="n">
        <v>0.8</v>
      </c>
      <c r="D50" t="n">
        <v>1</v>
      </c>
      <c r="E50" t="n">
        <v>-2.25</v>
      </c>
      <c r="F50" t="n">
        <v>-2.25</v>
      </c>
      <c r="G50" t="n">
        <v>3</v>
      </c>
      <c r="H50" t="n">
        <v>12</v>
      </c>
      <c r="I50" t="s">
        <v>297</v>
      </c>
      <c r="J50" t="n">
        <v>0</v>
      </c>
      <c r="K50" t="n">
        <v>0</v>
      </c>
      <c r="L50" t="n">
        <v>0</v>
      </c>
      <c r="M50" t="n">
        <v>12</v>
      </c>
      <c r="N50" t="n">
        <v>1</v>
      </c>
      <c r="O50" t="n">
        <v>-0.75</v>
      </c>
      <c r="P50" t="n">
        <v>170</v>
      </c>
      <c r="Q50" t="n">
        <v>12</v>
      </c>
      <c r="R50" t="s">
        <v>297</v>
      </c>
      <c r="S50" t="s">
        <v>296</v>
      </c>
      <c r="T50" t="n">
        <v>0.625</v>
      </c>
    </row>
    <row r="51">
      <c r="A51" t="s">
        <v>32</v>
      </c>
      <c r="B51" t="n">
        <v>1</v>
      </c>
      <c r="C51" t="n">
        <v>0.63</v>
      </c>
      <c r="D51" t="n">
        <v>0.8</v>
      </c>
      <c r="E51" t="n">
        <v>-0.25</v>
      </c>
      <c r="F51" t="n">
        <v>-2</v>
      </c>
      <c r="G51" t="n">
        <v>178</v>
      </c>
      <c r="H51" t="n">
        <v>12</v>
      </c>
      <c r="I51" t="s">
        <v>297</v>
      </c>
      <c r="J51" t="n">
        <v>0</v>
      </c>
      <c r="K51" t="n">
        <v>0</v>
      </c>
      <c r="L51" t="n">
        <v>0</v>
      </c>
      <c r="M51" t="n">
        <v>12</v>
      </c>
      <c r="N51" t="n">
        <v>1.5</v>
      </c>
      <c r="O51" t="n">
        <v>-0.75</v>
      </c>
      <c r="P51" t="n">
        <v>147</v>
      </c>
      <c r="Q51" t="n">
        <v>12</v>
      </c>
      <c r="R51" t="s">
        <v>296</v>
      </c>
      <c r="S51" t="s">
        <v>301</v>
      </c>
      <c r="T51" t="n">
        <v>1.125</v>
      </c>
    </row>
    <row r="52">
      <c r="A52" t="s">
        <v>32</v>
      </c>
      <c r="B52" t="n">
        <v>0.8</v>
      </c>
      <c r="C52" t="n">
        <v>0.8</v>
      </c>
      <c r="D52" t="n">
        <v>0.8</v>
      </c>
      <c r="E52" t="n">
        <v>-1</v>
      </c>
      <c r="F52" t="n">
        <v>-1.25</v>
      </c>
      <c r="G52" t="n">
        <v>171</v>
      </c>
      <c r="H52" t="n">
        <v>12</v>
      </c>
      <c r="I52" t="s">
        <v>296</v>
      </c>
      <c r="J52" t="n">
        <v>0</v>
      </c>
      <c r="K52" t="n">
        <v>0</v>
      </c>
      <c r="L52" t="n">
        <v>0</v>
      </c>
      <c r="M52" t="n">
        <v>12</v>
      </c>
      <c r="N52" t="n">
        <v>0.75</v>
      </c>
      <c r="O52" t="n">
        <v>-0.5</v>
      </c>
      <c r="P52" t="n">
        <v>49</v>
      </c>
      <c r="Q52" t="n">
        <v>12</v>
      </c>
      <c r="R52" t="s">
        <v>296</v>
      </c>
      <c r="S52" t="s">
        <v>296</v>
      </c>
      <c r="T52" t="n">
        <v>0.5</v>
      </c>
    </row>
    <row r="53">
      <c r="A53" t="s">
        <v>32</v>
      </c>
      <c r="B53" t="n">
        <v>1</v>
      </c>
      <c r="C53" t="n">
        <v>1</v>
      </c>
      <c r="D53" t="n">
        <v>1</v>
      </c>
      <c r="E53" t="n">
        <v>-2.25</v>
      </c>
      <c r="F53" t="n">
        <v>-0.25</v>
      </c>
      <c r="G53" t="n">
        <v>29</v>
      </c>
      <c r="H53" t="n">
        <v>12</v>
      </c>
      <c r="I53" t="s">
        <v>297</v>
      </c>
      <c r="J53" t="n">
        <v>0</v>
      </c>
      <c r="K53" t="n">
        <v>0</v>
      </c>
      <c r="L53" t="n">
        <v>0</v>
      </c>
      <c r="M53" t="n">
        <v>12</v>
      </c>
      <c r="N53" t="n">
        <v>-0.25</v>
      </c>
      <c r="O53" t="n">
        <v>-0.25</v>
      </c>
      <c r="P53" t="n">
        <v>43</v>
      </c>
      <c r="Q53" t="n">
        <v>12</v>
      </c>
      <c r="R53" t="s">
        <v>297</v>
      </c>
      <c r="S53" t="s">
        <v>297</v>
      </c>
      <c r="T53" t="n">
        <v>-0.375</v>
      </c>
    </row>
    <row r="54">
      <c r="A54" t="s">
        <v>32</v>
      </c>
      <c r="B54" t="n">
        <v>1</v>
      </c>
      <c r="C54" t="n">
        <v>1</v>
      </c>
      <c r="D54" t="n">
        <v>1</v>
      </c>
      <c r="E54" t="n">
        <v>-1.5</v>
      </c>
      <c r="F54" t="n">
        <v>-0.5</v>
      </c>
      <c r="G54" t="n">
        <v>150</v>
      </c>
      <c r="H54" t="n">
        <v>12</v>
      </c>
      <c r="I54" t="s">
        <v>297</v>
      </c>
      <c r="J54" t="n">
        <v>0</v>
      </c>
      <c r="K54" t="n">
        <v>0</v>
      </c>
      <c r="L54" t="n">
        <v>0</v>
      </c>
      <c r="M54" t="n">
        <v>12</v>
      </c>
      <c r="N54" t="n">
        <v>-0.25</v>
      </c>
      <c r="O54" t="n">
        <v>-0.25</v>
      </c>
      <c r="P54" t="n">
        <v>129</v>
      </c>
      <c r="Q54" t="n">
        <v>12</v>
      </c>
      <c r="R54" t="s">
        <v>297</v>
      </c>
      <c r="S54" t="s">
        <v>297</v>
      </c>
      <c r="T54" t="n">
        <v>-0.375</v>
      </c>
    </row>
    <row r="55">
      <c r="A55" t="s">
        <v>32</v>
      </c>
      <c r="B55" t="n">
        <v>1</v>
      </c>
      <c r="C55" t="n">
        <v>1</v>
      </c>
      <c r="D55" t="n">
        <v>1</v>
      </c>
      <c r="E55" t="n">
        <v>-2.75</v>
      </c>
      <c r="F55" t="n">
        <v>-0.5</v>
      </c>
      <c r="G55" t="n">
        <v>72</v>
      </c>
      <c r="H55" t="n">
        <v>12</v>
      </c>
      <c r="I55" t="s">
        <v>297</v>
      </c>
      <c r="J55" t="n">
        <v>0</v>
      </c>
      <c r="K55" t="n">
        <v>0</v>
      </c>
      <c r="L55" t="n">
        <v>0</v>
      </c>
      <c r="M55" t="n">
        <v>12</v>
      </c>
      <c r="N55" t="n">
        <v>0.5</v>
      </c>
      <c r="O55" t="n">
        <v>-0.25</v>
      </c>
      <c r="P55" t="n">
        <v>173</v>
      </c>
      <c r="Q55" t="n">
        <v>12</v>
      </c>
      <c r="R55" t="s">
        <v>297</v>
      </c>
      <c r="S55" t="s">
        <v>297</v>
      </c>
      <c r="T55" t="n">
        <v>0.375</v>
      </c>
    </row>
    <row r="56">
      <c r="A56" t="s">
        <v>32</v>
      </c>
      <c r="B56" t="n">
        <v>1</v>
      </c>
      <c r="C56" t="n">
        <v>1</v>
      </c>
      <c r="D56" t="n">
        <v>1</v>
      </c>
      <c r="E56" t="n">
        <v>-3.75</v>
      </c>
      <c r="F56" t="n">
        <v>-0.75</v>
      </c>
      <c r="G56" t="n">
        <v>163</v>
      </c>
      <c r="H56" t="n">
        <v>12</v>
      </c>
      <c r="I56" t="s">
        <v>297</v>
      </c>
      <c r="J56" t="n">
        <v>0</v>
      </c>
      <c r="K56" t="n">
        <v>0</v>
      </c>
      <c r="L56" t="n">
        <v>0</v>
      </c>
      <c r="M56" t="n">
        <v>12</v>
      </c>
      <c r="N56" t="n">
        <v>0.25</v>
      </c>
      <c r="O56" t="n">
        <v>-0.25</v>
      </c>
      <c r="P56" t="n">
        <v>75</v>
      </c>
      <c r="Q56" t="n">
        <v>12</v>
      </c>
      <c r="R56" t="s">
        <v>297</v>
      </c>
      <c r="S56" t="s">
        <v>297</v>
      </c>
      <c r="T56" t="n">
        <v>0.125</v>
      </c>
    </row>
    <row r="57">
      <c r="A57" t="s">
        <v>32</v>
      </c>
      <c r="B57" t="n">
        <v>0.8</v>
      </c>
      <c r="C57" t="n">
        <v>1</v>
      </c>
      <c r="D57" t="n">
        <v>1</v>
      </c>
      <c r="E57" t="n">
        <v>-4.25</v>
      </c>
      <c r="F57" t="n">
        <v>-0.25</v>
      </c>
      <c r="G57" t="n">
        <v>15</v>
      </c>
      <c r="H57" t="n">
        <v>12</v>
      </c>
      <c r="I57" t="s">
        <v>296</v>
      </c>
      <c r="J57" t="n">
        <v>0</v>
      </c>
      <c r="K57" t="n">
        <v>0</v>
      </c>
      <c r="L57" t="n">
        <v>0</v>
      </c>
      <c r="M57" t="n">
        <v>12</v>
      </c>
      <c r="N57" t="n">
        <v>0.5</v>
      </c>
      <c r="O57" t="n">
        <v>-0.25</v>
      </c>
      <c r="P57" t="n">
        <v>97</v>
      </c>
      <c r="Q57" t="n">
        <v>12</v>
      </c>
      <c r="R57" t="s">
        <v>297</v>
      </c>
      <c r="S57" t="s">
        <v>297</v>
      </c>
      <c r="T57" t="n">
        <v>0.375</v>
      </c>
    </row>
    <row r="58">
      <c r="A58" t="s">
        <v>32</v>
      </c>
      <c r="B58" t="n">
        <v>1.25</v>
      </c>
      <c r="C58" t="n">
        <v>1.25</v>
      </c>
      <c r="D58" t="n">
        <v>1.25</v>
      </c>
      <c r="E58" t="n">
        <v>-1.75</v>
      </c>
      <c r="F58" t="n">
        <v>-0.25</v>
      </c>
      <c r="G58" t="n">
        <v>97</v>
      </c>
      <c r="H58" t="n">
        <v>12</v>
      </c>
      <c r="I58" t="s">
        <v>298</v>
      </c>
      <c r="J58" t="n">
        <v>0</v>
      </c>
      <c r="K58" t="n">
        <v>0</v>
      </c>
      <c r="L58" t="n">
        <v>0</v>
      </c>
      <c r="M58" t="n">
        <v>12</v>
      </c>
      <c r="N58" t="n">
        <v>0.5</v>
      </c>
      <c r="O58" t="n">
        <v>-0.25</v>
      </c>
      <c r="P58" t="n">
        <v>154</v>
      </c>
      <c r="Q58" t="n">
        <v>12</v>
      </c>
      <c r="R58" t="s">
        <v>298</v>
      </c>
      <c r="S58" t="s">
        <v>298</v>
      </c>
      <c r="T58" t="n">
        <v>0.375</v>
      </c>
    </row>
    <row r="59">
      <c r="A59" t="s">
        <v>32</v>
      </c>
      <c r="B59" t="n">
        <v>1</v>
      </c>
      <c r="C59" t="n">
        <v>1</v>
      </c>
      <c r="D59" t="n">
        <v>1</v>
      </c>
      <c r="E59" t="n">
        <v>-3.25</v>
      </c>
      <c r="F59" t="n">
        <v>-1.75</v>
      </c>
      <c r="G59" t="n">
        <v>180</v>
      </c>
      <c r="H59" t="n">
        <v>12</v>
      </c>
      <c r="I59" t="s">
        <v>297</v>
      </c>
      <c r="J59" t="n">
        <v>0</v>
      </c>
      <c r="K59" t="n">
        <v>0</v>
      </c>
      <c r="L59" t="n">
        <v>0</v>
      </c>
      <c r="M59" t="n">
        <v>12</v>
      </c>
      <c r="N59" t="n">
        <v>0.25</v>
      </c>
      <c r="O59" t="n">
        <v>0</v>
      </c>
      <c r="P59" t="n">
        <v>114</v>
      </c>
      <c r="Q59" t="n">
        <v>12</v>
      </c>
      <c r="R59" t="s">
        <v>297</v>
      </c>
      <c r="S59" t="s">
        <v>297</v>
      </c>
      <c r="T59" t="n">
        <v>0.25</v>
      </c>
    </row>
    <row r="60">
      <c r="A60" t="s">
        <v>32</v>
      </c>
      <c r="B60" t="n">
        <v>1</v>
      </c>
      <c r="C60" t="n">
        <v>1</v>
      </c>
      <c r="D60" t="n">
        <v>1</v>
      </c>
      <c r="E60" t="n">
        <v>-3.5</v>
      </c>
      <c r="F60" t="n">
        <v>-0.75</v>
      </c>
      <c r="G60" t="n">
        <v>174</v>
      </c>
      <c r="H60" t="n">
        <v>12</v>
      </c>
      <c r="I60" t="s">
        <v>297</v>
      </c>
      <c r="J60" t="n">
        <v>0</v>
      </c>
      <c r="K60" t="n">
        <v>0</v>
      </c>
      <c r="L60" t="n">
        <v>0</v>
      </c>
      <c r="M60" t="n">
        <v>12</v>
      </c>
      <c r="N60" t="n">
        <v>0</v>
      </c>
      <c r="O60" t="n">
        <v>-0.25</v>
      </c>
      <c r="P60" t="n">
        <v>35</v>
      </c>
      <c r="Q60" t="n">
        <v>12</v>
      </c>
      <c r="R60" t="s">
        <v>297</v>
      </c>
      <c r="S60" t="s">
        <v>297</v>
      </c>
      <c r="T60" t="n">
        <v>-0.125</v>
      </c>
    </row>
    <row r="61">
      <c r="A61" t="s">
        <v>32</v>
      </c>
      <c r="B61" t="n">
        <v>1</v>
      </c>
      <c r="C61" t="n">
        <v>1</v>
      </c>
      <c r="D61" t="n">
        <v>1</v>
      </c>
      <c r="E61" t="n">
        <v>-1.25</v>
      </c>
      <c r="F61" t="n">
        <v>-1.25</v>
      </c>
      <c r="G61" t="n">
        <v>105</v>
      </c>
      <c r="H61" t="n">
        <v>12</v>
      </c>
      <c r="I61" t="s">
        <v>297</v>
      </c>
      <c r="J61" t="n">
        <v>0</v>
      </c>
      <c r="K61" t="n">
        <v>0</v>
      </c>
      <c r="L61" t="n">
        <v>0</v>
      </c>
      <c r="M61" t="n">
        <v>12</v>
      </c>
      <c r="N61" t="n">
        <v>1</v>
      </c>
      <c r="O61" t="n">
        <v>-0.25</v>
      </c>
      <c r="P61" t="n">
        <v>95</v>
      </c>
      <c r="Q61" t="n">
        <v>12</v>
      </c>
      <c r="R61" t="s">
        <v>297</v>
      </c>
      <c r="S61" t="s">
        <v>297</v>
      </c>
      <c r="T61" t="n">
        <v>0.875</v>
      </c>
    </row>
    <row r="62">
      <c r="A62" t="s">
        <v>32</v>
      </c>
      <c r="B62" t="n">
        <v>1.25</v>
      </c>
      <c r="C62" t="n">
        <v>1.25</v>
      </c>
      <c r="D62" t="n">
        <v>1.25</v>
      </c>
      <c r="E62" t="n">
        <v>-0.5</v>
      </c>
      <c r="F62" t="n">
        <v>-2.25</v>
      </c>
      <c r="G62" t="n">
        <v>82</v>
      </c>
      <c r="H62" t="n">
        <v>12</v>
      </c>
      <c r="I62" t="s">
        <v>298</v>
      </c>
      <c r="J62" t="n">
        <v>0</v>
      </c>
      <c r="K62" t="n">
        <v>0</v>
      </c>
      <c r="L62" t="n">
        <v>0</v>
      </c>
      <c r="M62" t="n">
        <v>12</v>
      </c>
      <c r="N62" t="n">
        <v>1</v>
      </c>
      <c r="O62" t="n">
        <v>-0.25</v>
      </c>
      <c r="P62" t="n">
        <v>75</v>
      </c>
      <c r="Q62" t="n">
        <v>12</v>
      </c>
      <c r="R62" t="s">
        <v>298</v>
      </c>
      <c r="S62" t="s">
        <v>298</v>
      </c>
      <c r="T62" t="n">
        <v>0.875</v>
      </c>
    </row>
    <row r="63">
      <c r="A63" t="s">
        <v>32</v>
      </c>
      <c r="B63" t="n">
        <v>1</v>
      </c>
      <c r="C63" t="n">
        <v>1</v>
      </c>
      <c r="D63" t="n">
        <v>1</v>
      </c>
      <c r="E63" t="n">
        <v>-3</v>
      </c>
      <c r="F63" t="n">
        <v>-1.25</v>
      </c>
      <c r="G63" t="n">
        <v>42</v>
      </c>
      <c r="H63" t="n">
        <v>12</v>
      </c>
      <c r="I63" t="s">
        <v>297</v>
      </c>
      <c r="J63" t="n">
        <v>0</v>
      </c>
      <c r="K63" t="n">
        <v>0</v>
      </c>
      <c r="L63" t="n">
        <v>0</v>
      </c>
      <c r="M63" t="n">
        <v>12</v>
      </c>
      <c r="N63" t="n">
        <v>0.75</v>
      </c>
      <c r="O63" t="n">
        <v>-0.5</v>
      </c>
      <c r="P63" t="n">
        <v>5</v>
      </c>
      <c r="Q63" t="n">
        <v>12</v>
      </c>
      <c r="R63" t="s">
        <v>297</v>
      </c>
      <c r="S63" t="s">
        <v>297</v>
      </c>
      <c r="T63" t="n">
        <v>0.5</v>
      </c>
    </row>
    <row r="64">
      <c r="A64" t="s">
        <v>32</v>
      </c>
      <c r="B64" t="n">
        <v>0.8</v>
      </c>
      <c r="C64" t="n">
        <v>0.63</v>
      </c>
      <c r="D64" t="n">
        <v>1</v>
      </c>
      <c r="E64" t="n">
        <v>-5</v>
      </c>
      <c r="F64" t="n">
        <v>-0.5</v>
      </c>
      <c r="G64" t="n">
        <v>45</v>
      </c>
      <c r="H64" t="n">
        <v>12</v>
      </c>
      <c r="I64" t="s">
        <v>296</v>
      </c>
      <c r="J64" t="n">
        <v>0</v>
      </c>
      <c r="K64" t="n">
        <v>0</v>
      </c>
      <c r="L64" t="n">
        <v>0</v>
      </c>
      <c r="M64" t="n">
        <v>12</v>
      </c>
      <c r="N64" t="n">
        <v>-0.75</v>
      </c>
      <c r="O64" t="n">
        <v>-0.25</v>
      </c>
      <c r="P64" t="n">
        <v>149</v>
      </c>
      <c r="Q64" t="n">
        <v>12</v>
      </c>
      <c r="R64" t="s">
        <v>297</v>
      </c>
      <c r="S64" t="s">
        <v>301</v>
      </c>
      <c r="T64" t="n">
        <v>-0.875</v>
      </c>
    </row>
    <row r="65">
      <c r="A65" t="s">
        <v>32</v>
      </c>
      <c r="B65" t="n">
        <v>0.8</v>
      </c>
      <c r="C65" t="n">
        <v>1.25</v>
      </c>
      <c r="D65" t="n">
        <v>1.25</v>
      </c>
      <c r="E65" t="n">
        <v>-5.75</v>
      </c>
      <c r="F65" t="n">
        <v>-0.5</v>
      </c>
      <c r="G65" t="n">
        <v>139</v>
      </c>
      <c r="H65" t="n">
        <v>12</v>
      </c>
      <c r="I65" t="s">
        <v>296</v>
      </c>
      <c r="J65" t="n">
        <v>0</v>
      </c>
      <c r="K65" t="n">
        <v>0</v>
      </c>
      <c r="L65" t="n">
        <v>0</v>
      </c>
      <c r="M65" t="n">
        <v>12</v>
      </c>
      <c r="N65" t="n">
        <v>-0.25</v>
      </c>
      <c r="O65" t="n">
        <v>-0.25</v>
      </c>
      <c r="P65" t="n">
        <v>17</v>
      </c>
      <c r="Q65" t="n">
        <v>12</v>
      </c>
      <c r="R65" t="s">
        <v>298</v>
      </c>
      <c r="S65" t="s">
        <v>298</v>
      </c>
      <c r="T65" t="n">
        <v>-0.375</v>
      </c>
    </row>
    <row r="66">
      <c r="A66" t="s">
        <v>32</v>
      </c>
      <c r="B66" t="n">
        <v>1.25</v>
      </c>
      <c r="C66" t="n">
        <v>1.25</v>
      </c>
      <c r="D66" t="n">
        <v>1.25</v>
      </c>
      <c r="E66" t="n">
        <v>-2.25</v>
      </c>
      <c r="F66" t="n">
        <v>-0.25</v>
      </c>
      <c r="G66" t="n">
        <v>176</v>
      </c>
      <c r="H66" t="n">
        <v>12</v>
      </c>
      <c r="I66" t="s">
        <v>298</v>
      </c>
      <c r="J66" t="n">
        <v>0</v>
      </c>
      <c r="K66" t="n">
        <v>0</v>
      </c>
      <c r="L66" t="n">
        <v>0</v>
      </c>
      <c r="M66" t="n">
        <v>12</v>
      </c>
      <c r="N66" t="n">
        <v>-0.25</v>
      </c>
      <c r="O66" t="n">
        <v>0</v>
      </c>
      <c r="P66" t="n">
        <v>108</v>
      </c>
      <c r="Q66" t="n">
        <v>12</v>
      </c>
      <c r="R66" t="s">
        <v>298</v>
      </c>
      <c r="S66" t="s">
        <v>298</v>
      </c>
      <c r="T66" t="n">
        <v>-0.25</v>
      </c>
    </row>
    <row r="67">
      <c r="A67" t="s">
        <v>32</v>
      </c>
      <c r="B67" t="n">
        <v>1</v>
      </c>
      <c r="C67" t="n">
        <v>1</v>
      </c>
      <c r="D67" t="n">
        <v>1</v>
      </c>
      <c r="E67" t="n">
        <v>-1.75</v>
      </c>
      <c r="F67" t="n">
        <v>-0.25</v>
      </c>
      <c r="G67" t="n">
        <v>129</v>
      </c>
      <c r="H67" t="n">
        <v>12</v>
      </c>
      <c r="I67" t="s">
        <v>297</v>
      </c>
      <c r="J67" t="n">
        <v>0</v>
      </c>
      <c r="K67" t="n">
        <v>0</v>
      </c>
      <c r="L67" t="n">
        <v>0</v>
      </c>
      <c r="M67" t="n">
        <v>12</v>
      </c>
      <c r="N67" t="n">
        <v>0.25</v>
      </c>
      <c r="O67" t="n">
        <v>0</v>
      </c>
      <c r="P67" t="n">
        <v>77</v>
      </c>
      <c r="Q67" t="n">
        <v>12</v>
      </c>
      <c r="R67" t="s">
        <v>297</v>
      </c>
      <c r="S67" t="s">
        <v>297</v>
      </c>
      <c r="T67" t="n">
        <v>0.25</v>
      </c>
    </row>
    <row r="68">
      <c r="A68" t="s">
        <v>32</v>
      </c>
      <c r="B68" t="n">
        <v>1.25</v>
      </c>
      <c r="C68" t="n">
        <v>1.25</v>
      </c>
      <c r="D68" t="n">
        <v>1.25</v>
      </c>
      <c r="E68" t="n">
        <v>-1.5</v>
      </c>
      <c r="F68" t="n">
        <v>-0.75</v>
      </c>
      <c r="G68" t="n">
        <v>49</v>
      </c>
      <c r="H68" t="n">
        <v>12</v>
      </c>
      <c r="I68" t="s">
        <v>298</v>
      </c>
      <c r="J68" t="n">
        <v>0</v>
      </c>
      <c r="K68" t="n">
        <v>0</v>
      </c>
      <c r="L68" t="n">
        <v>0</v>
      </c>
      <c r="M68" t="n">
        <v>12</v>
      </c>
      <c r="N68" t="n">
        <v>0.25</v>
      </c>
      <c r="O68" t="n">
        <v>-0.25</v>
      </c>
      <c r="P68" t="n">
        <v>87</v>
      </c>
      <c r="Q68" t="n">
        <v>12</v>
      </c>
      <c r="R68" t="s">
        <v>298</v>
      </c>
      <c r="S68" t="s">
        <v>298</v>
      </c>
      <c r="T68" t="n">
        <v>0.125</v>
      </c>
    </row>
    <row r="69">
      <c r="A69" t="s">
        <v>32</v>
      </c>
      <c r="B69" t="n">
        <v>1.25</v>
      </c>
      <c r="C69" t="n">
        <v>1.6</v>
      </c>
      <c r="D69" t="n">
        <v>1.6</v>
      </c>
      <c r="E69" t="n">
        <v>-4.25</v>
      </c>
      <c r="F69" t="n">
        <v>-1</v>
      </c>
      <c r="G69" t="n">
        <v>9</v>
      </c>
      <c r="H69" t="n">
        <v>12</v>
      </c>
      <c r="I69" t="s">
        <v>298</v>
      </c>
      <c r="J69" t="n">
        <v>0</v>
      </c>
      <c r="K69" t="n">
        <v>0</v>
      </c>
      <c r="L69" t="n">
        <v>0</v>
      </c>
      <c r="M69" t="n">
        <v>12</v>
      </c>
      <c r="N69" t="n">
        <v>0.25</v>
      </c>
      <c r="O69" t="n">
        <v>-0.25</v>
      </c>
      <c r="P69" t="n">
        <v>165</v>
      </c>
      <c r="Q69" t="n">
        <v>12</v>
      </c>
      <c r="R69" t="s">
        <v>299</v>
      </c>
      <c r="S69" t="s">
        <v>299</v>
      </c>
      <c r="T69" t="n">
        <v>0.125</v>
      </c>
    </row>
    <row r="70">
      <c r="A70" t="s">
        <v>32</v>
      </c>
      <c r="B70" t="n">
        <v>1.6</v>
      </c>
      <c r="C70" t="n">
        <v>1.6</v>
      </c>
      <c r="D70" t="n">
        <v>1.6</v>
      </c>
      <c r="E70" t="n">
        <v>-4</v>
      </c>
      <c r="F70" t="n">
        <v>-1</v>
      </c>
      <c r="G70" t="n">
        <v>176</v>
      </c>
      <c r="H70" t="n">
        <v>12</v>
      </c>
      <c r="I70" t="s">
        <v>299</v>
      </c>
      <c r="J70" t="n">
        <v>0</v>
      </c>
      <c r="K70" t="n">
        <v>0</v>
      </c>
      <c r="L70" t="n">
        <v>0</v>
      </c>
      <c r="M70" t="n">
        <v>12</v>
      </c>
      <c r="N70" t="n">
        <v>0.5</v>
      </c>
      <c r="O70" t="n">
        <v>0</v>
      </c>
      <c r="P70" t="n">
        <v>69</v>
      </c>
      <c r="Q70" t="n">
        <v>12</v>
      </c>
      <c r="R70" t="s">
        <v>299</v>
      </c>
      <c r="S70" t="s">
        <v>299</v>
      </c>
      <c r="T70" t="n">
        <v>0.5</v>
      </c>
    </row>
    <row r="71">
      <c r="A71" t="s">
        <v>32</v>
      </c>
      <c r="B71" t="n">
        <v>1.25</v>
      </c>
      <c r="C71" t="n">
        <v>1.25</v>
      </c>
      <c r="D71" t="n">
        <v>1.25</v>
      </c>
      <c r="E71" t="n">
        <v>-2.75</v>
      </c>
      <c r="F71" t="n">
        <v>-0.5</v>
      </c>
      <c r="G71" t="n">
        <v>36</v>
      </c>
      <c r="H71" t="n">
        <v>12</v>
      </c>
      <c r="I71" t="s">
        <v>298</v>
      </c>
      <c r="J71" t="n">
        <v>0</v>
      </c>
      <c r="K71" t="n">
        <v>0</v>
      </c>
      <c r="L71" t="n">
        <v>0</v>
      </c>
      <c r="M71" t="n">
        <v>12</v>
      </c>
      <c r="N71" t="n">
        <v>1</v>
      </c>
      <c r="O71" t="n">
        <v>-0.25</v>
      </c>
      <c r="P71" t="n">
        <v>156</v>
      </c>
      <c r="Q71" t="n">
        <v>12</v>
      </c>
      <c r="R71" t="s">
        <v>298</v>
      </c>
      <c r="S71" t="s">
        <v>298</v>
      </c>
      <c r="T71" t="n">
        <v>0.875</v>
      </c>
    </row>
    <row r="72">
      <c r="A72" t="s">
        <v>32</v>
      </c>
      <c r="B72" t="n">
        <v>1.25</v>
      </c>
      <c r="C72" t="n">
        <v>1.6</v>
      </c>
      <c r="D72" t="n">
        <v>1.6</v>
      </c>
      <c r="E72" t="n">
        <v>-2</v>
      </c>
      <c r="F72" t="n">
        <v>-0.5</v>
      </c>
      <c r="G72" t="n">
        <v>156</v>
      </c>
      <c r="H72" t="n">
        <v>12</v>
      </c>
      <c r="I72" t="s">
        <v>298</v>
      </c>
      <c r="J72" t="n">
        <v>0</v>
      </c>
      <c r="K72" t="n">
        <v>0</v>
      </c>
      <c r="L72" t="n">
        <v>0</v>
      </c>
      <c r="M72" t="n">
        <v>12</v>
      </c>
      <c r="N72" t="n">
        <v>0.5</v>
      </c>
      <c r="O72" t="n">
        <v>0</v>
      </c>
      <c r="P72" t="n">
        <v>41</v>
      </c>
      <c r="Q72" t="n">
        <v>12</v>
      </c>
      <c r="R72" t="s">
        <v>299</v>
      </c>
      <c r="S72" t="s">
        <v>299</v>
      </c>
      <c r="T72" t="n">
        <v>0.5</v>
      </c>
    </row>
    <row r="73">
      <c r="A73" t="s">
        <v>32</v>
      </c>
      <c r="B73" t="n">
        <v>1</v>
      </c>
      <c r="C73" t="n">
        <v>0.8</v>
      </c>
      <c r="D73" t="n">
        <v>0.8</v>
      </c>
      <c r="E73" t="n">
        <v>-0.75</v>
      </c>
      <c r="F73" t="n">
        <v>-0.5</v>
      </c>
      <c r="G73" t="n">
        <v>171</v>
      </c>
      <c r="H73" t="n">
        <v>12</v>
      </c>
      <c r="I73" t="s">
        <v>297</v>
      </c>
      <c r="J73" t="n">
        <v>0</v>
      </c>
      <c r="K73" t="n">
        <v>0</v>
      </c>
      <c r="L73" t="n">
        <v>0</v>
      </c>
      <c r="M73" t="n">
        <v>12</v>
      </c>
      <c r="N73" t="n">
        <v>0</v>
      </c>
      <c r="O73" t="n">
        <v>0</v>
      </c>
      <c r="P73" t="n">
        <v>12</v>
      </c>
      <c r="Q73" t="n">
        <v>12</v>
      </c>
      <c r="R73" t="s">
        <v>296</v>
      </c>
      <c r="S73" t="s">
        <v>296</v>
      </c>
      <c r="T73" t="n">
        <v>0</v>
      </c>
    </row>
    <row r="74">
      <c r="A74" t="s">
        <v>32</v>
      </c>
      <c r="B74" t="n">
        <v>1.25</v>
      </c>
      <c r="C74" t="n">
        <v>1.25</v>
      </c>
      <c r="D74" t="n">
        <v>1.25</v>
      </c>
      <c r="E74" t="n">
        <v>-0.5</v>
      </c>
      <c r="F74" t="n">
        <v>-0.25</v>
      </c>
      <c r="G74" t="n">
        <v>177</v>
      </c>
      <c r="H74" t="n">
        <v>12</v>
      </c>
      <c r="I74" t="s">
        <v>298</v>
      </c>
      <c r="J74" t="n">
        <v>0</v>
      </c>
      <c r="K74" t="n">
        <v>0</v>
      </c>
      <c r="L74" t="n">
        <v>0</v>
      </c>
      <c r="M74" t="n">
        <v>12</v>
      </c>
      <c r="N74" t="n">
        <v>0.5</v>
      </c>
      <c r="O74" t="n">
        <v>-0.5</v>
      </c>
      <c r="P74" t="n">
        <v>166</v>
      </c>
      <c r="Q74" t="n">
        <v>12</v>
      </c>
      <c r="R74" t="s">
        <v>298</v>
      </c>
      <c r="S74" t="s">
        <v>298</v>
      </c>
      <c r="T74" t="n">
        <v>0.25</v>
      </c>
    </row>
    <row r="75">
      <c r="A75" t="s">
        <v>32</v>
      </c>
      <c r="B75" t="n">
        <v>1.25</v>
      </c>
      <c r="C75" t="n">
        <v>1.6</v>
      </c>
      <c r="D75" t="n">
        <v>1.6</v>
      </c>
      <c r="E75" t="n">
        <v>-0.5</v>
      </c>
      <c r="F75" t="n">
        <v>0</v>
      </c>
      <c r="G75" t="n">
        <v>100</v>
      </c>
      <c r="H75" t="n">
        <v>12</v>
      </c>
      <c r="I75" t="s">
        <v>298</v>
      </c>
      <c r="J75" t="n">
        <v>0</v>
      </c>
      <c r="K75" t="n">
        <v>0</v>
      </c>
      <c r="L75" t="n">
        <v>0</v>
      </c>
      <c r="M75" t="n">
        <v>12</v>
      </c>
      <c r="N75" t="n">
        <v>0</v>
      </c>
      <c r="O75" t="n">
        <v>-0.25</v>
      </c>
      <c r="P75" t="n">
        <v>9</v>
      </c>
      <c r="Q75" t="n">
        <v>12</v>
      </c>
      <c r="R75" t="s">
        <v>299</v>
      </c>
      <c r="S75" t="s">
        <v>299</v>
      </c>
      <c r="T75" t="n">
        <v>-0.125</v>
      </c>
    </row>
    <row r="76">
      <c r="A76" t="s">
        <v>32</v>
      </c>
      <c r="B76" t="n">
        <v>1</v>
      </c>
      <c r="C76" t="n">
        <v>1</v>
      </c>
      <c r="D76" t="n">
        <v>1</v>
      </c>
      <c r="E76" t="n">
        <v>-1.25</v>
      </c>
      <c r="F76" t="n">
        <v>-1.25</v>
      </c>
      <c r="G76" t="n">
        <v>91</v>
      </c>
      <c r="H76" t="n">
        <v>12</v>
      </c>
      <c r="I76" t="s">
        <v>297</v>
      </c>
      <c r="J76" t="n">
        <v>0</v>
      </c>
      <c r="K76" t="n">
        <v>0</v>
      </c>
      <c r="L76" t="n">
        <v>0</v>
      </c>
      <c r="M76" t="n">
        <v>12</v>
      </c>
      <c r="N76" t="n">
        <v>0</v>
      </c>
      <c r="O76" t="n">
        <v>-0.25</v>
      </c>
      <c r="P76" t="n">
        <v>80</v>
      </c>
      <c r="Q76" t="n">
        <v>12</v>
      </c>
      <c r="R76" t="s">
        <v>297</v>
      </c>
      <c r="S76" t="s">
        <v>297</v>
      </c>
      <c r="T76" t="n">
        <v>-0.125</v>
      </c>
    </row>
    <row r="77">
      <c r="A77" t="s">
        <v>32</v>
      </c>
      <c r="B77" t="n">
        <v>1</v>
      </c>
      <c r="C77" t="n">
        <v>1.25</v>
      </c>
      <c r="D77" t="n">
        <v>1.25</v>
      </c>
      <c r="E77" t="n">
        <v>-3.75</v>
      </c>
      <c r="F77" t="n">
        <v>-1.25</v>
      </c>
      <c r="G77" t="n">
        <v>86</v>
      </c>
      <c r="H77" t="n">
        <v>12</v>
      </c>
      <c r="I77" t="s">
        <v>297</v>
      </c>
      <c r="J77" t="n">
        <v>0</v>
      </c>
      <c r="K77" t="n">
        <v>0</v>
      </c>
      <c r="L77" t="n">
        <v>0</v>
      </c>
      <c r="M77" t="n">
        <v>12</v>
      </c>
      <c r="N77" t="n">
        <v>-0.25</v>
      </c>
      <c r="O77" t="n">
        <v>-0.25</v>
      </c>
      <c r="P77" t="n">
        <v>76</v>
      </c>
      <c r="Q77" t="n">
        <v>12</v>
      </c>
      <c r="R77" t="s">
        <v>298</v>
      </c>
      <c r="S77" t="s">
        <v>298</v>
      </c>
      <c r="T77" t="n">
        <v>-0.375</v>
      </c>
    </row>
    <row r="78">
      <c r="A78" t="s">
        <v>32</v>
      </c>
      <c r="B78" t="n">
        <v>1</v>
      </c>
      <c r="C78" t="n">
        <v>1</v>
      </c>
      <c r="D78" t="n">
        <v>1</v>
      </c>
      <c r="E78" t="n">
        <v>-0.5</v>
      </c>
      <c r="F78" t="n">
        <v>-0.25</v>
      </c>
      <c r="G78" t="n">
        <v>5</v>
      </c>
      <c r="H78" t="n">
        <v>12</v>
      </c>
      <c r="I78" t="s">
        <v>297</v>
      </c>
      <c r="J78" t="n">
        <v>0</v>
      </c>
      <c r="K78" t="n">
        <v>0</v>
      </c>
      <c r="L78" t="n">
        <v>0</v>
      </c>
      <c r="M78" t="n">
        <v>12</v>
      </c>
      <c r="N78" t="n">
        <v>0.25</v>
      </c>
      <c r="O78" t="n">
        <v>-0.25</v>
      </c>
      <c r="P78" t="n">
        <v>59</v>
      </c>
      <c r="Q78" t="n">
        <v>12</v>
      </c>
      <c r="R78" t="s">
        <v>297</v>
      </c>
      <c r="S78" t="s">
        <v>297</v>
      </c>
      <c r="T78" t="n">
        <v>0.125</v>
      </c>
    </row>
    <row r="79">
      <c r="A79" t="s">
        <v>32</v>
      </c>
      <c r="B79" t="n">
        <v>1</v>
      </c>
      <c r="C79" t="n">
        <v>1</v>
      </c>
      <c r="D79" t="n">
        <v>1</v>
      </c>
      <c r="E79" t="n">
        <v>-2.25</v>
      </c>
      <c r="F79" t="n">
        <v>-0.5</v>
      </c>
      <c r="G79" t="n">
        <v>130</v>
      </c>
      <c r="H79" t="n">
        <v>12</v>
      </c>
      <c r="I79" t="s">
        <v>297</v>
      </c>
      <c r="J79" t="n">
        <v>0</v>
      </c>
      <c r="K79" t="n">
        <v>0</v>
      </c>
      <c r="L79" t="n">
        <v>0</v>
      </c>
      <c r="M79" t="n">
        <v>12</v>
      </c>
      <c r="N79" t="n">
        <v>0.25</v>
      </c>
      <c r="O79" t="n">
        <v>-0.25</v>
      </c>
      <c r="P79" t="n">
        <v>157</v>
      </c>
      <c r="Q79" t="n">
        <v>12</v>
      </c>
      <c r="R79" t="s">
        <v>297</v>
      </c>
      <c r="S79" t="s">
        <v>297</v>
      </c>
      <c r="T79" t="n">
        <v>0.125</v>
      </c>
    </row>
    <row r="80">
      <c r="A80" t="s">
        <v>32</v>
      </c>
      <c r="B80" t="n">
        <v>1.25</v>
      </c>
      <c r="C80" t="n">
        <v>1.25</v>
      </c>
      <c r="D80" t="n">
        <v>1.6</v>
      </c>
      <c r="E80" t="n">
        <v>-3.75</v>
      </c>
      <c r="F80" t="n">
        <v>-0.75</v>
      </c>
      <c r="G80" t="n">
        <v>154</v>
      </c>
      <c r="H80" t="n">
        <v>12</v>
      </c>
      <c r="I80" t="s">
        <v>298</v>
      </c>
      <c r="J80" t="n">
        <v>0</v>
      </c>
      <c r="K80" t="n">
        <v>0</v>
      </c>
      <c r="L80" t="n">
        <v>0</v>
      </c>
      <c r="M80" t="n">
        <v>12</v>
      </c>
      <c r="N80" t="n">
        <v>-0.5</v>
      </c>
      <c r="O80" t="n">
        <v>0</v>
      </c>
      <c r="P80" t="n">
        <v>147</v>
      </c>
      <c r="Q80" t="n">
        <v>12</v>
      </c>
      <c r="R80" t="s">
        <v>299</v>
      </c>
      <c r="S80" t="s">
        <v>298</v>
      </c>
      <c r="T80" t="n">
        <v>-0.5</v>
      </c>
    </row>
    <row r="81">
      <c r="A81" t="s">
        <v>32</v>
      </c>
      <c r="B81" t="n">
        <v>1.25</v>
      </c>
      <c r="C81" t="n">
        <v>1.6</v>
      </c>
      <c r="D81" t="n">
        <v>1.6</v>
      </c>
      <c r="E81" t="n">
        <v>-1.75</v>
      </c>
      <c r="F81" t="n">
        <v>-0.5</v>
      </c>
      <c r="G81" t="n">
        <v>15</v>
      </c>
      <c r="H81" t="n">
        <v>12</v>
      </c>
      <c r="I81" t="s">
        <v>298</v>
      </c>
      <c r="J81" t="n">
        <v>0</v>
      </c>
      <c r="K81" t="n">
        <v>0</v>
      </c>
      <c r="L81" t="n">
        <v>0</v>
      </c>
      <c r="M81" t="n">
        <v>12</v>
      </c>
      <c r="N81" t="n">
        <v>0</v>
      </c>
      <c r="O81" t="n">
        <v>-0.25</v>
      </c>
      <c r="P81" t="n">
        <v>49</v>
      </c>
      <c r="Q81" t="n">
        <v>12</v>
      </c>
      <c r="R81" t="s">
        <v>299</v>
      </c>
      <c r="S81" t="s">
        <v>299</v>
      </c>
      <c r="T81" t="n">
        <v>-0.125</v>
      </c>
    </row>
    <row r="82">
      <c r="A82" t="s">
        <v>32</v>
      </c>
      <c r="B82" t="n">
        <v>1</v>
      </c>
      <c r="C82" t="n">
        <v>0.63</v>
      </c>
      <c r="D82" t="n">
        <v>0.8</v>
      </c>
      <c r="E82" t="n">
        <v>-5.25</v>
      </c>
      <c r="F82" t="n">
        <v>-0.75</v>
      </c>
      <c r="G82" t="n">
        <v>57</v>
      </c>
      <c r="H82" t="n">
        <v>12</v>
      </c>
      <c r="I82" t="s">
        <v>297</v>
      </c>
      <c r="J82" t="n">
        <v>0</v>
      </c>
      <c r="K82" t="n">
        <v>0</v>
      </c>
      <c r="L82" t="n">
        <v>0</v>
      </c>
      <c r="M82" t="n">
        <v>12</v>
      </c>
      <c r="N82" t="n">
        <v>1</v>
      </c>
      <c r="O82" t="n">
        <v>-0.25</v>
      </c>
      <c r="P82" t="n">
        <v>70</v>
      </c>
      <c r="Q82" t="n">
        <v>12</v>
      </c>
      <c r="R82" t="s">
        <v>296</v>
      </c>
      <c r="S82" t="s">
        <v>301</v>
      </c>
      <c r="T82" t="n">
        <v>0.875</v>
      </c>
    </row>
    <row r="83">
      <c r="A83" t="s">
        <v>32</v>
      </c>
      <c r="B83" t="n">
        <v>1</v>
      </c>
      <c r="C83" t="n">
        <v>1</v>
      </c>
      <c r="D83" t="n">
        <v>1</v>
      </c>
      <c r="E83" t="n">
        <v>-3.5</v>
      </c>
      <c r="F83" t="n">
        <v>-0.75</v>
      </c>
      <c r="G83" t="n">
        <v>115</v>
      </c>
      <c r="H83" t="n">
        <v>12</v>
      </c>
      <c r="I83" t="s">
        <v>297</v>
      </c>
      <c r="J83" t="n">
        <v>0</v>
      </c>
      <c r="K83" t="n">
        <v>0</v>
      </c>
      <c r="L83" t="n">
        <v>0</v>
      </c>
      <c r="M83" t="n">
        <v>12</v>
      </c>
      <c r="N83" t="n">
        <v>0.5</v>
      </c>
      <c r="O83" t="n">
        <v>-0.25</v>
      </c>
      <c r="P83" t="n">
        <v>147</v>
      </c>
      <c r="Q83" t="n">
        <v>12</v>
      </c>
      <c r="R83" t="s">
        <v>297</v>
      </c>
      <c r="S83" t="s">
        <v>297</v>
      </c>
      <c r="T83" t="n">
        <v>0.375</v>
      </c>
    </row>
    <row r="84">
      <c r="A84" t="s">
        <v>32</v>
      </c>
      <c r="B84" t="n">
        <v>1.25</v>
      </c>
      <c r="C84" t="n">
        <v>1.25</v>
      </c>
      <c r="D84" t="n">
        <v>1.25</v>
      </c>
      <c r="E84" t="n">
        <v>-2.25</v>
      </c>
      <c r="F84" t="n">
        <v>-0.25</v>
      </c>
      <c r="G84" t="n">
        <v>162</v>
      </c>
      <c r="H84" t="n">
        <v>12</v>
      </c>
      <c r="I84" t="s">
        <v>298</v>
      </c>
      <c r="J84" t="n">
        <v>0</v>
      </c>
      <c r="K84" t="n">
        <v>0</v>
      </c>
      <c r="L84" t="n">
        <v>0</v>
      </c>
      <c r="M84" t="n">
        <v>12</v>
      </c>
      <c r="N84" t="n">
        <v>-0.25</v>
      </c>
      <c r="O84" t="n">
        <v>0</v>
      </c>
      <c r="P84" t="n">
        <v>7</v>
      </c>
      <c r="Q84" t="n">
        <v>12</v>
      </c>
      <c r="R84" t="s">
        <v>298</v>
      </c>
      <c r="S84" t="s">
        <v>298</v>
      </c>
      <c r="T84" t="n">
        <v>-0.25</v>
      </c>
    </row>
    <row r="85">
      <c r="A85" t="s">
        <v>32</v>
      </c>
      <c r="B85" t="n">
        <v>1.25</v>
      </c>
      <c r="C85" t="n">
        <v>1.25</v>
      </c>
      <c r="D85" t="n">
        <v>1.25</v>
      </c>
      <c r="E85" t="n">
        <v>-5.75</v>
      </c>
      <c r="F85" t="n">
        <v>-0.5</v>
      </c>
      <c r="G85" t="n">
        <v>176</v>
      </c>
      <c r="H85" t="n">
        <v>12</v>
      </c>
      <c r="I85" t="s">
        <v>298</v>
      </c>
      <c r="J85" t="n">
        <v>0</v>
      </c>
      <c r="K85" t="n">
        <v>0</v>
      </c>
      <c r="L85" t="n">
        <v>0</v>
      </c>
      <c r="M85" t="n">
        <v>12</v>
      </c>
      <c r="N85" t="n">
        <v>0</v>
      </c>
      <c r="O85" t="n">
        <v>0</v>
      </c>
      <c r="P85" t="n">
        <v>36</v>
      </c>
      <c r="Q85" t="n">
        <v>12</v>
      </c>
      <c r="R85" t="s">
        <v>298</v>
      </c>
      <c r="S85" t="s">
        <v>298</v>
      </c>
      <c r="T85" t="n">
        <v>0</v>
      </c>
    </row>
    <row r="86">
      <c r="A86" t="s">
        <v>32</v>
      </c>
      <c r="B86" t="n">
        <v>1.25</v>
      </c>
      <c r="C86" t="n">
        <v>1</v>
      </c>
      <c r="D86" t="n">
        <v>1.25</v>
      </c>
      <c r="E86" t="n">
        <v>-3.75</v>
      </c>
      <c r="F86" t="n">
        <v>-2.5</v>
      </c>
      <c r="G86" t="n">
        <v>172</v>
      </c>
      <c r="H86" t="n">
        <v>12</v>
      </c>
      <c r="I86" t="s">
        <v>298</v>
      </c>
      <c r="J86" t="n">
        <v>0</v>
      </c>
      <c r="K86" t="n">
        <v>0</v>
      </c>
      <c r="L86" t="n">
        <v>0</v>
      </c>
      <c r="M86" t="n">
        <v>12</v>
      </c>
      <c r="N86" t="n">
        <v>1</v>
      </c>
      <c r="O86" t="n">
        <v>-0.75</v>
      </c>
      <c r="P86" t="n">
        <v>142</v>
      </c>
      <c r="Q86" t="n">
        <v>12</v>
      </c>
      <c r="R86" t="s">
        <v>298</v>
      </c>
      <c r="S86" t="s">
        <v>297</v>
      </c>
      <c r="T86" t="n">
        <v>0.625</v>
      </c>
    </row>
    <row r="87">
      <c r="A87" t="s">
        <v>32</v>
      </c>
      <c r="B87" t="n">
        <v>1.25</v>
      </c>
      <c r="C87" t="n">
        <v>1.6</v>
      </c>
      <c r="D87" t="n">
        <v>1.6</v>
      </c>
      <c r="E87" t="n">
        <v>-0.75</v>
      </c>
      <c r="F87" t="n">
        <v>-1</v>
      </c>
      <c r="G87" t="n">
        <v>145</v>
      </c>
      <c r="H87" t="n">
        <v>12</v>
      </c>
      <c r="I87" t="s">
        <v>298</v>
      </c>
      <c r="J87" t="n">
        <v>0</v>
      </c>
      <c r="K87" t="n">
        <v>0</v>
      </c>
      <c r="L87" t="n">
        <v>0</v>
      </c>
      <c r="M87" t="n">
        <v>12</v>
      </c>
      <c r="N87" t="n">
        <v>0.25</v>
      </c>
      <c r="O87" t="n">
        <v>-0.25</v>
      </c>
      <c r="P87" t="n">
        <v>129</v>
      </c>
      <c r="Q87" t="n">
        <v>12</v>
      </c>
      <c r="R87" t="s">
        <v>299</v>
      </c>
      <c r="S87" t="s">
        <v>299</v>
      </c>
      <c r="T87" t="n">
        <v>0.125</v>
      </c>
    </row>
    <row r="88">
      <c r="A88" t="s">
        <v>32</v>
      </c>
      <c r="B88" t="n">
        <v>1</v>
      </c>
      <c r="C88" t="n">
        <v>1.25</v>
      </c>
      <c r="D88" t="n">
        <v>1.25</v>
      </c>
      <c r="E88" t="n">
        <v>-5.5</v>
      </c>
      <c r="F88" t="n">
        <v>-0.25</v>
      </c>
      <c r="G88" t="n">
        <v>44</v>
      </c>
      <c r="H88" t="n">
        <v>12</v>
      </c>
      <c r="I88" t="s">
        <v>297</v>
      </c>
      <c r="J88" t="n">
        <v>0</v>
      </c>
      <c r="K88" t="n">
        <v>0</v>
      </c>
      <c r="L88" t="n">
        <v>0</v>
      </c>
      <c r="M88" t="n">
        <v>12</v>
      </c>
      <c r="N88" t="n">
        <v>0.5</v>
      </c>
      <c r="O88" t="n">
        <v>-0.25</v>
      </c>
      <c r="P88" t="n">
        <v>163</v>
      </c>
      <c r="Q88" t="n">
        <v>12</v>
      </c>
      <c r="R88" t="s">
        <v>298</v>
      </c>
      <c r="S88" t="s">
        <v>298</v>
      </c>
      <c r="T88" t="n">
        <v>0.375</v>
      </c>
    </row>
    <row r="89">
      <c r="A89" t="s">
        <v>32</v>
      </c>
      <c r="B89" t="n">
        <v>1</v>
      </c>
      <c r="C89" t="n">
        <v>1.25</v>
      </c>
      <c r="D89" t="n">
        <v>1.25</v>
      </c>
      <c r="E89" t="n">
        <v>-6.25</v>
      </c>
      <c r="F89" t="n">
        <v>-0.5</v>
      </c>
      <c r="G89" t="n">
        <v>133</v>
      </c>
      <c r="H89" t="n">
        <v>12</v>
      </c>
      <c r="I89" t="s">
        <v>297</v>
      </c>
      <c r="J89" t="n">
        <v>0</v>
      </c>
      <c r="K89" t="n">
        <v>0</v>
      </c>
      <c r="L89" t="n">
        <v>0</v>
      </c>
      <c r="M89" t="n">
        <v>12</v>
      </c>
      <c r="N89" t="n">
        <v>0.5</v>
      </c>
      <c r="O89" t="n">
        <v>-0.25</v>
      </c>
      <c r="P89" t="n">
        <v>46</v>
      </c>
      <c r="Q89" t="n">
        <v>12</v>
      </c>
      <c r="R89" t="s">
        <v>298</v>
      </c>
      <c r="S89" t="s">
        <v>298</v>
      </c>
      <c r="T89" t="n">
        <v>0.375</v>
      </c>
    </row>
    <row r="90">
      <c r="A90" t="s">
        <v>32</v>
      </c>
      <c r="B90" t="n">
        <v>0.8</v>
      </c>
      <c r="C90" t="n">
        <v>1</v>
      </c>
      <c r="D90" t="n">
        <v>1</v>
      </c>
      <c r="E90" t="n">
        <v>-4.5</v>
      </c>
      <c r="F90" t="n">
        <v>-0.25</v>
      </c>
      <c r="G90" t="n">
        <v>7</v>
      </c>
      <c r="H90" t="n">
        <v>12</v>
      </c>
      <c r="I90" t="s">
        <v>296</v>
      </c>
      <c r="J90" t="n">
        <v>0</v>
      </c>
      <c r="K90" t="n">
        <v>0</v>
      </c>
      <c r="L90" t="n">
        <v>0</v>
      </c>
      <c r="M90" t="n">
        <v>12</v>
      </c>
      <c r="N90" t="n">
        <v>0.25</v>
      </c>
      <c r="O90" t="n">
        <v>-0.25</v>
      </c>
      <c r="P90" t="n">
        <v>52</v>
      </c>
      <c r="Q90" t="n">
        <v>12</v>
      </c>
      <c r="R90" t="s">
        <v>297</v>
      </c>
      <c r="S90" t="s">
        <v>297</v>
      </c>
      <c r="T90" t="n">
        <v>0.125</v>
      </c>
    </row>
    <row r="91">
      <c r="A91" t="s">
        <v>32</v>
      </c>
      <c r="B91" t="n">
        <v>1</v>
      </c>
      <c r="C91" t="n">
        <v>1.25</v>
      </c>
      <c r="D91" t="n">
        <v>1.25</v>
      </c>
      <c r="E91" t="n">
        <v>-4.25</v>
      </c>
      <c r="F91" t="n">
        <v>-0.5</v>
      </c>
      <c r="G91" t="n">
        <v>168</v>
      </c>
      <c r="H91" t="n">
        <v>12</v>
      </c>
      <c r="I91" t="s">
        <v>297</v>
      </c>
      <c r="J91" t="n">
        <v>0</v>
      </c>
      <c r="K91" t="n">
        <v>0</v>
      </c>
      <c r="L91" t="n">
        <v>0</v>
      </c>
      <c r="M91" t="n">
        <v>12</v>
      </c>
      <c r="N91" t="n">
        <v>0.25</v>
      </c>
      <c r="O91" t="n">
        <v>-0.25</v>
      </c>
      <c r="P91" t="n">
        <v>2</v>
      </c>
      <c r="Q91" t="n">
        <v>12</v>
      </c>
      <c r="R91" t="s">
        <v>298</v>
      </c>
      <c r="S91" t="s">
        <v>298</v>
      </c>
      <c r="T91" t="n">
        <v>0.125</v>
      </c>
    </row>
    <row r="92">
      <c r="A92" t="s">
        <v>32</v>
      </c>
      <c r="B92" t="n">
        <v>1.25</v>
      </c>
      <c r="C92" t="n">
        <v>1.25</v>
      </c>
      <c r="D92" t="n">
        <v>1.25</v>
      </c>
      <c r="E92" t="n">
        <v>-4.75</v>
      </c>
      <c r="F92" t="n">
        <v>-1</v>
      </c>
      <c r="G92" t="n">
        <v>127</v>
      </c>
      <c r="H92" t="n">
        <v>12</v>
      </c>
      <c r="I92" t="s">
        <v>298</v>
      </c>
      <c r="J92" t="n">
        <v>0</v>
      </c>
      <c r="K92" t="n">
        <v>0</v>
      </c>
      <c r="L92" t="n">
        <v>0</v>
      </c>
      <c r="M92" t="n">
        <v>12</v>
      </c>
      <c r="N92" t="n">
        <v>-0.5</v>
      </c>
      <c r="O92" t="n">
        <v>-0.25</v>
      </c>
      <c r="P92" t="n">
        <v>99</v>
      </c>
      <c r="Q92" t="n">
        <v>12</v>
      </c>
      <c r="R92" t="s">
        <v>298</v>
      </c>
      <c r="S92" t="s">
        <v>298</v>
      </c>
      <c r="T92" t="n">
        <v>-0.625</v>
      </c>
    </row>
    <row r="93">
      <c r="A93" t="s">
        <v>32</v>
      </c>
      <c r="B93" t="n">
        <v>0.8</v>
      </c>
      <c r="C93" t="n">
        <v>0.8</v>
      </c>
      <c r="D93" t="n">
        <v>0.8</v>
      </c>
      <c r="E93" t="n">
        <v>-5.25</v>
      </c>
      <c r="F93" t="n">
        <v>-0.75</v>
      </c>
      <c r="G93" t="n">
        <v>42</v>
      </c>
      <c r="H93" t="n">
        <v>12</v>
      </c>
      <c r="I93" t="s">
        <v>296</v>
      </c>
      <c r="J93" t="n">
        <v>0</v>
      </c>
      <c r="K93" t="n">
        <v>0</v>
      </c>
      <c r="L93" t="n">
        <v>0</v>
      </c>
      <c r="M93" t="n">
        <v>12</v>
      </c>
      <c r="N93" t="n">
        <v>0.25</v>
      </c>
      <c r="O93" t="n">
        <v>-0.25</v>
      </c>
      <c r="P93" t="n">
        <v>81</v>
      </c>
      <c r="Q93" t="n">
        <v>12</v>
      </c>
      <c r="R93" t="s">
        <v>296</v>
      </c>
      <c r="S93" t="s">
        <v>296</v>
      </c>
      <c r="T93" t="n">
        <v>0.125</v>
      </c>
    </row>
    <row r="94">
      <c r="A94" t="s">
        <v>32</v>
      </c>
      <c r="B94" t="n">
        <v>1.25</v>
      </c>
      <c r="C94" t="n">
        <v>1.6</v>
      </c>
      <c r="D94" t="n">
        <v>1.6</v>
      </c>
      <c r="E94" t="n">
        <v>-3.25</v>
      </c>
      <c r="F94" t="n">
        <v>-0.5</v>
      </c>
      <c r="G94" t="n">
        <v>8</v>
      </c>
      <c r="H94" t="n">
        <v>12</v>
      </c>
      <c r="I94" t="s">
        <v>298</v>
      </c>
      <c r="J94" t="n">
        <v>0</v>
      </c>
      <c r="K94" t="n">
        <v>0</v>
      </c>
      <c r="L94" t="n">
        <v>0</v>
      </c>
      <c r="M94" t="n">
        <v>12</v>
      </c>
      <c r="N94" t="n">
        <v>0</v>
      </c>
      <c r="O94" t="n">
        <v>0</v>
      </c>
      <c r="P94" t="n">
        <v>145</v>
      </c>
      <c r="Q94" t="n">
        <v>12</v>
      </c>
      <c r="R94" t="s">
        <v>299</v>
      </c>
      <c r="S94" t="s">
        <v>299</v>
      </c>
      <c r="T94" t="n">
        <v>0</v>
      </c>
    </row>
    <row r="95">
      <c r="A95" t="s">
        <v>32</v>
      </c>
      <c r="B95" t="n">
        <v>1.25</v>
      </c>
      <c r="C95" t="n">
        <v>1.25</v>
      </c>
      <c r="D95" t="n">
        <v>1.25</v>
      </c>
      <c r="E95" t="n">
        <v>-3.5</v>
      </c>
      <c r="F95" t="n">
        <v>-0.75</v>
      </c>
      <c r="G95" t="n">
        <v>171</v>
      </c>
      <c r="H95" t="n">
        <v>12</v>
      </c>
      <c r="I95" t="s">
        <v>298</v>
      </c>
      <c r="J95" t="n">
        <v>-1</v>
      </c>
      <c r="K95" t="n">
        <v>0</v>
      </c>
      <c r="L95" t="n">
        <v>0</v>
      </c>
      <c r="M95" t="n">
        <v>12</v>
      </c>
      <c r="N95" t="n">
        <v>-0.5</v>
      </c>
      <c r="O95" t="n">
        <v>0</v>
      </c>
      <c r="P95" t="n">
        <v>119</v>
      </c>
      <c r="Q95" t="n">
        <v>12</v>
      </c>
      <c r="R95" t="s">
        <v>298</v>
      </c>
      <c r="S95" t="s">
        <v>298</v>
      </c>
      <c r="T95" t="n">
        <v>-0.5</v>
      </c>
    </row>
    <row r="96">
      <c r="A96" t="s">
        <v>32</v>
      </c>
      <c r="B96" t="n">
        <v>1</v>
      </c>
      <c r="C96" t="n">
        <v>1.25</v>
      </c>
      <c r="D96" t="n">
        <v>1.25</v>
      </c>
      <c r="E96" t="n">
        <v>-4.25</v>
      </c>
      <c r="F96" t="n">
        <v>-0.75</v>
      </c>
      <c r="G96" t="n">
        <v>48</v>
      </c>
      <c r="H96" t="n">
        <v>12</v>
      </c>
      <c r="I96" t="s">
        <v>297</v>
      </c>
      <c r="J96" t="n">
        <v>0</v>
      </c>
      <c r="K96" t="n">
        <v>0</v>
      </c>
      <c r="L96" t="n">
        <v>0</v>
      </c>
      <c r="M96" t="n">
        <v>12</v>
      </c>
      <c r="N96" t="n">
        <v>0</v>
      </c>
      <c r="O96" t="n">
        <v>-0.25</v>
      </c>
      <c r="P96" t="n">
        <v>74</v>
      </c>
      <c r="Q96" t="n">
        <v>12</v>
      </c>
      <c r="R96" t="s">
        <v>298</v>
      </c>
      <c r="S96" t="s">
        <v>298</v>
      </c>
      <c r="T96" t="n">
        <v>-0.125</v>
      </c>
    </row>
    <row r="97">
      <c r="A97" t="s">
        <v>32</v>
      </c>
      <c r="B97" t="n">
        <v>1</v>
      </c>
      <c r="C97" t="n">
        <v>1</v>
      </c>
      <c r="D97" t="n">
        <v>1</v>
      </c>
      <c r="E97" t="n">
        <v>-4</v>
      </c>
      <c r="F97" t="n">
        <v>-1.5</v>
      </c>
      <c r="G97" t="n">
        <v>114</v>
      </c>
      <c r="H97" t="n">
        <v>12</v>
      </c>
      <c r="I97" t="s">
        <v>297</v>
      </c>
      <c r="J97" t="n">
        <v>0</v>
      </c>
      <c r="K97" t="n">
        <v>0</v>
      </c>
      <c r="L97" t="n">
        <v>0</v>
      </c>
      <c r="M97" t="n">
        <v>12</v>
      </c>
      <c r="N97" t="n">
        <v>0.75</v>
      </c>
      <c r="O97" t="n">
        <v>-0.25</v>
      </c>
      <c r="P97" t="n">
        <v>135</v>
      </c>
      <c r="Q97" t="n">
        <v>12</v>
      </c>
      <c r="R97" t="s">
        <v>297</v>
      </c>
      <c r="S97" t="s">
        <v>297</v>
      </c>
      <c r="T97" t="n">
        <v>0.625</v>
      </c>
    </row>
    <row r="98">
      <c r="A98" t="s">
        <v>32</v>
      </c>
      <c r="B98" t="n">
        <v>1.25</v>
      </c>
      <c r="C98" t="n">
        <v>1.6</v>
      </c>
      <c r="D98" t="n">
        <v>1.6</v>
      </c>
      <c r="E98" t="n">
        <v>-4.25</v>
      </c>
      <c r="F98" t="n">
        <v>-0.5</v>
      </c>
      <c r="G98" t="n">
        <v>11</v>
      </c>
      <c r="H98" t="n">
        <v>12</v>
      </c>
      <c r="I98" t="s">
        <v>298</v>
      </c>
      <c r="J98" t="n">
        <v>0</v>
      </c>
      <c r="K98" t="n">
        <v>0</v>
      </c>
      <c r="L98" t="n">
        <v>0</v>
      </c>
      <c r="M98" t="n">
        <v>12</v>
      </c>
      <c r="N98" t="n">
        <v>-0.25</v>
      </c>
      <c r="O98" t="n">
        <v>-0.25</v>
      </c>
      <c r="P98" t="n">
        <v>38</v>
      </c>
      <c r="Q98" t="n">
        <v>12</v>
      </c>
      <c r="R98" t="s">
        <v>299</v>
      </c>
      <c r="S98" t="s">
        <v>299</v>
      </c>
      <c r="T98" t="n">
        <v>-0.375</v>
      </c>
    </row>
    <row r="99">
      <c r="A99" t="s">
        <v>32</v>
      </c>
      <c r="B99" t="n">
        <v>1.25</v>
      </c>
      <c r="C99" t="n">
        <v>1.6</v>
      </c>
      <c r="D99" t="n">
        <v>1.6</v>
      </c>
      <c r="E99" t="n">
        <v>-2</v>
      </c>
      <c r="F99" t="n">
        <v>-0.5</v>
      </c>
      <c r="G99" t="n">
        <v>165</v>
      </c>
      <c r="H99" t="n">
        <v>12</v>
      </c>
      <c r="I99" t="s">
        <v>298</v>
      </c>
      <c r="J99" t="n">
        <v>0</v>
      </c>
      <c r="K99" t="n">
        <v>0</v>
      </c>
      <c r="L99" t="n">
        <v>0</v>
      </c>
      <c r="M99" t="n">
        <v>12</v>
      </c>
      <c r="N99" t="n">
        <v>0</v>
      </c>
      <c r="O99" t="n">
        <v>-0.25</v>
      </c>
      <c r="P99" t="n">
        <v>144</v>
      </c>
      <c r="Q99" t="n">
        <v>12</v>
      </c>
      <c r="R99" t="s">
        <v>299</v>
      </c>
      <c r="S99" t="s">
        <v>299</v>
      </c>
      <c r="T99" t="n">
        <v>-0.125</v>
      </c>
    </row>
    <row r="100">
      <c r="A100" t="s">
        <v>32</v>
      </c>
      <c r="B100" t="n">
        <v>1</v>
      </c>
      <c r="C100" t="n">
        <v>1</v>
      </c>
      <c r="D100" t="n">
        <v>1</v>
      </c>
      <c r="E100" t="n">
        <v>-4.25</v>
      </c>
      <c r="F100" t="n">
        <v>-0.25</v>
      </c>
      <c r="G100" t="n">
        <v>102</v>
      </c>
      <c r="H100" t="n">
        <v>12</v>
      </c>
      <c r="I100" t="s">
        <v>297</v>
      </c>
      <c r="J100" t="n">
        <v>0</v>
      </c>
      <c r="K100" t="n">
        <v>0</v>
      </c>
      <c r="L100" t="n">
        <v>0</v>
      </c>
      <c r="M100" t="n">
        <v>12</v>
      </c>
      <c r="N100" t="n">
        <v>0.25</v>
      </c>
      <c r="O100" t="n">
        <v>0</v>
      </c>
      <c r="P100" t="n">
        <v>122</v>
      </c>
      <c r="Q100" t="n">
        <v>12</v>
      </c>
      <c r="R100" t="s">
        <v>297</v>
      </c>
      <c r="S100" t="s">
        <v>297</v>
      </c>
      <c r="T100" t="n">
        <v>0.25</v>
      </c>
    </row>
    <row r="101">
      <c r="A101" t="s">
        <v>32</v>
      </c>
      <c r="B101" t="n">
        <v>1</v>
      </c>
      <c r="C101" t="n">
        <v>1</v>
      </c>
      <c r="D101" t="n">
        <v>1</v>
      </c>
      <c r="E101" t="n">
        <v>-4.75</v>
      </c>
      <c r="F101" t="n">
        <v>-0.5</v>
      </c>
      <c r="G101" t="n">
        <v>20</v>
      </c>
      <c r="H101" t="n">
        <v>12</v>
      </c>
      <c r="I101" t="s">
        <v>297</v>
      </c>
      <c r="J101" t="n">
        <v>0</v>
      </c>
      <c r="K101" t="n">
        <v>0</v>
      </c>
      <c r="L101" t="n">
        <v>0</v>
      </c>
      <c r="M101" t="n">
        <v>12</v>
      </c>
      <c r="N101" t="n">
        <v>-0.25</v>
      </c>
      <c r="O101" t="n">
        <v>0</v>
      </c>
      <c r="P101" t="n">
        <v>63</v>
      </c>
      <c r="Q101" t="n">
        <v>12</v>
      </c>
      <c r="R101" t="s">
        <v>297</v>
      </c>
      <c r="S101" t="s">
        <v>297</v>
      </c>
      <c r="T101" t="n">
        <v>-0.25</v>
      </c>
    </row>
    <row r="102">
      <c r="A102" t="s">
        <v>32</v>
      </c>
      <c r="B102" t="n">
        <v>1.25</v>
      </c>
      <c r="C102" t="n">
        <v>1.25</v>
      </c>
      <c r="D102" t="n">
        <v>1.25</v>
      </c>
      <c r="E102" t="n">
        <v>-4</v>
      </c>
      <c r="F102" t="n">
        <v>-1.25</v>
      </c>
      <c r="G102" t="n">
        <v>176</v>
      </c>
      <c r="H102" t="n">
        <v>12</v>
      </c>
      <c r="I102" t="s">
        <v>298</v>
      </c>
      <c r="J102" t="n">
        <v>0</v>
      </c>
      <c r="K102" t="n">
        <v>0</v>
      </c>
      <c r="L102" t="n">
        <v>0</v>
      </c>
      <c r="M102" t="n">
        <v>12</v>
      </c>
      <c r="N102" t="n">
        <v>0.5</v>
      </c>
      <c r="O102" t="n">
        <v>-0.25</v>
      </c>
      <c r="P102" t="n">
        <v>135</v>
      </c>
      <c r="Q102" t="n">
        <v>12</v>
      </c>
      <c r="R102" t="s">
        <v>298</v>
      </c>
      <c r="S102" t="s">
        <v>298</v>
      </c>
      <c r="T102" t="n">
        <v>0.375</v>
      </c>
    </row>
    <row r="103">
      <c r="A103" t="s">
        <v>32</v>
      </c>
      <c r="B103" t="n">
        <v>1.25</v>
      </c>
      <c r="C103" t="n">
        <v>1</v>
      </c>
      <c r="D103" t="n">
        <v>1.25</v>
      </c>
      <c r="E103" t="n">
        <v>-4.25</v>
      </c>
      <c r="F103" t="n">
        <v>-1</v>
      </c>
      <c r="G103" t="n">
        <v>8</v>
      </c>
      <c r="H103" t="n">
        <v>12</v>
      </c>
      <c r="I103" t="s">
        <v>298</v>
      </c>
      <c r="J103" t="n">
        <v>0</v>
      </c>
      <c r="K103" t="n">
        <v>0</v>
      </c>
      <c r="L103" t="n">
        <v>0</v>
      </c>
      <c r="M103" t="n">
        <v>12</v>
      </c>
      <c r="N103" t="n">
        <v>0</v>
      </c>
      <c r="O103" t="n">
        <v>-0.25</v>
      </c>
      <c r="P103" t="n">
        <v>42</v>
      </c>
      <c r="Q103" t="n">
        <v>12</v>
      </c>
      <c r="R103" t="s">
        <v>298</v>
      </c>
      <c r="S103" t="s">
        <v>297</v>
      </c>
      <c r="T103" t="n">
        <v>-0.125</v>
      </c>
    </row>
    <row r="104">
      <c r="A104" t="s">
        <v>32</v>
      </c>
      <c r="B104" t="n">
        <v>1.25</v>
      </c>
      <c r="C104" t="n">
        <v>1.25</v>
      </c>
      <c r="D104" t="n">
        <v>1.25</v>
      </c>
      <c r="E104" t="n">
        <v>-1</v>
      </c>
      <c r="F104" t="n">
        <v>-1</v>
      </c>
      <c r="G104" t="n">
        <v>7</v>
      </c>
      <c r="H104" t="n">
        <v>12</v>
      </c>
      <c r="I104" t="s">
        <v>298</v>
      </c>
      <c r="J104" t="n">
        <v>0</v>
      </c>
      <c r="K104" t="n">
        <v>0</v>
      </c>
      <c r="L104" t="n">
        <v>0</v>
      </c>
      <c r="M104" t="n">
        <v>12</v>
      </c>
      <c r="N104" t="n">
        <v>-0.25</v>
      </c>
      <c r="O104" t="n">
        <v>-0.25</v>
      </c>
      <c r="P104" t="n">
        <v>39</v>
      </c>
      <c r="Q104" t="n">
        <v>12</v>
      </c>
      <c r="R104" t="s">
        <v>298</v>
      </c>
      <c r="S104" t="s">
        <v>298</v>
      </c>
      <c r="T104" t="n">
        <v>-0.375</v>
      </c>
    </row>
    <row r="105">
      <c r="A105" t="s">
        <v>32</v>
      </c>
      <c r="B105" t="n">
        <v>1.25</v>
      </c>
      <c r="C105" t="n">
        <v>1.6</v>
      </c>
      <c r="D105" t="n">
        <v>1.6</v>
      </c>
      <c r="E105" t="n">
        <v>-2.25</v>
      </c>
      <c r="F105" t="n">
        <v>-1.25</v>
      </c>
      <c r="G105" t="n">
        <v>169</v>
      </c>
      <c r="H105" t="n">
        <v>12</v>
      </c>
      <c r="I105" t="s">
        <v>298</v>
      </c>
      <c r="J105" t="n">
        <v>0</v>
      </c>
      <c r="K105" t="n">
        <v>0</v>
      </c>
      <c r="L105" t="n">
        <v>0</v>
      </c>
      <c r="M105" t="n">
        <v>12</v>
      </c>
      <c r="N105" t="n">
        <v>0.25</v>
      </c>
      <c r="O105" t="n">
        <v>-0.5</v>
      </c>
      <c r="P105" t="n">
        <v>24</v>
      </c>
      <c r="Q105" t="n">
        <v>12</v>
      </c>
      <c r="R105" t="s">
        <v>299</v>
      </c>
      <c r="S105" t="s">
        <v>299</v>
      </c>
      <c r="T105" t="n">
        <v>0</v>
      </c>
    </row>
    <row r="106">
      <c r="A106" t="s">
        <v>32</v>
      </c>
      <c r="B106" t="n">
        <v>1</v>
      </c>
      <c r="C106" t="n">
        <v>1</v>
      </c>
      <c r="D106" t="n">
        <v>1</v>
      </c>
      <c r="E106" t="n">
        <v>-2</v>
      </c>
      <c r="F106" t="n">
        <v>-0.75</v>
      </c>
      <c r="G106" t="n">
        <v>107</v>
      </c>
      <c r="H106" t="n">
        <v>12</v>
      </c>
      <c r="I106" t="s">
        <v>297</v>
      </c>
      <c r="J106" t="n">
        <v>0</v>
      </c>
      <c r="K106" t="n">
        <v>0</v>
      </c>
      <c r="L106" t="n">
        <v>0</v>
      </c>
      <c r="M106" t="n">
        <v>12</v>
      </c>
      <c r="N106" t="n">
        <v>0</v>
      </c>
      <c r="O106" t="n">
        <v>-0.25</v>
      </c>
      <c r="P106" t="n">
        <v>116</v>
      </c>
      <c r="Q106" t="n">
        <v>12</v>
      </c>
      <c r="R106" t="s">
        <v>297</v>
      </c>
      <c r="S106" t="s">
        <v>297</v>
      </c>
      <c r="T106" t="n">
        <v>-0.125</v>
      </c>
    </row>
    <row r="107">
      <c r="A107" t="s">
        <v>32</v>
      </c>
      <c r="B107" t="n">
        <v>1.25</v>
      </c>
      <c r="C107" t="n">
        <v>1.25</v>
      </c>
      <c r="D107" t="n">
        <v>1.25</v>
      </c>
      <c r="E107" t="n">
        <v>-2.25</v>
      </c>
      <c r="F107" t="n">
        <v>-3</v>
      </c>
      <c r="G107" t="n">
        <v>159</v>
      </c>
      <c r="H107" t="n">
        <v>12</v>
      </c>
      <c r="I107" t="s">
        <v>298</v>
      </c>
      <c r="J107" t="n">
        <v>0</v>
      </c>
      <c r="K107" t="n">
        <v>0</v>
      </c>
      <c r="L107" t="n">
        <v>0</v>
      </c>
      <c r="M107" t="n">
        <v>12</v>
      </c>
      <c r="N107" t="n">
        <v>0.25</v>
      </c>
      <c r="O107" t="n">
        <v>-0.5</v>
      </c>
      <c r="P107" t="n">
        <v>133</v>
      </c>
      <c r="Q107" t="n">
        <v>12</v>
      </c>
      <c r="R107" t="s">
        <v>298</v>
      </c>
      <c r="S107" t="s">
        <v>298</v>
      </c>
      <c r="T107" t="n">
        <v>0</v>
      </c>
    </row>
    <row r="108">
      <c r="A108" t="s">
        <v>32</v>
      </c>
      <c r="B108" t="n">
        <v>1.25</v>
      </c>
      <c r="C108" t="n">
        <v>1.25</v>
      </c>
      <c r="D108" t="n">
        <v>1.25</v>
      </c>
      <c r="E108" t="n">
        <v>-1.75</v>
      </c>
      <c r="F108" t="n">
        <v>-2.5</v>
      </c>
      <c r="G108" t="n">
        <v>23</v>
      </c>
      <c r="H108" t="n">
        <v>12</v>
      </c>
      <c r="I108" t="s">
        <v>298</v>
      </c>
      <c r="J108" t="n">
        <v>0</v>
      </c>
      <c r="K108" t="n">
        <v>0</v>
      </c>
      <c r="L108" t="n">
        <v>0</v>
      </c>
      <c r="M108" t="n">
        <v>12</v>
      </c>
      <c r="N108" t="n">
        <v>0.25</v>
      </c>
      <c r="O108" t="n">
        <v>-0.5</v>
      </c>
      <c r="P108" t="n">
        <v>35</v>
      </c>
      <c r="Q108" t="n">
        <v>12</v>
      </c>
      <c r="R108" t="s">
        <v>298</v>
      </c>
      <c r="S108" t="s">
        <v>298</v>
      </c>
      <c r="T108" t="n">
        <v>0</v>
      </c>
    </row>
    <row r="109">
      <c r="A109" t="s">
        <v>32</v>
      </c>
      <c r="B109" t="n">
        <v>1.25</v>
      </c>
      <c r="C109" t="n">
        <v>1.25</v>
      </c>
      <c r="D109" t="n">
        <v>1.25</v>
      </c>
      <c r="E109" t="n">
        <v>-0.5</v>
      </c>
      <c r="F109" t="n">
        <v>-0.25</v>
      </c>
      <c r="G109" t="n">
        <v>4</v>
      </c>
      <c r="H109" t="n">
        <v>12</v>
      </c>
      <c r="I109" t="s">
        <v>298</v>
      </c>
      <c r="J109" t="n">
        <v>0</v>
      </c>
      <c r="K109" t="n">
        <v>0</v>
      </c>
      <c r="L109" t="n">
        <v>0</v>
      </c>
      <c r="M109" t="n">
        <v>12</v>
      </c>
      <c r="N109" t="n">
        <v>0.75</v>
      </c>
      <c r="O109" t="n">
        <v>-0.5</v>
      </c>
      <c r="P109" t="n">
        <v>24</v>
      </c>
      <c r="Q109" t="n">
        <v>12</v>
      </c>
      <c r="R109" t="s">
        <v>298</v>
      </c>
      <c r="S109" t="s">
        <v>298</v>
      </c>
      <c r="T109" t="n">
        <v>0.5</v>
      </c>
    </row>
    <row r="110">
      <c r="A110" t="s">
        <v>32</v>
      </c>
      <c r="B110" t="n">
        <v>1</v>
      </c>
      <c r="C110" t="n">
        <v>0.63</v>
      </c>
      <c r="D110" t="n">
        <v>0.63</v>
      </c>
      <c r="E110" t="n">
        <v>-0.5</v>
      </c>
      <c r="F110" t="n">
        <v>-0.25</v>
      </c>
      <c r="G110" t="n">
        <v>175</v>
      </c>
      <c r="H110" t="n">
        <v>12</v>
      </c>
      <c r="I110" t="s">
        <v>297</v>
      </c>
      <c r="J110" t="n">
        <v>0</v>
      </c>
      <c r="K110" t="n">
        <v>0</v>
      </c>
      <c r="L110" t="n">
        <v>0</v>
      </c>
      <c r="M110" t="n">
        <v>12</v>
      </c>
      <c r="N110" t="n">
        <v>0.75</v>
      </c>
      <c r="O110" t="n">
        <v>-0.25</v>
      </c>
      <c r="P110" t="n">
        <v>155</v>
      </c>
      <c r="Q110" t="n">
        <v>12</v>
      </c>
      <c r="R110" t="s">
        <v>301</v>
      </c>
      <c r="S110" t="s">
        <v>301</v>
      </c>
      <c r="T110" t="n">
        <v>0.625</v>
      </c>
    </row>
    <row r="111">
      <c r="A111" t="s">
        <v>32</v>
      </c>
      <c r="B111" t="n">
        <v>1</v>
      </c>
      <c r="C111" t="n">
        <v>1.25</v>
      </c>
      <c r="D111" t="n">
        <v>1.25</v>
      </c>
      <c r="E111" t="n">
        <v>-6</v>
      </c>
      <c r="F111" t="n">
        <v>-0.25</v>
      </c>
      <c r="G111" t="n">
        <v>175</v>
      </c>
      <c r="H111" t="n">
        <v>12</v>
      </c>
      <c r="I111" t="s">
        <v>297</v>
      </c>
      <c r="J111" t="n">
        <v>0</v>
      </c>
      <c r="K111" t="n">
        <v>0</v>
      </c>
      <c r="L111" t="n">
        <v>0</v>
      </c>
      <c r="M111" t="n">
        <v>12</v>
      </c>
      <c r="N111" t="n">
        <v>0</v>
      </c>
      <c r="O111" t="n">
        <v>0</v>
      </c>
      <c r="P111" t="n">
        <v>34</v>
      </c>
      <c r="Q111" t="n">
        <v>12</v>
      </c>
      <c r="R111" t="s">
        <v>298</v>
      </c>
      <c r="S111" t="s">
        <v>298</v>
      </c>
      <c r="T111" t="n">
        <v>0</v>
      </c>
    </row>
    <row r="112">
      <c r="A112" t="s">
        <v>32</v>
      </c>
      <c r="B112" t="n">
        <v>1</v>
      </c>
      <c r="C112" t="n">
        <v>1</v>
      </c>
      <c r="D112" t="n">
        <v>1</v>
      </c>
      <c r="E112" t="n">
        <v>-3.5</v>
      </c>
      <c r="F112" t="n">
        <v>-0.5</v>
      </c>
      <c r="G112" t="n">
        <v>16</v>
      </c>
      <c r="H112" t="n">
        <v>12</v>
      </c>
      <c r="I112" t="s">
        <v>297</v>
      </c>
      <c r="J112" t="n">
        <v>0</v>
      </c>
      <c r="K112" t="n">
        <v>0</v>
      </c>
      <c r="L112" t="n">
        <v>0</v>
      </c>
      <c r="M112" t="n">
        <v>12</v>
      </c>
      <c r="N112" t="n">
        <v>0.25</v>
      </c>
      <c r="O112" t="n">
        <v>-0.25</v>
      </c>
      <c r="P112" t="n">
        <v>153</v>
      </c>
      <c r="Q112" t="n">
        <v>12</v>
      </c>
      <c r="R112" t="s">
        <v>297</v>
      </c>
      <c r="S112" t="s">
        <v>297</v>
      </c>
      <c r="T112" t="n">
        <v>0.125</v>
      </c>
    </row>
    <row r="113">
      <c r="A113" t="s">
        <v>32</v>
      </c>
      <c r="B113" t="n">
        <v>1.25</v>
      </c>
      <c r="C113" t="n">
        <v>0.63</v>
      </c>
      <c r="D113" t="n">
        <v>0.8</v>
      </c>
      <c r="E113" t="n">
        <v>0</v>
      </c>
      <c r="F113" t="n">
        <v>-0.75</v>
      </c>
      <c r="G113" t="n">
        <v>8</v>
      </c>
      <c r="H113" t="n">
        <v>12</v>
      </c>
      <c r="I113" t="s">
        <v>298</v>
      </c>
      <c r="J113" t="n">
        <v>0</v>
      </c>
      <c r="K113" t="n">
        <v>0</v>
      </c>
      <c r="L113" t="n">
        <v>0</v>
      </c>
      <c r="M113" t="n">
        <v>12</v>
      </c>
      <c r="N113" t="n">
        <v>-0.25</v>
      </c>
      <c r="O113" t="n">
        <v>-0.5</v>
      </c>
      <c r="P113" t="n">
        <v>152</v>
      </c>
      <c r="Q113" t="n">
        <v>12</v>
      </c>
      <c r="R113" t="s">
        <v>296</v>
      </c>
      <c r="S113" t="s">
        <v>301</v>
      </c>
      <c r="T113" t="n">
        <v>-0.5</v>
      </c>
    </row>
    <row r="114">
      <c r="A114" t="s">
        <v>32</v>
      </c>
      <c r="B114" t="n">
        <v>1.6</v>
      </c>
      <c r="C114" t="n">
        <v>1.25</v>
      </c>
      <c r="D114" t="n">
        <v>1.25</v>
      </c>
      <c r="E114" t="n">
        <v>-0.5</v>
      </c>
      <c r="F114" t="n">
        <v>-1</v>
      </c>
      <c r="G114" t="n">
        <v>179</v>
      </c>
      <c r="H114" t="n">
        <v>12</v>
      </c>
      <c r="I114" t="s">
        <v>299</v>
      </c>
      <c r="J114" t="n">
        <v>0</v>
      </c>
      <c r="K114" t="n">
        <v>0</v>
      </c>
      <c r="L114" t="n">
        <v>0</v>
      </c>
      <c r="M114" t="n">
        <v>12</v>
      </c>
      <c r="N114" t="n">
        <v>0.5</v>
      </c>
      <c r="O114" t="n">
        <v>-0.5</v>
      </c>
      <c r="P114" t="n">
        <v>42</v>
      </c>
      <c r="Q114" t="n">
        <v>12</v>
      </c>
      <c r="R114" t="s">
        <v>298</v>
      </c>
      <c r="S114" t="s">
        <v>298</v>
      </c>
      <c r="T114" t="n">
        <v>0.25</v>
      </c>
    </row>
    <row r="115">
      <c r="A115" t="s">
        <v>32</v>
      </c>
      <c r="B115" t="n">
        <v>1.25</v>
      </c>
      <c r="C115" t="n">
        <v>1.25</v>
      </c>
      <c r="D115" t="n">
        <v>1.25</v>
      </c>
      <c r="E115" t="n">
        <v>0</v>
      </c>
      <c r="F115" t="n">
        <v>-0.75</v>
      </c>
      <c r="G115" t="n">
        <v>174</v>
      </c>
      <c r="H115" t="n">
        <v>12</v>
      </c>
      <c r="I115" t="s">
        <v>298</v>
      </c>
      <c r="J115" t="n">
        <v>0</v>
      </c>
      <c r="K115" t="n">
        <v>0</v>
      </c>
      <c r="L115" t="n">
        <v>0</v>
      </c>
      <c r="M115" t="n">
        <v>12</v>
      </c>
      <c r="N115" t="n">
        <v>0</v>
      </c>
      <c r="O115" t="n">
        <v>0</v>
      </c>
      <c r="P115" t="n">
        <v>175</v>
      </c>
      <c r="Q115" t="n">
        <v>12</v>
      </c>
      <c r="R115" t="s">
        <v>298</v>
      </c>
      <c r="S115" t="s">
        <v>298</v>
      </c>
      <c r="T115" t="n">
        <v>0</v>
      </c>
    </row>
    <row r="116">
      <c r="A116" t="s">
        <v>32</v>
      </c>
      <c r="B116" t="n">
        <v>1</v>
      </c>
      <c r="C116" t="n">
        <v>0.8</v>
      </c>
      <c r="D116" t="n">
        <v>1</v>
      </c>
      <c r="E116" t="n">
        <v>-5</v>
      </c>
      <c r="F116" t="n">
        <v>-2</v>
      </c>
      <c r="G116" t="n">
        <v>164</v>
      </c>
      <c r="H116" t="n">
        <v>12</v>
      </c>
      <c r="I116" t="s">
        <v>297</v>
      </c>
      <c r="J116" t="n">
        <v>0</v>
      </c>
      <c r="K116" t="n">
        <v>0</v>
      </c>
      <c r="L116" t="n">
        <v>0</v>
      </c>
      <c r="M116" t="n">
        <v>12</v>
      </c>
      <c r="N116" t="n">
        <v>-0.25</v>
      </c>
      <c r="O116" t="n">
        <v>-0.5</v>
      </c>
      <c r="P116" t="n">
        <v>108</v>
      </c>
      <c r="Q116" t="n">
        <v>12</v>
      </c>
      <c r="R116" t="s">
        <v>297</v>
      </c>
      <c r="S116" t="s">
        <v>296</v>
      </c>
      <c r="T116" t="n">
        <v>-0.5</v>
      </c>
    </row>
    <row r="117">
      <c r="A117" t="s">
        <v>32</v>
      </c>
      <c r="B117" t="n">
        <v>1.25</v>
      </c>
      <c r="C117" t="n">
        <v>1.6</v>
      </c>
      <c r="D117" t="n">
        <v>1.6</v>
      </c>
      <c r="E117" t="n">
        <v>-3.75</v>
      </c>
      <c r="F117" t="n">
        <v>-2</v>
      </c>
      <c r="G117" t="n">
        <v>19</v>
      </c>
      <c r="H117" t="n">
        <v>12</v>
      </c>
      <c r="I117" t="s">
        <v>298</v>
      </c>
      <c r="J117" t="n">
        <v>0</v>
      </c>
      <c r="K117" t="n">
        <v>0</v>
      </c>
      <c r="L117" t="n">
        <v>0</v>
      </c>
      <c r="M117" t="n">
        <v>12</v>
      </c>
      <c r="N117" t="n">
        <v>0</v>
      </c>
      <c r="O117" t="n">
        <v>-0.25</v>
      </c>
      <c r="P117" t="n">
        <v>103</v>
      </c>
      <c r="Q117" t="n">
        <v>12</v>
      </c>
      <c r="R117" t="s">
        <v>299</v>
      </c>
      <c r="S117" t="s">
        <v>299</v>
      </c>
      <c r="T117" t="n">
        <v>-0.125</v>
      </c>
    </row>
    <row r="118">
      <c r="A118" t="s">
        <v>32</v>
      </c>
      <c r="B118" t="n">
        <v>1</v>
      </c>
      <c r="C118" t="n">
        <v>0.8</v>
      </c>
      <c r="D118" t="n">
        <v>0.8</v>
      </c>
      <c r="E118" t="n">
        <v>-0.75</v>
      </c>
      <c r="F118" t="n">
        <v>-1.25</v>
      </c>
      <c r="G118" t="n">
        <v>88</v>
      </c>
      <c r="H118" t="n">
        <v>12</v>
      </c>
      <c r="I118" t="s">
        <v>297</v>
      </c>
      <c r="J118" t="n">
        <v>0</v>
      </c>
      <c r="K118" t="n">
        <v>0</v>
      </c>
      <c r="L118" t="n">
        <v>0</v>
      </c>
      <c r="M118" t="n">
        <v>12</v>
      </c>
      <c r="N118" t="n">
        <v>-0.25</v>
      </c>
      <c r="O118" t="n">
        <v>-0.25</v>
      </c>
      <c r="P118" t="n">
        <v>70</v>
      </c>
      <c r="Q118" t="n">
        <v>12</v>
      </c>
      <c r="R118" t="s">
        <v>296</v>
      </c>
      <c r="S118" t="s">
        <v>296</v>
      </c>
      <c r="T118" t="n">
        <v>-0.375</v>
      </c>
    </row>
    <row r="119">
      <c r="A119" t="s">
        <v>32</v>
      </c>
      <c r="B119" t="n">
        <v>1</v>
      </c>
      <c r="C119" t="n">
        <v>1</v>
      </c>
      <c r="D119" t="n">
        <v>1</v>
      </c>
      <c r="E119" t="n">
        <v>-1</v>
      </c>
      <c r="F119" t="n">
        <v>-1.75</v>
      </c>
      <c r="G119" t="n">
        <v>109</v>
      </c>
      <c r="H119" t="n">
        <v>12</v>
      </c>
      <c r="I119" t="s">
        <v>297</v>
      </c>
      <c r="J119" t="n">
        <v>0</v>
      </c>
      <c r="K119" t="n">
        <v>0</v>
      </c>
      <c r="L119" t="n">
        <v>0</v>
      </c>
      <c r="M119" t="n">
        <v>12</v>
      </c>
      <c r="N119" t="n">
        <v>-0.25</v>
      </c>
      <c r="O119" t="n">
        <v>-0.25</v>
      </c>
      <c r="P119" t="n">
        <v>89</v>
      </c>
      <c r="Q119" t="n">
        <v>12</v>
      </c>
      <c r="R119" t="s">
        <v>297</v>
      </c>
      <c r="S119" t="s">
        <v>297</v>
      </c>
      <c r="T119" t="n">
        <v>-0.375</v>
      </c>
    </row>
    <row r="120">
      <c r="A120" t="s">
        <v>32</v>
      </c>
      <c r="B120" t="n">
        <v>1.25</v>
      </c>
      <c r="C120" t="n">
        <v>1.6</v>
      </c>
      <c r="D120" t="n">
        <v>1.6</v>
      </c>
      <c r="E120" t="n">
        <v>-0.5</v>
      </c>
      <c r="F120" t="n">
        <v>-0.75</v>
      </c>
      <c r="G120" t="n">
        <v>135</v>
      </c>
      <c r="H120" t="n">
        <v>12</v>
      </c>
      <c r="I120" t="s">
        <v>298</v>
      </c>
      <c r="J120" t="n">
        <v>0</v>
      </c>
      <c r="K120" t="n">
        <v>0</v>
      </c>
      <c r="L120" t="n">
        <v>0</v>
      </c>
      <c r="M120" t="n">
        <v>12</v>
      </c>
      <c r="N120" t="n">
        <v>0.25</v>
      </c>
      <c r="O120" t="n">
        <v>-0.25</v>
      </c>
      <c r="P120" t="n">
        <v>166</v>
      </c>
      <c r="Q120" t="n">
        <v>12</v>
      </c>
      <c r="R120" t="s">
        <v>299</v>
      </c>
      <c r="S120" t="s">
        <v>299</v>
      </c>
      <c r="T120" t="n">
        <v>0.125</v>
      </c>
    </row>
    <row r="121">
      <c r="A121" t="s">
        <v>32</v>
      </c>
      <c r="B121" t="n">
        <v>1.25</v>
      </c>
      <c r="C121" t="n">
        <v>1.6</v>
      </c>
      <c r="D121" t="n">
        <v>1.6</v>
      </c>
      <c r="E121" t="n">
        <v>-1.25</v>
      </c>
      <c r="F121" t="n">
        <v>-0.5</v>
      </c>
      <c r="G121" t="n">
        <v>46</v>
      </c>
      <c r="H121" t="n">
        <v>12</v>
      </c>
      <c r="I121" t="s">
        <v>298</v>
      </c>
      <c r="J121" t="n">
        <v>0</v>
      </c>
      <c r="K121" t="n">
        <v>0</v>
      </c>
      <c r="L121" t="n">
        <v>0</v>
      </c>
      <c r="M121" t="n">
        <v>12</v>
      </c>
      <c r="N121" t="n">
        <v>0</v>
      </c>
      <c r="O121" t="n">
        <v>-0.25</v>
      </c>
      <c r="P121" t="n">
        <v>66</v>
      </c>
      <c r="Q121" t="n">
        <v>12</v>
      </c>
      <c r="R121" t="s">
        <v>299</v>
      </c>
      <c r="S121" t="s">
        <v>299</v>
      </c>
      <c r="T121" t="n">
        <v>-0.125</v>
      </c>
    </row>
    <row r="122">
      <c r="A122" t="s">
        <v>32</v>
      </c>
      <c r="B122" t="n">
        <v>1.25</v>
      </c>
      <c r="C122" t="n">
        <v>1.6</v>
      </c>
      <c r="D122" t="n">
        <v>1.6</v>
      </c>
      <c r="E122" t="n">
        <v>-2.25</v>
      </c>
      <c r="F122" t="n">
        <v>-0.5</v>
      </c>
      <c r="G122" t="n">
        <v>104</v>
      </c>
      <c r="H122" t="n">
        <v>12</v>
      </c>
      <c r="I122" t="s">
        <v>298</v>
      </c>
      <c r="J122" t="n">
        <v>0</v>
      </c>
      <c r="K122" t="n">
        <v>0</v>
      </c>
      <c r="L122" t="n">
        <v>0</v>
      </c>
      <c r="M122" t="n">
        <v>12</v>
      </c>
      <c r="N122" t="n">
        <v>0.5</v>
      </c>
      <c r="O122" t="n">
        <v>-0.25</v>
      </c>
      <c r="P122" t="n">
        <v>169</v>
      </c>
      <c r="Q122" t="n">
        <v>12</v>
      </c>
      <c r="R122" t="s">
        <v>299</v>
      </c>
      <c r="S122" t="s">
        <v>299</v>
      </c>
      <c r="T122" t="n">
        <v>0.375</v>
      </c>
    </row>
    <row r="123">
      <c r="A123" t="s">
        <v>32</v>
      </c>
      <c r="B123" t="n">
        <v>1.25</v>
      </c>
      <c r="C123" t="n">
        <v>1.6</v>
      </c>
      <c r="D123" t="n">
        <v>1.6</v>
      </c>
      <c r="E123" t="n">
        <v>-0.25</v>
      </c>
      <c r="F123" t="n">
        <v>-1.25</v>
      </c>
      <c r="G123" t="n">
        <v>4</v>
      </c>
      <c r="H123" t="n">
        <v>12</v>
      </c>
      <c r="I123" t="s">
        <v>298</v>
      </c>
      <c r="J123" t="n">
        <v>0</v>
      </c>
      <c r="K123" t="n">
        <v>0</v>
      </c>
      <c r="L123" t="n">
        <v>0</v>
      </c>
      <c r="M123" t="n">
        <v>12</v>
      </c>
      <c r="N123" t="n">
        <v>0</v>
      </c>
      <c r="O123" t="n">
        <v>-0.25</v>
      </c>
      <c r="P123" t="n">
        <v>27</v>
      </c>
      <c r="Q123" t="n">
        <v>12</v>
      </c>
      <c r="R123" t="s">
        <v>299</v>
      </c>
      <c r="S123" t="s">
        <v>299</v>
      </c>
      <c r="T123" t="n">
        <v>-0.125</v>
      </c>
    </row>
    <row r="124">
      <c r="A124" t="s">
        <v>32</v>
      </c>
      <c r="B124" t="n">
        <v>1.25</v>
      </c>
      <c r="C124" t="n">
        <v>1.25</v>
      </c>
      <c r="D124" t="n">
        <v>1.25</v>
      </c>
      <c r="E124" t="n">
        <v>-1</v>
      </c>
      <c r="F124" t="n">
        <v>-0.75</v>
      </c>
      <c r="G124" t="n">
        <v>180</v>
      </c>
      <c r="H124" t="n">
        <v>12</v>
      </c>
      <c r="I124" t="s">
        <v>298</v>
      </c>
      <c r="J124" t="n">
        <v>0</v>
      </c>
      <c r="K124" t="n">
        <v>0</v>
      </c>
      <c r="L124" t="n">
        <v>0</v>
      </c>
      <c r="M124" t="n">
        <v>12</v>
      </c>
      <c r="N124" t="n">
        <v>0</v>
      </c>
      <c r="O124" t="n">
        <v>-0.25</v>
      </c>
      <c r="P124" t="n">
        <v>1</v>
      </c>
      <c r="Q124" t="n">
        <v>12</v>
      </c>
      <c r="R124" t="s">
        <v>298</v>
      </c>
      <c r="S124" t="s">
        <v>298</v>
      </c>
      <c r="T124" t="n">
        <v>-0.125</v>
      </c>
    </row>
    <row r="125">
      <c r="A125" t="s">
        <v>32</v>
      </c>
      <c r="B125" t="n">
        <v>1</v>
      </c>
      <c r="C125" t="n">
        <v>0.8</v>
      </c>
      <c r="D125" t="n">
        <v>1</v>
      </c>
      <c r="E125" t="n">
        <v>-3.75</v>
      </c>
      <c r="F125" t="n">
        <v>-0.25</v>
      </c>
      <c r="G125" t="n">
        <v>15</v>
      </c>
      <c r="H125" t="n">
        <v>12</v>
      </c>
      <c r="I125" t="s">
        <v>297</v>
      </c>
      <c r="J125" t="n">
        <v>0</v>
      </c>
      <c r="K125" t="n">
        <v>0</v>
      </c>
      <c r="L125" t="n">
        <v>0</v>
      </c>
      <c r="M125" t="n">
        <v>12</v>
      </c>
      <c r="N125" t="n">
        <v>0.75</v>
      </c>
      <c r="O125" t="n">
        <v>-0.25</v>
      </c>
      <c r="P125" t="n">
        <v>44</v>
      </c>
      <c r="Q125" t="n">
        <v>12</v>
      </c>
      <c r="R125" t="s">
        <v>297</v>
      </c>
      <c r="S125" t="s">
        <v>296</v>
      </c>
      <c r="T125" t="n">
        <v>0.625</v>
      </c>
    </row>
    <row r="126">
      <c r="A126" t="s">
        <v>32</v>
      </c>
      <c r="B126" t="n">
        <v>1</v>
      </c>
      <c r="C126" t="n">
        <v>1.25</v>
      </c>
      <c r="D126" t="n">
        <v>1.25</v>
      </c>
      <c r="E126" t="n">
        <v>-5</v>
      </c>
      <c r="F126" t="n">
        <v>-0.25</v>
      </c>
      <c r="G126" t="n">
        <v>166</v>
      </c>
      <c r="H126" t="n">
        <v>12</v>
      </c>
      <c r="I126" t="s">
        <v>297</v>
      </c>
      <c r="J126" t="n">
        <v>0</v>
      </c>
      <c r="K126" t="n">
        <v>0</v>
      </c>
      <c r="L126" t="n">
        <v>0</v>
      </c>
      <c r="M126" t="n">
        <v>12</v>
      </c>
      <c r="N126" t="n">
        <v>0</v>
      </c>
      <c r="O126" t="n">
        <v>-0.25</v>
      </c>
      <c r="P126" t="n">
        <v>146</v>
      </c>
      <c r="Q126" t="n">
        <v>12</v>
      </c>
      <c r="R126" t="s">
        <v>298</v>
      </c>
      <c r="S126" t="s">
        <v>298</v>
      </c>
      <c r="T126" t="n">
        <v>-0.125</v>
      </c>
    </row>
    <row r="127">
      <c r="A127" t="s">
        <v>32</v>
      </c>
      <c r="B127" t="n">
        <v>1</v>
      </c>
      <c r="C127" t="n">
        <v>1.25</v>
      </c>
      <c r="D127" t="n">
        <v>1.25</v>
      </c>
      <c r="E127" t="n">
        <v>-3</v>
      </c>
      <c r="F127" t="n">
        <v>-0.75</v>
      </c>
      <c r="G127" t="n">
        <v>37</v>
      </c>
      <c r="H127" t="n">
        <v>12</v>
      </c>
      <c r="I127" t="s">
        <v>297</v>
      </c>
      <c r="J127" t="n">
        <v>0</v>
      </c>
      <c r="K127" t="n">
        <v>0</v>
      </c>
      <c r="L127" t="n">
        <v>0</v>
      </c>
      <c r="M127" t="n">
        <v>12</v>
      </c>
      <c r="N127" t="n">
        <v>0.25</v>
      </c>
      <c r="O127" t="n">
        <v>0</v>
      </c>
      <c r="P127" t="n">
        <v>56</v>
      </c>
      <c r="Q127" t="n">
        <v>12</v>
      </c>
      <c r="R127" t="s">
        <v>298</v>
      </c>
      <c r="S127" t="s">
        <v>298</v>
      </c>
      <c r="T127" t="n">
        <v>0.25</v>
      </c>
    </row>
    <row r="128">
      <c r="A128" t="s">
        <v>32</v>
      </c>
      <c r="B128" t="n">
        <v>1</v>
      </c>
      <c r="C128"/>
      <c r="D128" t="n">
        <v>1</v>
      </c>
      <c r="E128" t="n">
        <v>-2.75</v>
      </c>
      <c r="F128" t="n">
        <v>-0.25</v>
      </c>
      <c r="G128" t="n">
        <v>145</v>
      </c>
      <c r="H128" t="n">
        <v>12</v>
      </c>
      <c r="I128" t="s">
        <v>297</v>
      </c>
      <c r="J128" t="n">
        <v>0</v>
      </c>
      <c r="K128" t="n">
        <v>0</v>
      </c>
      <c r="L128" t="n">
        <v>0</v>
      </c>
      <c r="M128" t="n">
        <v>12</v>
      </c>
      <c r="N128" t="n">
        <v>-0.25</v>
      </c>
      <c r="O128" t="n">
        <v>-0.25</v>
      </c>
      <c r="P128" t="n">
        <v>15</v>
      </c>
      <c r="Q128" t="n">
        <v>12</v>
      </c>
      <c r="R128" t="s">
        <v>297</v>
      </c>
      <c r="S128" t="s">
        <v>109</v>
      </c>
      <c r="T128" t="n">
        <v>-0.375</v>
      </c>
    </row>
    <row r="129">
      <c r="A129" t="s">
        <v>32</v>
      </c>
      <c r="B129" t="n">
        <v>1.25</v>
      </c>
      <c r="C129" t="n">
        <v>1.25</v>
      </c>
      <c r="D129" t="n">
        <v>1.25</v>
      </c>
      <c r="E129" t="n">
        <v>-6.25</v>
      </c>
      <c r="F129" t="n">
        <v>-0.75</v>
      </c>
      <c r="G129" t="n">
        <v>12</v>
      </c>
      <c r="H129" t="n">
        <v>12</v>
      </c>
      <c r="I129" t="s">
        <v>298</v>
      </c>
      <c r="J129" t="n">
        <v>0</v>
      </c>
      <c r="K129" t="n">
        <v>0</v>
      </c>
      <c r="L129" t="n">
        <v>0</v>
      </c>
      <c r="M129" t="n">
        <v>12</v>
      </c>
      <c r="N129" t="n">
        <v>-0.25</v>
      </c>
      <c r="O129" t="n">
        <v>-0.25</v>
      </c>
      <c r="P129" t="n">
        <v>91</v>
      </c>
      <c r="Q129" t="n">
        <v>12</v>
      </c>
      <c r="R129" t="s">
        <v>298</v>
      </c>
      <c r="S129" t="s">
        <v>298</v>
      </c>
      <c r="T129" t="n">
        <v>-0.375</v>
      </c>
    </row>
    <row r="130">
      <c r="A130" t="s">
        <v>32</v>
      </c>
      <c r="B130" t="n">
        <v>1</v>
      </c>
      <c r="C130" t="n">
        <v>1</v>
      </c>
      <c r="D130" t="n">
        <v>1</v>
      </c>
      <c r="E130" t="n">
        <v>-3</v>
      </c>
      <c r="F130" t="n">
        <v>-1</v>
      </c>
      <c r="G130" t="n">
        <v>166</v>
      </c>
      <c r="H130" t="n">
        <v>12</v>
      </c>
      <c r="I130" t="s">
        <v>297</v>
      </c>
      <c r="J130" t="n">
        <v>0</v>
      </c>
      <c r="K130" t="n">
        <v>0</v>
      </c>
      <c r="L130" t="n">
        <v>0</v>
      </c>
      <c r="M130" t="n">
        <v>12</v>
      </c>
      <c r="N130" t="n">
        <v>0.75</v>
      </c>
      <c r="O130" t="n">
        <v>-0.25</v>
      </c>
      <c r="P130" t="n">
        <v>112</v>
      </c>
      <c r="Q130" t="n">
        <v>12</v>
      </c>
      <c r="R130" t="s">
        <v>297</v>
      </c>
      <c r="S130" t="s">
        <v>297</v>
      </c>
      <c r="T130" t="n">
        <v>0.625</v>
      </c>
    </row>
    <row r="131">
      <c r="A131" t="s">
        <v>32</v>
      </c>
      <c r="B131" t="n">
        <v>0.8</v>
      </c>
      <c r="C131" t="n">
        <v>0.8</v>
      </c>
      <c r="D131" t="n">
        <v>0.8</v>
      </c>
      <c r="E131" t="n">
        <v>-3.25</v>
      </c>
      <c r="F131" t="n">
        <v>-0.5</v>
      </c>
      <c r="G131" t="n">
        <v>10</v>
      </c>
      <c r="H131" t="n">
        <v>12</v>
      </c>
      <c r="I131" t="s">
        <v>296</v>
      </c>
      <c r="J131" t="n">
        <v>0</v>
      </c>
      <c r="K131" t="n">
        <v>0</v>
      </c>
      <c r="L131" t="n">
        <v>0</v>
      </c>
      <c r="M131" t="n">
        <v>12</v>
      </c>
      <c r="N131" t="n">
        <v>0.75</v>
      </c>
      <c r="O131" t="n">
        <v>-0.25</v>
      </c>
      <c r="P131" t="n">
        <v>119</v>
      </c>
      <c r="Q131" t="n">
        <v>12</v>
      </c>
      <c r="R131" t="s">
        <v>296</v>
      </c>
      <c r="S131" t="s">
        <v>296</v>
      </c>
      <c r="T131" t="n">
        <v>0.625</v>
      </c>
    </row>
    <row r="132">
      <c r="A132" t="s">
        <v>32</v>
      </c>
      <c r="B132" t="n">
        <v>1</v>
      </c>
      <c r="C132" t="n">
        <v>1.25</v>
      </c>
      <c r="D132" t="n">
        <v>1.25</v>
      </c>
      <c r="E132" t="n">
        <v>-1.5</v>
      </c>
      <c r="F132" t="n">
        <v>-1.25</v>
      </c>
      <c r="G132" t="n">
        <v>90</v>
      </c>
      <c r="H132" t="n">
        <v>12</v>
      </c>
      <c r="I132" t="s">
        <v>297</v>
      </c>
      <c r="J132" t="n">
        <v>0</v>
      </c>
      <c r="K132" t="n">
        <v>0</v>
      </c>
      <c r="L132" t="n">
        <v>0</v>
      </c>
      <c r="M132" t="n">
        <v>12</v>
      </c>
      <c r="N132" t="n">
        <v>0</v>
      </c>
      <c r="O132" t="n">
        <v>-0.25</v>
      </c>
      <c r="P132" t="n">
        <v>120</v>
      </c>
      <c r="Q132" t="n">
        <v>12</v>
      </c>
      <c r="R132" t="s">
        <v>298</v>
      </c>
      <c r="S132" t="s">
        <v>298</v>
      </c>
      <c r="T132" t="n">
        <v>-0.125</v>
      </c>
    </row>
    <row r="133">
      <c r="A133" t="s">
        <v>32</v>
      </c>
      <c r="B133" t="n">
        <v>1</v>
      </c>
      <c r="C133" t="n">
        <v>0.8</v>
      </c>
      <c r="D133" t="n">
        <v>1.25</v>
      </c>
      <c r="E133" t="n">
        <v>-2.75</v>
      </c>
      <c r="F133" t="n">
        <v>-1.5</v>
      </c>
      <c r="G133" t="n">
        <v>175</v>
      </c>
      <c r="H133" t="n">
        <v>12</v>
      </c>
      <c r="I133" t="s">
        <v>297</v>
      </c>
      <c r="J133" t="n">
        <v>0</v>
      </c>
      <c r="K133" t="n">
        <v>0</v>
      </c>
      <c r="L133" t="n">
        <v>0</v>
      </c>
      <c r="M133" t="n">
        <v>12</v>
      </c>
      <c r="N133" t="n">
        <v>-0.25</v>
      </c>
      <c r="O133" t="n">
        <v>-0.5</v>
      </c>
      <c r="P133" t="n">
        <v>143</v>
      </c>
      <c r="Q133" t="n">
        <v>12</v>
      </c>
      <c r="R133" t="s">
        <v>298</v>
      </c>
      <c r="S133" t="s">
        <v>296</v>
      </c>
      <c r="T133" t="n">
        <v>-0.5</v>
      </c>
    </row>
    <row r="134">
      <c r="A134" t="s">
        <v>32</v>
      </c>
      <c r="B134" t="n">
        <v>1</v>
      </c>
      <c r="C134" t="n">
        <v>0.8</v>
      </c>
      <c r="D134" t="n">
        <v>1.25</v>
      </c>
      <c r="E134" t="n">
        <v>-3.5</v>
      </c>
      <c r="F134" t="n">
        <v>-1.5</v>
      </c>
      <c r="G134" t="n">
        <v>15</v>
      </c>
      <c r="H134" t="n">
        <v>12</v>
      </c>
      <c r="I134" t="s">
        <v>297</v>
      </c>
      <c r="J134" t="n">
        <v>0</v>
      </c>
      <c r="K134" t="n">
        <v>0</v>
      </c>
      <c r="L134" t="n">
        <v>0</v>
      </c>
      <c r="M134" t="n">
        <v>12</v>
      </c>
      <c r="N134" t="n">
        <v>0.25</v>
      </c>
      <c r="O134" t="n">
        <v>-1.25</v>
      </c>
      <c r="P134" t="n">
        <v>43</v>
      </c>
      <c r="Q134" t="n">
        <v>12</v>
      </c>
      <c r="R134" t="s">
        <v>298</v>
      </c>
      <c r="S134" t="s">
        <v>296</v>
      </c>
      <c r="T134" t="n">
        <v>-0.375</v>
      </c>
    </row>
    <row r="135">
      <c r="A135" t="s">
        <v>32</v>
      </c>
      <c r="B135" t="n">
        <v>1</v>
      </c>
      <c r="C135" t="n">
        <v>1</v>
      </c>
      <c r="D135" t="n">
        <v>1</v>
      </c>
      <c r="E135" t="n">
        <v>-6</v>
      </c>
      <c r="F135" t="n">
        <v>-0.75</v>
      </c>
      <c r="G135" t="n">
        <v>84</v>
      </c>
      <c r="H135" t="n">
        <v>12</v>
      </c>
      <c r="I135" t="s">
        <v>297</v>
      </c>
      <c r="J135" t="n">
        <v>0</v>
      </c>
      <c r="K135" t="n">
        <v>0</v>
      </c>
      <c r="L135" t="n">
        <v>0</v>
      </c>
      <c r="M135" t="n">
        <v>12</v>
      </c>
      <c r="N135" t="n">
        <v>0</v>
      </c>
      <c r="O135" t="n">
        <v>-0.25</v>
      </c>
      <c r="P135" t="n">
        <v>56</v>
      </c>
      <c r="Q135" t="n">
        <v>12</v>
      </c>
      <c r="R135" t="s">
        <v>297</v>
      </c>
      <c r="S135" t="s">
        <v>297</v>
      </c>
      <c r="T135" t="n">
        <v>-0.125</v>
      </c>
    </row>
    <row r="136">
      <c r="A136" t="s">
        <v>32</v>
      </c>
      <c r="B136" t="n">
        <v>1</v>
      </c>
      <c r="C136" t="n">
        <v>1</v>
      </c>
      <c r="D136" t="n">
        <v>1</v>
      </c>
      <c r="E136" t="n">
        <v>-7</v>
      </c>
      <c r="F136" t="n">
        <v>-0.5</v>
      </c>
      <c r="G136" t="n">
        <v>97</v>
      </c>
      <c r="H136" t="n">
        <v>12</v>
      </c>
      <c r="I136" t="s">
        <v>297</v>
      </c>
      <c r="J136" t="n">
        <v>0</v>
      </c>
      <c r="K136" t="n">
        <v>0</v>
      </c>
      <c r="L136" t="n">
        <v>0</v>
      </c>
      <c r="M136" t="n">
        <v>12</v>
      </c>
      <c r="N136" t="n">
        <v>-0.25</v>
      </c>
      <c r="O136" t="n">
        <v>0</v>
      </c>
      <c r="P136" t="n">
        <v>29</v>
      </c>
      <c r="Q136" t="n">
        <v>12</v>
      </c>
      <c r="R136" t="s">
        <v>297</v>
      </c>
      <c r="S136" t="s">
        <v>297</v>
      </c>
      <c r="T136" t="n">
        <v>-0.25</v>
      </c>
    </row>
    <row r="137">
      <c r="A137" t="s">
        <v>32</v>
      </c>
      <c r="B137" t="n">
        <v>1.25</v>
      </c>
      <c r="C137" t="n">
        <v>1.25</v>
      </c>
      <c r="D137" t="n">
        <v>1.25</v>
      </c>
      <c r="E137" t="n">
        <v>-0.25</v>
      </c>
      <c r="F137" t="n">
        <v>-2</v>
      </c>
      <c r="G137" t="n">
        <v>19</v>
      </c>
      <c r="H137" t="n">
        <v>12</v>
      </c>
      <c r="I137" t="s">
        <v>298</v>
      </c>
      <c r="J137" t="n">
        <v>0</v>
      </c>
      <c r="K137" t="n">
        <v>0</v>
      </c>
      <c r="L137" t="n">
        <v>0</v>
      </c>
      <c r="M137" t="n">
        <v>12</v>
      </c>
      <c r="N137" t="n">
        <v>0.25</v>
      </c>
      <c r="O137" t="n">
        <v>-0.25</v>
      </c>
      <c r="P137" t="n">
        <v>2</v>
      </c>
      <c r="Q137" t="n">
        <v>12</v>
      </c>
      <c r="R137" t="s">
        <v>298</v>
      </c>
      <c r="S137" t="s">
        <v>298</v>
      </c>
      <c r="T137" t="n">
        <v>0.125</v>
      </c>
    </row>
    <row r="138">
      <c r="A138" t="s">
        <v>32</v>
      </c>
      <c r="B138" t="n">
        <v>1.25</v>
      </c>
      <c r="C138" t="n">
        <v>1.25</v>
      </c>
      <c r="D138" t="n">
        <v>1.25</v>
      </c>
      <c r="E138" t="n">
        <v>-1.5</v>
      </c>
      <c r="F138" t="n">
        <v>-0.25</v>
      </c>
      <c r="G138" t="n">
        <v>168</v>
      </c>
      <c r="H138" t="n">
        <v>12</v>
      </c>
      <c r="I138" t="s">
        <v>298</v>
      </c>
      <c r="J138" t="n">
        <v>0</v>
      </c>
      <c r="K138" t="n">
        <v>0</v>
      </c>
      <c r="L138" t="n">
        <v>0</v>
      </c>
      <c r="M138" t="n">
        <v>12</v>
      </c>
      <c r="N138" t="n">
        <v>0.25</v>
      </c>
      <c r="O138" t="n">
        <v>-0.25</v>
      </c>
      <c r="P138" t="n">
        <v>165</v>
      </c>
      <c r="Q138" t="n">
        <v>12</v>
      </c>
      <c r="R138" t="s">
        <v>298</v>
      </c>
      <c r="S138" t="s">
        <v>298</v>
      </c>
      <c r="T138" t="n">
        <v>0.125</v>
      </c>
    </row>
    <row r="139">
      <c r="A139" t="s">
        <v>32</v>
      </c>
      <c r="B139" t="n">
        <v>1.25</v>
      </c>
      <c r="C139" t="n">
        <v>1.25</v>
      </c>
      <c r="D139" t="n">
        <v>1.25</v>
      </c>
      <c r="E139" t="n">
        <v>-2.75</v>
      </c>
      <c r="F139" t="n">
        <v>-0.25</v>
      </c>
      <c r="G139" t="n">
        <v>14</v>
      </c>
      <c r="H139" t="n">
        <v>12</v>
      </c>
      <c r="I139" t="s">
        <v>298</v>
      </c>
      <c r="J139" t="n">
        <v>0</v>
      </c>
      <c r="K139" t="n">
        <v>0</v>
      </c>
      <c r="L139" t="n">
        <v>0</v>
      </c>
      <c r="M139" t="n">
        <v>12</v>
      </c>
      <c r="N139" t="n">
        <v>0</v>
      </c>
      <c r="O139" t="n">
        <v>-0.25</v>
      </c>
      <c r="P139" t="n">
        <v>24</v>
      </c>
      <c r="Q139" t="n">
        <v>12</v>
      </c>
      <c r="R139" t="s">
        <v>298</v>
      </c>
      <c r="S139" t="s">
        <v>298</v>
      </c>
      <c r="T139" t="n">
        <v>-0.125</v>
      </c>
    </row>
    <row r="140">
      <c r="A140" t="s">
        <v>32</v>
      </c>
      <c r="B140" t="n">
        <v>1.25</v>
      </c>
      <c r="C140" t="n">
        <v>1.25</v>
      </c>
      <c r="D140" t="n">
        <v>1.25</v>
      </c>
      <c r="E140" t="n">
        <v>-2.75</v>
      </c>
      <c r="F140" t="n">
        <v>-0.25</v>
      </c>
      <c r="G140" t="n">
        <v>159</v>
      </c>
      <c r="H140" t="n">
        <v>12</v>
      </c>
      <c r="I140" t="s">
        <v>298</v>
      </c>
      <c r="J140" t="n">
        <v>0</v>
      </c>
      <c r="K140" t="n">
        <v>0</v>
      </c>
      <c r="L140" t="n">
        <v>0</v>
      </c>
      <c r="M140" t="n">
        <v>12</v>
      </c>
      <c r="N140" t="n">
        <v>0.25</v>
      </c>
      <c r="O140" t="n">
        <v>0</v>
      </c>
      <c r="P140" t="n">
        <v>145</v>
      </c>
      <c r="Q140" t="n">
        <v>12</v>
      </c>
      <c r="R140" t="s">
        <v>298</v>
      </c>
      <c r="S140" t="s">
        <v>298</v>
      </c>
      <c r="T140" t="n">
        <v>0.25</v>
      </c>
    </row>
    <row r="141">
      <c r="A141" t="s">
        <v>32</v>
      </c>
      <c r="B141" t="n">
        <v>1</v>
      </c>
      <c r="C141" t="n">
        <v>1</v>
      </c>
      <c r="D141" t="n">
        <v>1</v>
      </c>
      <c r="E141" t="n">
        <v>-4.25</v>
      </c>
      <c r="F141" t="n">
        <v>-0.75</v>
      </c>
      <c r="G141" t="n">
        <v>121</v>
      </c>
      <c r="H141" t="n">
        <v>12</v>
      </c>
      <c r="I141" t="s">
        <v>297</v>
      </c>
      <c r="J141" t="n">
        <v>0</v>
      </c>
      <c r="K141" t="n">
        <v>0</v>
      </c>
      <c r="L141" t="n">
        <v>0</v>
      </c>
      <c r="M141" t="n">
        <v>12</v>
      </c>
      <c r="N141" t="n">
        <v>-0.25</v>
      </c>
      <c r="O141" t="n">
        <v>0</v>
      </c>
      <c r="P141" t="n">
        <v>78</v>
      </c>
      <c r="Q141" t="n">
        <v>12</v>
      </c>
      <c r="R141" t="s">
        <v>297</v>
      </c>
      <c r="S141" t="s">
        <v>297</v>
      </c>
      <c r="T141" t="n">
        <v>-0.25</v>
      </c>
    </row>
    <row r="142">
      <c r="A142" t="s">
        <v>32</v>
      </c>
      <c r="B142" t="n">
        <v>1</v>
      </c>
      <c r="C142" t="n">
        <v>0.8</v>
      </c>
      <c r="D142" t="n">
        <v>1</v>
      </c>
      <c r="E142" t="n">
        <v>-3.75</v>
      </c>
      <c r="F142" t="n">
        <v>-1</v>
      </c>
      <c r="G142" t="n">
        <v>52</v>
      </c>
      <c r="H142" t="n">
        <v>12</v>
      </c>
      <c r="I142" t="s">
        <v>297</v>
      </c>
      <c r="J142" t="n">
        <v>0</v>
      </c>
      <c r="K142" t="n">
        <v>0</v>
      </c>
      <c r="L142" t="n">
        <v>0</v>
      </c>
      <c r="M142" t="n">
        <v>12</v>
      </c>
      <c r="N142" t="n">
        <v>-0.25</v>
      </c>
      <c r="O142" t="n">
        <v>-0.25</v>
      </c>
      <c r="P142" t="n">
        <v>159</v>
      </c>
      <c r="Q142" t="n">
        <v>12</v>
      </c>
      <c r="R142" t="s">
        <v>297</v>
      </c>
      <c r="S142" t="s">
        <v>296</v>
      </c>
      <c r="T142" t="n">
        <v>-0.375</v>
      </c>
    </row>
    <row r="143">
      <c r="A143" t="s">
        <v>32</v>
      </c>
      <c r="B143" t="n">
        <v>1</v>
      </c>
      <c r="C143" t="n">
        <v>1</v>
      </c>
      <c r="D143" t="n">
        <v>1</v>
      </c>
      <c r="E143" t="n">
        <v>-2.25</v>
      </c>
      <c r="F143" t="n">
        <v>-0.5</v>
      </c>
      <c r="G143" t="n">
        <v>141</v>
      </c>
      <c r="H143" t="n">
        <v>12</v>
      </c>
      <c r="I143" t="s">
        <v>297</v>
      </c>
      <c r="J143" t="n">
        <v>0</v>
      </c>
      <c r="K143" t="n">
        <v>0</v>
      </c>
      <c r="L143" t="n">
        <v>0</v>
      </c>
      <c r="M143" t="n">
        <v>12</v>
      </c>
      <c r="N143" t="n">
        <v>-0.25</v>
      </c>
      <c r="O143" t="n">
        <v>-0.25</v>
      </c>
      <c r="P143" t="n">
        <v>136</v>
      </c>
      <c r="Q143" t="n">
        <v>12</v>
      </c>
      <c r="R143" t="s">
        <v>297</v>
      </c>
      <c r="S143" t="s">
        <v>297</v>
      </c>
      <c r="T143" t="n">
        <v>-0.375</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302</v>
      </c>
      <c r="B1" t="s">
        <v>303</v>
      </c>
      <c r="C1" t="s">
        <v>304</v>
      </c>
      <c r="D1" t="s">
        <v>305</v>
      </c>
      <c r="E1" t="s">
        <v>306</v>
      </c>
    </row>
    <row r="2">
      <c r="A2" t="s">
        <v>307</v>
      </c>
      <c r="B2" t="n">
        <v>-0.5</v>
      </c>
      <c r="C2" t="n">
        <v>139</v>
      </c>
      <c r="D2" t="n">
        <v>-0.25</v>
      </c>
      <c r="E2" t="n">
        <v>27</v>
      </c>
    </row>
    <row r="3">
      <c r="A3" t="s">
        <v>308</v>
      </c>
      <c r="B3" t="n">
        <v>-0.75</v>
      </c>
      <c r="C3" t="n">
        <v>41</v>
      </c>
      <c r="D3" t="n">
        <v>-0.25</v>
      </c>
      <c r="E3" t="n">
        <v>75</v>
      </c>
    </row>
    <row r="4">
      <c r="A4" t="s">
        <v>307</v>
      </c>
      <c r="B4" t="n">
        <v>-0.75</v>
      </c>
      <c r="C4" t="n">
        <v>70</v>
      </c>
      <c r="D4" t="n">
        <v>-0.5</v>
      </c>
      <c r="E4" t="n">
        <v>78</v>
      </c>
    </row>
    <row r="5">
      <c r="A5" t="s">
        <v>307</v>
      </c>
      <c r="B5" t="n">
        <v>-0.5</v>
      </c>
      <c r="C5" t="n">
        <v>179</v>
      </c>
      <c r="D5" t="n">
        <v>-0.25</v>
      </c>
      <c r="E5" t="n">
        <v>66</v>
      </c>
    </row>
    <row r="6">
      <c r="A6" t="s">
        <v>308</v>
      </c>
      <c r="B6" t="n">
        <v>-1</v>
      </c>
      <c r="C6" t="n">
        <v>170</v>
      </c>
      <c r="D6" t="n">
        <v>-0.75</v>
      </c>
      <c r="E6" t="n">
        <v>131</v>
      </c>
    </row>
    <row r="7">
      <c r="A7" t="s">
        <v>307</v>
      </c>
      <c r="B7" t="n">
        <v>-0.75</v>
      </c>
      <c r="C7" t="n">
        <v>95</v>
      </c>
      <c r="D7" t="n">
        <v>-0.25</v>
      </c>
      <c r="E7" t="n">
        <v>92</v>
      </c>
    </row>
    <row r="8">
      <c r="A8" t="s">
        <v>308</v>
      </c>
      <c r="B8" t="n">
        <v>-0.5</v>
      </c>
      <c r="C8" t="n">
        <v>106</v>
      </c>
      <c r="D8" t="n">
        <v>-0.25</v>
      </c>
      <c r="E8" t="n">
        <v>123</v>
      </c>
    </row>
    <row r="9">
      <c r="A9" t="s">
        <v>307</v>
      </c>
      <c r="B9" t="n">
        <v>-0.75</v>
      </c>
      <c r="C9" t="n">
        <v>4</v>
      </c>
      <c r="D9" t="n">
        <v>-0.25</v>
      </c>
      <c r="E9" t="n">
        <v>156</v>
      </c>
    </row>
    <row r="10">
      <c r="A10" t="s">
        <v>307</v>
      </c>
      <c r="B10" t="n">
        <v>-1.75</v>
      </c>
      <c r="C10" t="n">
        <v>23</v>
      </c>
      <c r="D10" t="n">
        <v>-0.25</v>
      </c>
      <c r="E10" t="n">
        <v>66</v>
      </c>
    </row>
    <row r="11">
      <c r="A11" t="s">
        <v>308</v>
      </c>
      <c r="B11" t="n">
        <v>-1.5</v>
      </c>
      <c r="C11" t="n">
        <v>172</v>
      </c>
      <c r="D11" t="n">
        <v>-0.25</v>
      </c>
      <c r="E11" t="n">
        <v>37</v>
      </c>
    </row>
    <row r="12">
      <c r="A12" t="s">
        <v>307</v>
      </c>
      <c r="B12" t="n">
        <v>-1.25</v>
      </c>
      <c r="C12" t="n">
        <v>171</v>
      </c>
      <c r="D12" t="n">
        <v>-0.25</v>
      </c>
      <c r="E12" t="n">
        <v>162</v>
      </c>
    </row>
    <row r="13">
      <c r="A13" t="s">
        <v>308</v>
      </c>
      <c r="B13" t="n">
        <v>-0.5</v>
      </c>
      <c r="C13" t="n">
        <v>22</v>
      </c>
      <c r="D13" t="n">
        <v>-0.25</v>
      </c>
      <c r="E13" t="n">
        <v>48</v>
      </c>
    </row>
    <row r="14">
      <c r="A14" t="s">
        <v>307</v>
      </c>
      <c r="B14" t="n">
        <v>-0.25</v>
      </c>
      <c r="C14" t="n">
        <v>165</v>
      </c>
      <c r="D14" t="n">
        <v>0</v>
      </c>
      <c r="E14" t="n">
        <v>114</v>
      </c>
    </row>
    <row r="15">
      <c r="A15" t="s">
        <v>308</v>
      </c>
      <c r="B15" t="n">
        <v>-0.75</v>
      </c>
      <c r="C15" t="n">
        <v>50</v>
      </c>
      <c r="D15" t="n">
        <v>-0.5</v>
      </c>
      <c r="E15" t="n">
        <v>31</v>
      </c>
    </row>
    <row r="16">
      <c r="A16" t="s">
        <v>308</v>
      </c>
      <c r="B16" t="n">
        <v>-0.5</v>
      </c>
      <c r="C16" t="n">
        <v>85</v>
      </c>
      <c r="D16" t="n">
        <v>0</v>
      </c>
      <c r="E16" t="n">
        <v>131</v>
      </c>
    </row>
    <row r="17">
      <c r="A17" t="s">
        <v>307</v>
      </c>
      <c r="B17" t="n">
        <v>-1.5</v>
      </c>
      <c r="C17" t="n">
        <v>57</v>
      </c>
      <c r="D17" t="n">
        <v>0</v>
      </c>
      <c r="E17" t="n">
        <v>84</v>
      </c>
    </row>
    <row r="18">
      <c r="A18" t="s">
        <v>308</v>
      </c>
      <c r="B18" t="n">
        <v>-1</v>
      </c>
      <c r="C18" t="n">
        <v>128</v>
      </c>
      <c r="D18" t="n">
        <v>0</v>
      </c>
      <c r="E18" t="n">
        <v>42</v>
      </c>
    </row>
    <row r="19">
      <c r="A19" t="s">
        <v>307</v>
      </c>
      <c r="B19" t="n">
        <v>-1.25</v>
      </c>
      <c r="C19" t="n">
        <v>15</v>
      </c>
      <c r="D19" t="n">
        <v>-0.5</v>
      </c>
      <c r="E19" t="n">
        <v>37</v>
      </c>
    </row>
    <row r="20">
      <c r="A20" t="s">
        <v>308</v>
      </c>
      <c r="B20" t="n">
        <v>-0.5</v>
      </c>
      <c r="C20" t="n">
        <v>6</v>
      </c>
      <c r="D20" t="n">
        <v>-0.25</v>
      </c>
      <c r="E20" t="n">
        <v>164</v>
      </c>
    </row>
    <row r="21">
      <c r="A21" t="s">
        <v>307</v>
      </c>
      <c r="B21" t="n">
        <v>-1.75</v>
      </c>
      <c r="C21" t="n">
        <v>23</v>
      </c>
      <c r="D21" t="n">
        <v>-0.5</v>
      </c>
      <c r="E21" t="n">
        <v>172</v>
      </c>
    </row>
    <row r="22">
      <c r="A22" t="s">
        <v>308</v>
      </c>
      <c r="B22" t="n">
        <v>-0.75</v>
      </c>
      <c r="C22" t="n">
        <v>149</v>
      </c>
      <c r="D22" t="n">
        <v>-0.25</v>
      </c>
      <c r="E22" t="n">
        <v>117</v>
      </c>
    </row>
    <row r="23">
      <c r="A23" t="s">
        <v>307</v>
      </c>
      <c r="B23" t="n">
        <v>-1.75</v>
      </c>
      <c r="C23" t="n">
        <v>108</v>
      </c>
      <c r="D23" t="n">
        <v>-0.25</v>
      </c>
      <c r="E23" t="n">
        <v>15</v>
      </c>
    </row>
    <row r="24">
      <c r="A24" t="s">
        <v>308</v>
      </c>
      <c r="B24" t="n">
        <v>-1</v>
      </c>
      <c r="C24" t="n">
        <v>67</v>
      </c>
      <c r="D24" t="n">
        <v>-0.25</v>
      </c>
      <c r="E24" t="n">
        <v>161</v>
      </c>
    </row>
    <row r="25">
      <c r="A25" t="s">
        <v>307</v>
      </c>
      <c r="B25" t="n">
        <v>-1</v>
      </c>
      <c r="C25" t="n">
        <v>109</v>
      </c>
      <c r="D25" t="n">
        <v>0</v>
      </c>
      <c r="E25" t="n">
        <v>159</v>
      </c>
    </row>
    <row r="26">
      <c r="A26" t="s">
        <v>308</v>
      </c>
      <c r="B26" t="n">
        <v>-0.25</v>
      </c>
      <c r="C26" t="n">
        <v>14</v>
      </c>
      <c r="D26" t="n">
        <v>-0.25</v>
      </c>
      <c r="E26" t="n">
        <v>84</v>
      </c>
    </row>
    <row r="27">
      <c r="A27" t="s">
        <v>307</v>
      </c>
      <c r="B27" t="n">
        <v>-0.5</v>
      </c>
      <c r="C27" t="n">
        <v>179</v>
      </c>
      <c r="D27"/>
      <c r="E27"/>
    </row>
    <row r="28">
      <c r="A28" t="s">
        <v>308</v>
      </c>
      <c r="B28" t="n">
        <v>-0.5</v>
      </c>
      <c r="C28" t="n">
        <v>176</v>
      </c>
      <c r="D28"/>
      <c r="E28"/>
    </row>
    <row r="29">
      <c r="A29" t="s">
        <v>308</v>
      </c>
      <c r="B29" t="n">
        <v>-1.25</v>
      </c>
      <c r="C29" t="n">
        <v>2</v>
      </c>
      <c r="D29" t="n">
        <v>-0.25</v>
      </c>
      <c r="E29" t="n">
        <v>157</v>
      </c>
    </row>
    <row r="30">
      <c r="A30" t="s">
        <v>307</v>
      </c>
      <c r="B30" t="n">
        <v>-1.5</v>
      </c>
      <c r="C30" t="n">
        <v>176</v>
      </c>
      <c r="D30" t="n">
        <v>-0.25</v>
      </c>
      <c r="E30" t="n">
        <v>20</v>
      </c>
    </row>
    <row r="31">
      <c r="A31" t="s">
        <v>308</v>
      </c>
      <c r="B31" t="n">
        <v>-1</v>
      </c>
      <c r="C31" t="n">
        <v>21</v>
      </c>
      <c r="D31" t="n">
        <v>-0.25</v>
      </c>
      <c r="E31" t="n">
        <v>52</v>
      </c>
    </row>
    <row r="32">
      <c r="A32" t="s">
        <v>307</v>
      </c>
      <c r="B32" t="n">
        <v>-1</v>
      </c>
      <c r="C32" t="n">
        <v>167</v>
      </c>
      <c r="D32" t="n">
        <v>-0.25</v>
      </c>
      <c r="E32" t="n">
        <v>142</v>
      </c>
    </row>
    <row r="33">
      <c r="A33" t="s">
        <v>307</v>
      </c>
      <c r="B33" t="n">
        <v>-0.75</v>
      </c>
      <c r="C33" t="n">
        <v>116</v>
      </c>
      <c r="D33"/>
      <c r="E33"/>
    </row>
    <row r="34">
      <c r="A34" t="s">
        <v>308</v>
      </c>
      <c r="B34" t="n">
        <v>-1</v>
      </c>
      <c r="C34" t="n">
        <v>59</v>
      </c>
      <c r="D34"/>
      <c r="E34"/>
    </row>
    <row r="35">
      <c r="A35" t="s">
        <v>307</v>
      </c>
      <c r="B35" t="n">
        <v>-1</v>
      </c>
      <c r="C35" t="n">
        <v>101</v>
      </c>
      <c r="D35" t="n">
        <v>0</v>
      </c>
      <c r="E35" t="n">
        <v>58</v>
      </c>
    </row>
    <row r="36">
      <c r="A36" t="s">
        <v>308</v>
      </c>
      <c r="B36" t="n">
        <v>-1</v>
      </c>
      <c r="C36" t="n">
        <v>83</v>
      </c>
      <c r="D36" t="n">
        <v>-0.25</v>
      </c>
      <c r="E36" t="n">
        <v>165</v>
      </c>
    </row>
    <row r="37">
      <c r="A37" t="s">
        <v>307</v>
      </c>
      <c r="B37" t="n">
        <v>-1</v>
      </c>
      <c r="C37" t="n">
        <v>170</v>
      </c>
      <c r="D37" t="n">
        <v>-0.25</v>
      </c>
      <c r="E37" t="n">
        <v>70</v>
      </c>
    </row>
    <row r="38">
      <c r="A38" t="s">
        <v>308</v>
      </c>
      <c r="B38" t="n">
        <v>-1.25</v>
      </c>
      <c r="C38" t="n">
        <v>170</v>
      </c>
      <c r="D38" t="n">
        <v>-0.25</v>
      </c>
      <c r="E38" t="n">
        <v>108</v>
      </c>
    </row>
    <row r="39">
      <c r="A39" t="s">
        <v>307</v>
      </c>
      <c r="B39" t="n">
        <v>-1.5</v>
      </c>
      <c r="C39" t="n">
        <v>160</v>
      </c>
      <c r="D39" t="n">
        <v>-0.5</v>
      </c>
      <c r="E39" t="n">
        <v>106</v>
      </c>
    </row>
    <row r="40">
      <c r="A40" t="s">
        <v>308</v>
      </c>
      <c r="B40" t="n">
        <v>-0.5</v>
      </c>
      <c r="C40" t="n">
        <v>11</v>
      </c>
      <c r="D40" t="n">
        <v>0</v>
      </c>
      <c r="E40" t="n">
        <v>111</v>
      </c>
    </row>
    <row r="41">
      <c r="A41" t="s">
        <v>307</v>
      </c>
      <c r="B41" t="n">
        <v>-0.75</v>
      </c>
      <c r="C41" t="n">
        <v>19</v>
      </c>
      <c r="D41" t="n">
        <v>-0.5</v>
      </c>
      <c r="E41" t="n">
        <v>43</v>
      </c>
    </row>
    <row r="42">
      <c r="A42" t="s">
        <v>308</v>
      </c>
      <c r="B42" t="n">
        <v>-0.5</v>
      </c>
      <c r="C42" t="n">
        <v>150</v>
      </c>
      <c r="D42" t="n">
        <v>-0.25</v>
      </c>
      <c r="E42" t="n">
        <v>148</v>
      </c>
    </row>
    <row r="43">
      <c r="A43" t="s">
        <v>307</v>
      </c>
      <c r="B43" t="n">
        <v>-2.5</v>
      </c>
      <c r="C43" t="n">
        <v>173</v>
      </c>
      <c r="D43" t="n">
        <v>-0.25</v>
      </c>
      <c r="E43" t="n">
        <v>156</v>
      </c>
    </row>
    <row r="44">
      <c r="A44" t="s">
        <v>308</v>
      </c>
      <c r="B44" t="n">
        <v>-1.5</v>
      </c>
      <c r="C44" t="n">
        <v>4</v>
      </c>
      <c r="D44" t="n">
        <v>0</v>
      </c>
      <c r="E44" t="n">
        <v>178</v>
      </c>
    </row>
    <row r="45">
      <c r="A45" t="s">
        <v>307</v>
      </c>
      <c r="B45" t="n">
        <v>-1.25</v>
      </c>
      <c r="C45" t="n">
        <v>44</v>
      </c>
      <c r="D45" t="n">
        <v>-0.5</v>
      </c>
      <c r="E45" t="n">
        <v>4</v>
      </c>
    </row>
    <row r="46">
      <c r="A46" t="s">
        <v>308</v>
      </c>
      <c r="B46" t="n">
        <v>-0.5</v>
      </c>
      <c r="C46" t="n">
        <v>142</v>
      </c>
      <c r="D46" t="n">
        <v>-0.25</v>
      </c>
      <c r="E46" t="n">
        <v>175</v>
      </c>
    </row>
    <row r="47">
      <c r="A47" t="s">
        <v>308</v>
      </c>
      <c r="B47" t="n">
        <v>-0.5</v>
      </c>
      <c r="C47" t="n">
        <v>122</v>
      </c>
      <c r="D47" t="n">
        <v>-0.25</v>
      </c>
      <c r="E47" t="n">
        <v>85</v>
      </c>
    </row>
    <row r="48">
      <c r="A48" t="s">
        <v>307</v>
      </c>
      <c r="B48" t="n">
        <v>-0.5</v>
      </c>
      <c r="C48" t="n">
        <v>11</v>
      </c>
      <c r="D48" t="n">
        <v>-0.25</v>
      </c>
      <c r="E48" t="n">
        <v>120</v>
      </c>
    </row>
    <row r="49">
      <c r="A49" t="s">
        <v>308</v>
      </c>
      <c r="B49" t="n">
        <v>-0.75</v>
      </c>
      <c r="C49" t="n">
        <v>153</v>
      </c>
      <c r="D49" t="n">
        <v>-0.25</v>
      </c>
      <c r="E49" t="n">
        <v>87</v>
      </c>
    </row>
    <row r="50">
      <c r="A50" t="s">
        <v>307</v>
      </c>
      <c r="B50" t="n">
        <v>-2.25</v>
      </c>
      <c r="C50" t="n">
        <v>27</v>
      </c>
      <c r="D50" t="n">
        <v>-0.25</v>
      </c>
      <c r="E50" t="n">
        <v>178</v>
      </c>
    </row>
    <row r="51">
      <c r="A51" t="s">
        <v>308</v>
      </c>
      <c r="B51" t="n">
        <v>-2.25</v>
      </c>
      <c r="C51" t="n">
        <v>152</v>
      </c>
      <c r="D51" t="n">
        <v>-0.25</v>
      </c>
      <c r="E51" t="n">
        <v>172</v>
      </c>
    </row>
    <row r="52">
      <c r="A52" t="s">
        <v>307</v>
      </c>
      <c r="B52" t="n">
        <v>-0.75</v>
      </c>
      <c r="C52" t="n">
        <v>165</v>
      </c>
      <c r="D52" t="n">
        <v>-0.25</v>
      </c>
      <c r="E52" t="n">
        <v>133</v>
      </c>
    </row>
    <row r="53">
      <c r="A53" t="s">
        <v>308</v>
      </c>
      <c r="B53" t="n">
        <v>-2</v>
      </c>
      <c r="C53" t="n">
        <v>24</v>
      </c>
      <c r="D53" t="n">
        <v>-0.5</v>
      </c>
      <c r="E53" t="n">
        <v>24</v>
      </c>
    </row>
    <row r="54">
      <c r="A54" t="s">
        <v>307</v>
      </c>
      <c r="B54" t="n">
        <v>-1</v>
      </c>
      <c r="C54" t="n">
        <v>21</v>
      </c>
      <c r="D54" t="n">
        <v>-0.5</v>
      </c>
      <c r="E54" t="n">
        <v>156</v>
      </c>
    </row>
    <row r="55">
      <c r="A55" t="s">
        <v>308</v>
      </c>
      <c r="B55" t="n">
        <v>-1.75</v>
      </c>
      <c r="C55" t="n">
        <v>164</v>
      </c>
      <c r="D55" t="n">
        <v>-0.5</v>
      </c>
      <c r="E55" t="n">
        <v>24</v>
      </c>
    </row>
    <row r="56">
      <c r="A56" t="s">
        <v>308</v>
      </c>
      <c r="B56" t="n">
        <v>-0.75</v>
      </c>
      <c r="C56" t="n">
        <v>9</v>
      </c>
      <c r="D56"/>
      <c r="E56"/>
    </row>
    <row r="57">
      <c r="A57" t="s">
        <v>307</v>
      </c>
      <c r="B57" t="n">
        <v>-0.5</v>
      </c>
      <c r="C57" t="n">
        <v>174</v>
      </c>
      <c r="D57" t="n">
        <v>0</v>
      </c>
      <c r="E57" t="n">
        <v>51</v>
      </c>
    </row>
    <row r="58">
      <c r="A58" t="s">
        <v>308</v>
      </c>
      <c r="B58" t="n">
        <v>-0.5</v>
      </c>
      <c r="C58" t="n">
        <v>2</v>
      </c>
      <c r="D58" t="n">
        <v>0</v>
      </c>
      <c r="E58" t="n">
        <v>99</v>
      </c>
    </row>
    <row r="59">
      <c r="A59" t="s">
        <v>307</v>
      </c>
      <c r="B59" t="n">
        <v>-0.5</v>
      </c>
      <c r="C59" t="n">
        <v>18</v>
      </c>
      <c r="D59" t="n">
        <v>-0.25</v>
      </c>
      <c r="E59" t="n">
        <v>37</v>
      </c>
    </row>
    <row r="60">
      <c r="A60" t="s">
        <v>308</v>
      </c>
      <c r="B60" t="n">
        <v>-0.75</v>
      </c>
      <c r="C60" t="n">
        <v>171</v>
      </c>
      <c r="D60" t="n">
        <v>-0.25</v>
      </c>
      <c r="E60" t="n">
        <v>2</v>
      </c>
    </row>
    <row r="61">
      <c r="A61" t="s">
        <v>307</v>
      </c>
      <c r="B61" t="n">
        <v>-1</v>
      </c>
      <c r="C61" t="n">
        <v>156</v>
      </c>
      <c r="D61" t="n">
        <v>-0.5</v>
      </c>
      <c r="E61" t="n">
        <v>126</v>
      </c>
    </row>
    <row r="62">
      <c r="A62" t="s">
        <v>308</v>
      </c>
      <c r="B62" t="n">
        <v>-1.25</v>
      </c>
      <c r="C62" t="n">
        <v>7</v>
      </c>
      <c r="D62" t="n">
        <v>-0.25</v>
      </c>
      <c r="E62" t="n">
        <v>35</v>
      </c>
    </row>
    <row r="63">
      <c r="A63" t="s">
        <v>307</v>
      </c>
      <c r="B63" t="n">
        <v>-0.25</v>
      </c>
      <c r="C63" t="n">
        <v>52</v>
      </c>
      <c r="D63" t="n">
        <v>-0.25</v>
      </c>
      <c r="E63" t="n">
        <v>144</v>
      </c>
    </row>
    <row r="64">
      <c r="A64" t="s">
        <v>308</v>
      </c>
      <c r="B64" t="n">
        <v>-0.25</v>
      </c>
      <c r="C64" t="n">
        <v>133</v>
      </c>
      <c r="D64" t="n">
        <v>-0.25</v>
      </c>
      <c r="E64" t="n">
        <v>19</v>
      </c>
    </row>
    <row r="65">
      <c r="A65" t="s">
        <v>307</v>
      </c>
      <c r="B65" t="n">
        <v>-0.5</v>
      </c>
      <c r="C65" t="n">
        <v>176</v>
      </c>
      <c r="D65" t="n">
        <v>-0.25</v>
      </c>
      <c r="E65" t="n">
        <v>123</v>
      </c>
    </row>
    <row r="66">
      <c r="A66" t="s">
        <v>308</v>
      </c>
      <c r="B66" t="n">
        <v>-0.5</v>
      </c>
      <c r="C66" t="n">
        <v>11</v>
      </c>
      <c r="D66" t="n">
        <v>-0.25</v>
      </c>
      <c r="E66" t="n">
        <v>61</v>
      </c>
    </row>
    <row r="67">
      <c r="A67" t="s">
        <v>307</v>
      </c>
      <c r="B67" t="n">
        <v>-1</v>
      </c>
      <c r="C67" t="n">
        <v>100</v>
      </c>
      <c r="D67" t="n">
        <v>-0.25</v>
      </c>
      <c r="E67" t="n">
        <v>161</v>
      </c>
    </row>
    <row r="68">
      <c r="A68" t="s">
        <v>308</v>
      </c>
      <c r="B68" t="n">
        <v>-0.75</v>
      </c>
      <c r="C68" t="n">
        <v>86</v>
      </c>
      <c r="D68" t="n">
        <v>0</v>
      </c>
      <c r="E68" t="n">
        <v>52</v>
      </c>
    </row>
    <row r="69">
      <c r="A69" t="s">
        <v>307</v>
      </c>
      <c r="B69" t="n">
        <v>-0.75</v>
      </c>
      <c r="C69" t="n">
        <v>177</v>
      </c>
      <c r="D69"/>
      <c r="E69"/>
    </row>
    <row r="70">
      <c r="A70" t="s">
        <v>308</v>
      </c>
      <c r="B70" t="n">
        <v>-0.5</v>
      </c>
      <c r="C70" t="n">
        <v>19</v>
      </c>
      <c r="D70"/>
      <c r="E70"/>
    </row>
    <row r="71">
      <c r="A71" t="s">
        <v>307</v>
      </c>
      <c r="B71" t="n">
        <v>-3</v>
      </c>
      <c r="C71" t="n">
        <v>158</v>
      </c>
      <c r="D71" t="n">
        <v>-0.5</v>
      </c>
      <c r="E71" t="n">
        <v>122</v>
      </c>
    </row>
    <row r="72">
      <c r="A72" t="s">
        <v>308</v>
      </c>
      <c r="B72" t="n">
        <v>-1.75</v>
      </c>
      <c r="C72" t="n">
        <v>24</v>
      </c>
      <c r="D72" t="n">
        <v>-0.25</v>
      </c>
      <c r="E72" t="n">
        <v>52</v>
      </c>
    </row>
    <row r="73">
      <c r="A73" t="s">
        <v>308</v>
      </c>
      <c r="B73" t="n">
        <v>-1.25</v>
      </c>
      <c r="C73" t="n">
        <v>179</v>
      </c>
      <c r="D73" t="n">
        <v>-0.25</v>
      </c>
      <c r="E73" t="n">
        <v>16</v>
      </c>
    </row>
    <row r="74">
      <c r="A74" t="s">
        <v>307</v>
      </c>
      <c r="B74" t="n">
        <v>-0.5</v>
      </c>
      <c r="C74" t="n">
        <v>18</v>
      </c>
      <c r="D74" t="n">
        <v>-0.25</v>
      </c>
      <c r="E74" t="n">
        <v>141</v>
      </c>
    </row>
    <row r="75">
      <c r="A75" t="s">
        <v>308</v>
      </c>
      <c r="B75" t="n">
        <v>-1</v>
      </c>
      <c r="C75" t="n">
        <v>162</v>
      </c>
      <c r="D75" t="n">
        <v>0</v>
      </c>
      <c r="E75" t="n">
        <v>45</v>
      </c>
    </row>
    <row r="76">
      <c r="A76" t="s">
        <v>307</v>
      </c>
      <c r="B76" t="n">
        <v>-0.25</v>
      </c>
      <c r="C76" t="n">
        <v>36</v>
      </c>
      <c r="D76"/>
      <c r="E76"/>
    </row>
    <row r="77">
      <c r="A77" t="s">
        <v>308</v>
      </c>
      <c r="B77" t="n">
        <v>-0.5</v>
      </c>
      <c r="C77" t="n">
        <v>145</v>
      </c>
      <c r="D77"/>
      <c r="E77"/>
    </row>
    <row r="78">
      <c r="A78" t="s">
        <v>307</v>
      </c>
      <c r="B78" t="n">
        <v>-1.75</v>
      </c>
      <c r="C78" t="n">
        <v>179</v>
      </c>
      <c r="D78" t="n">
        <v>-0.5</v>
      </c>
      <c r="E78" t="n">
        <v>127</v>
      </c>
    </row>
    <row r="79">
      <c r="A79" t="s">
        <v>308</v>
      </c>
      <c r="B79" t="n">
        <v>-2</v>
      </c>
      <c r="C79" t="n">
        <v>1</v>
      </c>
      <c r="D79" t="n">
        <v>-0.25</v>
      </c>
      <c r="E79" t="n">
        <v>71</v>
      </c>
    </row>
    <row r="80">
      <c r="A80" t="s">
        <v>307</v>
      </c>
      <c r="B80" t="n">
        <v>-1</v>
      </c>
      <c r="C80" t="n">
        <v>12</v>
      </c>
      <c r="D80" t="n">
        <v>-0.25</v>
      </c>
      <c r="E80" t="n">
        <v>31</v>
      </c>
    </row>
    <row r="81">
      <c r="A81" t="s">
        <v>308</v>
      </c>
      <c r="B81" t="n">
        <v>-1</v>
      </c>
      <c r="C81" t="n">
        <v>174</v>
      </c>
      <c r="D81" t="n">
        <v>-0.25</v>
      </c>
      <c r="E81" t="n">
        <v>127</v>
      </c>
    </row>
    <row r="82">
      <c r="A82" t="s">
        <v>307</v>
      </c>
      <c r="B82" t="n">
        <v>-1</v>
      </c>
      <c r="C82" t="n">
        <v>174</v>
      </c>
      <c r="D82" t="n">
        <v>-0.5</v>
      </c>
      <c r="E82" t="n">
        <v>130</v>
      </c>
    </row>
    <row r="83">
      <c r="A83" t="s">
        <v>308</v>
      </c>
      <c r="B83" t="n">
        <v>-0.75</v>
      </c>
      <c r="C83" t="n">
        <v>172</v>
      </c>
      <c r="D83"/>
      <c r="E83"/>
    </row>
    <row r="84">
      <c r="A84" t="s">
        <v>307</v>
      </c>
      <c r="B84" t="n">
        <v>-1.25</v>
      </c>
      <c r="C84" t="n">
        <v>13</v>
      </c>
      <c r="D84" t="n">
        <v>-0.25</v>
      </c>
      <c r="E84" t="n">
        <v>77</v>
      </c>
    </row>
    <row r="85">
      <c r="A85" t="s">
        <v>308</v>
      </c>
      <c r="B85" t="n">
        <v>-1</v>
      </c>
      <c r="C85" t="n">
        <v>178</v>
      </c>
      <c r="D85" t="n">
        <v>-0.25</v>
      </c>
      <c r="E85" t="n">
        <v>84</v>
      </c>
    </row>
    <row r="86">
      <c r="A86" t="s">
        <v>307</v>
      </c>
      <c r="B86" t="n">
        <v>-3.5</v>
      </c>
      <c r="C86" t="n">
        <v>156</v>
      </c>
      <c r="D86" t="n">
        <v>-1</v>
      </c>
      <c r="E86" t="n">
        <v>3</v>
      </c>
    </row>
    <row r="87">
      <c r="A87" t="s">
        <v>308</v>
      </c>
      <c r="B87" t="n">
        <v>-3</v>
      </c>
      <c r="C87" t="n">
        <v>19</v>
      </c>
      <c r="D87" t="n">
        <v>-0.75</v>
      </c>
      <c r="E87" t="n">
        <v>166</v>
      </c>
    </row>
    <row r="88">
      <c r="A88" t="s">
        <v>307</v>
      </c>
      <c r="B88" t="n">
        <v>-0.5</v>
      </c>
      <c r="C88" t="n">
        <v>156</v>
      </c>
      <c r="D88" t="n">
        <v>-0.25</v>
      </c>
      <c r="E88" t="n">
        <v>30</v>
      </c>
    </row>
    <row r="89">
      <c r="A89" t="s">
        <v>308</v>
      </c>
      <c r="B89" t="n">
        <v>-0.5</v>
      </c>
      <c r="C89" t="n">
        <v>11</v>
      </c>
      <c r="D89" t="n">
        <v>-0.25</v>
      </c>
      <c r="E89" t="n">
        <v>143</v>
      </c>
    </row>
    <row r="90">
      <c r="A90" t="s">
        <v>307</v>
      </c>
      <c r="B90" t="n">
        <v>-0.5</v>
      </c>
      <c r="C90" t="n">
        <v>41</v>
      </c>
      <c r="D90" t="n">
        <v>0</v>
      </c>
      <c r="E90" t="n">
        <v>82</v>
      </c>
    </row>
    <row r="91">
      <c r="A91" t="s">
        <v>307</v>
      </c>
      <c r="B91" t="n">
        <v>-0.75</v>
      </c>
      <c r="C91" t="n">
        <v>100</v>
      </c>
      <c r="D91" t="n">
        <v>0</v>
      </c>
      <c r="E91" t="n">
        <v>166</v>
      </c>
    </row>
    <row r="92">
      <c r="A92" t="s">
        <v>308</v>
      </c>
      <c r="B92" t="n">
        <v>-0.5</v>
      </c>
      <c r="C92" t="n">
        <v>96</v>
      </c>
      <c r="D92" t="n">
        <v>0</v>
      </c>
      <c r="E92" t="n">
        <v>6</v>
      </c>
    </row>
    <row r="93">
      <c r="A93" t="s">
        <v>307</v>
      </c>
      <c r="B93" t="n">
        <v>-0.75</v>
      </c>
      <c r="C93" t="n">
        <v>31</v>
      </c>
      <c r="D93" t="n">
        <v>0</v>
      </c>
      <c r="E93" t="n">
        <v>166</v>
      </c>
    </row>
    <row r="94">
      <c r="A94" t="s">
        <v>308</v>
      </c>
      <c r="B94" t="n">
        <v>-0.25</v>
      </c>
      <c r="C94" t="n">
        <v>156</v>
      </c>
      <c r="D94" t="n">
        <v>-0.25</v>
      </c>
      <c r="E94" t="n">
        <v>180</v>
      </c>
    </row>
    <row r="95">
      <c r="A95" t="s">
        <v>308</v>
      </c>
      <c r="B95" t="n">
        <v>-2</v>
      </c>
      <c r="C95" t="n">
        <v>23</v>
      </c>
      <c r="D95" t="n">
        <v>-0.75</v>
      </c>
      <c r="E95" t="n">
        <v>42</v>
      </c>
    </row>
    <row r="96">
      <c r="A96" t="s">
        <v>307</v>
      </c>
      <c r="B96" t="n">
        <v>-0.5</v>
      </c>
      <c r="C96" t="n">
        <v>140</v>
      </c>
      <c r="D96" t="n">
        <v>-0.25</v>
      </c>
      <c r="E96" t="n">
        <v>77</v>
      </c>
    </row>
    <row r="97">
      <c r="A97" t="s">
        <v>308</v>
      </c>
      <c r="B97" t="n">
        <v>-0.25</v>
      </c>
      <c r="C97" t="n">
        <v>42</v>
      </c>
      <c r="D97" t="n">
        <v>-0.25</v>
      </c>
      <c r="E97" t="n">
        <v>92</v>
      </c>
    </row>
    <row r="98">
      <c r="A98" t="s">
        <v>307</v>
      </c>
      <c r="B98" t="n">
        <v>-0.75</v>
      </c>
      <c r="C98" t="n">
        <v>4</v>
      </c>
      <c r="D98" t="n">
        <v>0</v>
      </c>
      <c r="E98" t="n">
        <v>130</v>
      </c>
    </row>
    <row r="99">
      <c r="A99" t="s">
        <v>308</v>
      </c>
      <c r="B99" t="n">
        <v>-1.25</v>
      </c>
      <c r="C99" t="n">
        <v>2</v>
      </c>
      <c r="D99" t="n">
        <v>-0.5</v>
      </c>
      <c r="E99" t="n">
        <v>37</v>
      </c>
    </row>
    <row r="100">
      <c r="A100" t="s">
        <v>307</v>
      </c>
      <c r="B100" t="n">
        <v>-0.5</v>
      </c>
      <c r="C100" t="n">
        <v>107</v>
      </c>
      <c r="D100" t="n">
        <v>0</v>
      </c>
      <c r="E100" t="n">
        <v>71</v>
      </c>
    </row>
    <row r="101">
      <c r="A101" t="s">
        <v>307</v>
      </c>
      <c r="B101" t="n">
        <v>-0.25</v>
      </c>
      <c r="C101" t="n">
        <v>170</v>
      </c>
      <c r="D101" t="n">
        <v>-0.25</v>
      </c>
      <c r="E101" t="n">
        <v>24</v>
      </c>
    </row>
    <row r="102">
      <c r="A102" t="s">
        <v>308</v>
      </c>
      <c r="B102" t="n">
        <v>-0.25</v>
      </c>
      <c r="C102" t="n">
        <v>179</v>
      </c>
      <c r="D102" t="n">
        <v>-0.25</v>
      </c>
      <c r="E102" t="n">
        <v>21</v>
      </c>
    </row>
    <row r="103">
      <c r="A103" t="s">
        <v>307</v>
      </c>
      <c r="B103" t="n">
        <v>-1.25</v>
      </c>
      <c r="C103" t="n">
        <v>156</v>
      </c>
      <c r="D103" t="n">
        <v>-0.25</v>
      </c>
      <c r="E103" t="n">
        <v>92</v>
      </c>
    </row>
    <row r="104">
      <c r="A104" t="s">
        <v>308</v>
      </c>
      <c r="B104" t="n">
        <v>-2</v>
      </c>
      <c r="C104" t="n">
        <v>36</v>
      </c>
      <c r="D104" t="n">
        <v>-0.25</v>
      </c>
      <c r="E104" t="n">
        <v>80</v>
      </c>
    </row>
    <row r="105">
      <c r="A105" t="s">
        <v>307</v>
      </c>
      <c r="B105" t="n">
        <v>-0.75</v>
      </c>
      <c r="C105" t="n">
        <v>35</v>
      </c>
      <c r="D105" t="n">
        <v>-0.25</v>
      </c>
      <c r="E105" t="n">
        <v>7</v>
      </c>
    </row>
    <row r="106">
      <c r="A106" t="s">
        <v>308</v>
      </c>
      <c r="B106" t="n">
        <v>-0.5</v>
      </c>
      <c r="C106" t="n">
        <v>143</v>
      </c>
      <c r="D106" t="n">
        <v>-0.25</v>
      </c>
      <c r="E106" t="n">
        <v>33</v>
      </c>
    </row>
    <row r="107">
      <c r="A107" t="s">
        <v>308</v>
      </c>
      <c r="B107" t="n">
        <v>-0.5</v>
      </c>
      <c r="C107" t="n">
        <v>68</v>
      </c>
      <c r="D107" t="n">
        <v>-0.25</v>
      </c>
      <c r="E107" t="n">
        <v>126</v>
      </c>
    </row>
    <row r="108">
      <c r="A108" t="s">
        <v>307</v>
      </c>
      <c r="B108" t="n">
        <v>-1.25</v>
      </c>
      <c r="C108" t="n">
        <v>118</v>
      </c>
      <c r="D108"/>
      <c r="E108"/>
    </row>
    <row r="109">
      <c r="A109" t="s">
        <v>308</v>
      </c>
      <c r="B109" t="n">
        <v>-0.75</v>
      </c>
      <c r="C109" t="n">
        <v>45</v>
      </c>
      <c r="D109"/>
      <c r="E109"/>
    </row>
    <row r="110">
      <c r="A110" t="s">
        <v>308</v>
      </c>
      <c r="B110" t="n">
        <v>-1.25</v>
      </c>
      <c r="C110" t="n">
        <v>79</v>
      </c>
      <c r="D110" t="n">
        <v>-0.5</v>
      </c>
      <c r="E110" t="n">
        <v>40</v>
      </c>
    </row>
    <row r="111">
      <c r="A111" t="s">
        <v>307</v>
      </c>
      <c r="B111" t="n">
        <v>-0.75</v>
      </c>
      <c r="C111" t="n">
        <v>81</v>
      </c>
      <c r="D111" t="n">
        <v>-0.25</v>
      </c>
      <c r="E111" t="n">
        <v>130</v>
      </c>
    </row>
    <row r="112">
      <c r="A112" t="s">
        <v>308</v>
      </c>
      <c r="B112" t="n">
        <v>-0.75</v>
      </c>
      <c r="C112" t="n">
        <v>93</v>
      </c>
      <c r="D112" t="n">
        <v>0</v>
      </c>
      <c r="E112" t="n">
        <v>102</v>
      </c>
    </row>
    <row r="113">
      <c r="A113" t="s">
        <v>307</v>
      </c>
      <c r="B113" t="n">
        <v>-0.25</v>
      </c>
      <c r="C113" t="n">
        <v>13</v>
      </c>
      <c r="D113" t="n">
        <v>0</v>
      </c>
      <c r="E113" t="n">
        <v>58</v>
      </c>
    </row>
    <row r="114">
      <c r="A114" t="s">
        <v>308</v>
      </c>
      <c r="B114" t="n">
        <v>-1</v>
      </c>
      <c r="C114" t="n">
        <v>180</v>
      </c>
      <c r="D114" t="n">
        <v>-0.25</v>
      </c>
      <c r="E114" t="n">
        <v>135</v>
      </c>
    </row>
    <row r="115">
      <c r="A115" t="s">
        <v>307</v>
      </c>
      <c r="B115" t="n">
        <v>-1</v>
      </c>
      <c r="C115" t="n">
        <v>4</v>
      </c>
      <c r="D115" t="n">
        <v>-0.5</v>
      </c>
      <c r="E115" t="n">
        <v>17</v>
      </c>
    </row>
    <row r="116">
      <c r="A116" t="s">
        <v>307</v>
      </c>
      <c r="B116" t="n">
        <v>-0.75</v>
      </c>
      <c r="C116" t="n">
        <v>8</v>
      </c>
      <c r="D116" t="n">
        <v>-0.25</v>
      </c>
      <c r="E116" t="n">
        <v>8</v>
      </c>
    </row>
    <row r="117">
      <c r="A117" t="s">
        <v>308</v>
      </c>
      <c r="B117" t="n">
        <v>-1.75</v>
      </c>
      <c r="C117" t="n">
        <v>168</v>
      </c>
      <c r="D117" t="n">
        <v>-0.5</v>
      </c>
      <c r="E117" t="n">
        <v>7</v>
      </c>
    </row>
    <row r="118">
      <c r="A118" t="s">
        <v>308</v>
      </c>
      <c r="B118" t="n">
        <v>-1.25</v>
      </c>
      <c r="C118" t="n">
        <v>13</v>
      </c>
      <c r="D118" t="n">
        <v>-0.5</v>
      </c>
      <c r="E118" t="n">
        <v>153</v>
      </c>
    </row>
    <row r="119">
      <c r="A119" t="s">
        <v>307</v>
      </c>
      <c r="B119" t="n">
        <v>-0.75</v>
      </c>
      <c r="C119" t="n">
        <v>2</v>
      </c>
      <c r="D119" t="n">
        <v>-0.25</v>
      </c>
      <c r="E119" t="n">
        <v>1</v>
      </c>
    </row>
    <row r="120">
      <c r="A120" t="s">
        <v>308</v>
      </c>
      <c r="B120" t="n">
        <v>-0.75</v>
      </c>
      <c r="C120" t="n">
        <v>180</v>
      </c>
      <c r="D120" t="n">
        <v>-0.25</v>
      </c>
      <c r="E120" t="n">
        <v>173</v>
      </c>
    </row>
    <row r="121">
      <c r="A121" t="s">
        <v>307</v>
      </c>
      <c r="B121" t="n">
        <v>-0.5</v>
      </c>
      <c r="C121" t="n">
        <v>44</v>
      </c>
      <c r="D121" t="n">
        <v>-0.25</v>
      </c>
      <c r="E121" t="n">
        <v>21</v>
      </c>
    </row>
    <row r="122">
      <c r="A122" t="s">
        <v>308</v>
      </c>
      <c r="B122" t="n">
        <v>-0.5</v>
      </c>
      <c r="C122" t="n">
        <v>125</v>
      </c>
      <c r="D122" t="n">
        <v>-0.5</v>
      </c>
      <c r="E122" t="n">
        <v>158</v>
      </c>
    </row>
    <row r="123">
      <c r="A123" t="s">
        <v>307</v>
      </c>
      <c r="B123" t="n">
        <v>-1.25</v>
      </c>
      <c r="C123" t="n">
        <v>16</v>
      </c>
      <c r="D123" t="n">
        <v>-0.5</v>
      </c>
      <c r="E123" t="n">
        <v>29</v>
      </c>
    </row>
    <row r="124">
      <c r="A124" t="s">
        <v>308</v>
      </c>
      <c r="B124" t="n">
        <v>-1.5</v>
      </c>
      <c r="C124" t="n">
        <v>166</v>
      </c>
      <c r="D124" t="n">
        <v>-0.5</v>
      </c>
      <c r="E124" t="n">
        <v>162</v>
      </c>
    </row>
    <row r="125">
      <c r="A125" t="s">
        <v>308</v>
      </c>
      <c r="B125" t="n">
        <v>-0.75</v>
      </c>
      <c r="C125" t="n">
        <v>7</v>
      </c>
      <c r="D125" t="n">
        <v>0</v>
      </c>
      <c r="E125" t="n">
        <v>139</v>
      </c>
    </row>
    <row r="126">
      <c r="A126" t="s">
        <v>308</v>
      </c>
      <c r="B126" t="n">
        <v>-0.75</v>
      </c>
      <c r="C126" t="n">
        <v>89</v>
      </c>
      <c r="D126" t="n">
        <v>-0.25</v>
      </c>
      <c r="E126" t="n">
        <v>80</v>
      </c>
    </row>
    <row r="127">
      <c r="A127" t="s">
        <v>307</v>
      </c>
      <c r="B127" t="n">
        <v>-0.5</v>
      </c>
      <c r="C127" t="n">
        <v>165</v>
      </c>
      <c r="D127" t="n">
        <v>-0.25</v>
      </c>
      <c r="E127" t="n">
        <v>170</v>
      </c>
    </row>
    <row r="128">
      <c r="A128" t="s">
        <v>308</v>
      </c>
      <c r="B128" t="n">
        <v>-0.5</v>
      </c>
      <c r="C128" t="n">
        <v>21</v>
      </c>
      <c r="D128" t="n">
        <v>-0.25</v>
      </c>
      <c r="E128" t="n">
        <v>19</v>
      </c>
    </row>
    <row r="129">
      <c r="A129" t="s">
        <v>308</v>
      </c>
      <c r="B129" t="n">
        <v>-1</v>
      </c>
      <c r="C129" t="n">
        <v>167</v>
      </c>
      <c r="D129" t="n">
        <v>0</v>
      </c>
      <c r="E129" t="n">
        <v>20</v>
      </c>
    </row>
    <row r="130">
      <c r="A130" t="s">
        <v>308</v>
      </c>
      <c r="B130" t="n">
        <v>-0.5</v>
      </c>
      <c r="C130" t="n">
        <v>10</v>
      </c>
      <c r="D130" t="n">
        <v>0</v>
      </c>
      <c r="E130" t="n">
        <v>82</v>
      </c>
    </row>
    <row r="131">
      <c r="A131" t="s">
        <v>307</v>
      </c>
      <c r="B131" t="n">
        <v>-0.75</v>
      </c>
      <c r="C131" t="n">
        <v>145</v>
      </c>
      <c r="D131" t="n">
        <v>-0.25</v>
      </c>
      <c r="E131" t="n">
        <v>155</v>
      </c>
    </row>
    <row r="132">
      <c r="A132" t="s">
        <v>308</v>
      </c>
      <c r="B132" t="n">
        <v>-1.25</v>
      </c>
      <c r="C132" t="n">
        <v>31</v>
      </c>
      <c r="D132" t="n">
        <v>-0.5</v>
      </c>
      <c r="E132" t="n">
        <v>20</v>
      </c>
    </row>
    <row r="133">
      <c r="A133" t="s">
        <v>307</v>
      </c>
      <c r="B133" t="n">
        <v>-0.5</v>
      </c>
      <c r="C133" t="n">
        <v>166</v>
      </c>
      <c r="D133" t="n">
        <v>-0.25</v>
      </c>
      <c r="E133" t="n">
        <v>149</v>
      </c>
    </row>
    <row r="134">
      <c r="A134" t="s">
        <v>308</v>
      </c>
      <c r="B134" t="n">
        <v>-0.25</v>
      </c>
      <c r="C134" t="n">
        <v>12</v>
      </c>
      <c r="D134" t="n">
        <v>-0.25</v>
      </c>
      <c r="E134" t="n">
        <v>28</v>
      </c>
    </row>
    <row r="135">
      <c r="A135" t="s">
        <v>307</v>
      </c>
      <c r="B135" t="n">
        <v>-0.5</v>
      </c>
      <c r="C135" t="n">
        <v>160</v>
      </c>
      <c r="D135"/>
      <c r="E135"/>
    </row>
    <row r="136">
      <c r="A136" t="s">
        <v>308</v>
      </c>
      <c r="B136" t="n">
        <v>-0.5</v>
      </c>
      <c r="C136" t="n">
        <v>23</v>
      </c>
      <c r="D136"/>
      <c r="E136"/>
    </row>
    <row r="137">
      <c r="A137" t="s">
        <v>307</v>
      </c>
      <c r="B137" t="n">
        <v>-0.25</v>
      </c>
      <c r="C137" t="n">
        <v>35</v>
      </c>
      <c r="D137" t="n">
        <v>0</v>
      </c>
      <c r="E137" t="n">
        <v>20</v>
      </c>
    </row>
    <row r="138">
      <c r="A138" t="s">
        <v>308</v>
      </c>
      <c r="B138" t="n">
        <v>-0.25</v>
      </c>
      <c r="C138" t="n">
        <v>147</v>
      </c>
      <c r="D138" t="n">
        <v>0</v>
      </c>
      <c r="E138" t="n">
        <v>29</v>
      </c>
    </row>
    <row r="139">
      <c r="A139" t="s">
        <v>307</v>
      </c>
      <c r="B139" t="n">
        <v>-0.25</v>
      </c>
      <c r="C139" t="n">
        <v>97</v>
      </c>
      <c r="D139" t="n">
        <v>0</v>
      </c>
      <c r="E139" t="n">
        <v>141</v>
      </c>
    </row>
    <row r="140">
      <c r="A140" t="s">
        <v>308</v>
      </c>
      <c r="B140" t="n">
        <v>-0.75</v>
      </c>
      <c r="C140" t="n">
        <v>93</v>
      </c>
      <c r="D140" t="n">
        <v>-0.25</v>
      </c>
      <c r="E140" t="n">
        <v>155</v>
      </c>
    </row>
    <row r="141">
      <c r="A141" t="s">
        <v>307</v>
      </c>
      <c r="B141" t="n">
        <v>-0.75</v>
      </c>
      <c r="C141" t="n">
        <v>166</v>
      </c>
      <c r="D141" t="n">
        <v>-0.25</v>
      </c>
      <c r="E141" t="n">
        <v>110</v>
      </c>
    </row>
    <row r="142">
      <c r="A142" t="s">
        <v>308</v>
      </c>
      <c r="B142" t="n">
        <v>-1</v>
      </c>
      <c r="C142" t="n">
        <v>180</v>
      </c>
      <c r="D142" t="n">
        <v>-0.25</v>
      </c>
      <c r="E142" t="n">
        <v>69</v>
      </c>
    </row>
    <row r="143">
      <c r="A143" t="s">
        <v>307</v>
      </c>
      <c r="B143" t="n">
        <v>-1.75</v>
      </c>
      <c r="C143" t="n">
        <v>61</v>
      </c>
      <c r="D143" t="n">
        <v>-0.25</v>
      </c>
      <c r="E143" t="n">
        <v>6</v>
      </c>
    </row>
    <row r="144">
      <c r="A144" t="s">
        <v>308</v>
      </c>
      <c r="B144" t="n">
        <v>-2</v>
      </c>
      <c r="C144" t="n">
        <v>134</v>
      </c>
      <c r="D144" t="n">
        <v>-0.25</v>
      </c>
      <c r="E144" t="n">
        <v>79</v>
      </c>
    </row>
    <row r="145">
      <c r="A145" t="s">
        <v>307</v>
      </c>
      <c r="B145" t="n">
        <v>-1.5</v>
      </c>
      <c r="C145" t="n">
        <v>171</v>
      </c>
      <c r="D145" t="n">
        <v>-0.5</v>
      </c>
      <c r="E145" t="n">
        <v>8</v>
      </c>
    </row>
    <row r="146">
      <c r="A146" t="s">
        <v>308</v>
      </c>
      <c r="B146" t="n">
        <v>-1</v>
      </c>
      <c r="C146" t="n">
        <v>15</v>
      </c>
      <c r="D146" t="n">
        <v>-0.25</v>
      </c>
      <c r="E146" t="n">
        <v>177</v>
      </c>
    </row>
    <row r="147">
      <c r="A147" t="s">
        <v>307</v>
      </c>
      <c r="B147" t="n">
        <v>-0.25</v>
      </c>
      <c r="C147" t="n">
        <v>7</v>
      </c>
      <c r="D147"/>
      <c r="E147"/>
    </row>
    <row r="148">
      <c r="A148" t="s">
        <v>308</v>
      </c>
      <c r="B148" t="n">
        <v>-0.25</v>
      </c>
      <c r="C148" t="n">
        <v>169</v>
      </c>
      <c r="D148"/>
      <c r="E148"/>
    </row>
    <row r="149">
      <c r="A149" t="s">
        <v>308</v>
      </c>
      <c r="B149" t="n">
        <v>-2.75</v>
      </c>
      <c r="C149" t="n">
        <v>154</v>
      </c>
      <c r="D149" t="n">
        <v>-1</v>
      </c>
      <c r="E149" t="n">
        <v>122</v>
      </c>
    </row>
    <row r="150">
      <c r="A150" t="s">
        <v>307</v>
      </c>
      <c r="B150" t="n">
        <v>-0.75</v>
      </c>
      <c r="C150" t="n">
        <v>14</v>
      </c>
      <c r="D150" t="n">
        <v>0</v>
      </c>
      <c r="E150" t="n">
        <v>14</v>
      </c>
    </row>
    <row r="151">
      <c r="A151" t="s">
        <v>307</v>
      </c>
      <c r="B151" t="n">
        <v>-1.25</v>
      </c>
      <c r="C151" t="n">
        <v>16</v>
      </c>
      <c r="D151" t="n">
        <v>-0.5</v>
      </c>
      <c r="E151" t="n">
        <v>174</v>
      </c>
    </row>
    <row r="152">
      <c r="A152" t="s">
        <v>308</v>
      </c>
      <c r="B152" t="n">
        <v>-1.5</v>
      </c>
      <c r="C152" t="n">
        <v>156</v>
      </c>
      <c r="D152" t="n">
        <v>-0.75</v>
      </c>
      <c r="E152" t="n">
        <v>1</v>
      </c>
    </row>
    <row r="153">
      <c r="A153" t="s">
        <v>307</v>
      </c>
      <c r="B153" t="n">
        <v>-1.25</v>
      </c>
      <c r="C153" t="n">
        <v>4</v>
      </c>
      <c r="D153" t="n">
        <v>-0.5</v>
      </c>
      <c r="E153" t="n">
        <v>161</v>
      </c>
    </row>
    <row r="154">
      <c r="A154" t="s">
        <v>307</v>
      </c>
      <c r="B154" t="n">
        <v>-3</v>
      </c>
      <c r="C154" t="n">
        <v>8</v>
      </c>
      <c r="D154" t="n">
        <v>-1.5</v>
      </c>
      <c r="E154" t="n">
        <v>55</v>
      </c>
    </row>
    <row r="155">
      <c r="A155" t="s">
        <v>308</v>
      </c>
      <c r="B155" t="n">
        <v>-2.25</v>
      </c>
      <c r="C155" t="n">
        <v>10</v>
      </c>
      <c r="D155" t="n">
        <v>-0.5</v>
      </c>
      <c r="E155" t="n">
        <v>77</v>
      </c>
    </row>
    <row r="156">
      <c r="A156" t="s">
        <v>307</v>
      </c>
      <c r="B156" t="n">
        <v>-2.25</v>
      </c>
      <c r="C156" t="n">
        <v>79</v>
      </c>
      <c r="D156" t="n">
        <v>-0.75</v>
      </c>
      <c r="E156" t="n">
        <v>60</v>
      </c>
    </row>
    <row r="157">
      <c r="A157" t="s">
        <v>308</v>
      </c>
      <c r="B157" t="n">
        <v>-1.75</v>
      </c>
      <c r="C157" t="n">
        <v>91</v>
      </c>
      <c r="D157" t="n">
        <v>-0.25</v>
      </c>
      <c r="E157" t="n">
        <v>78</v>
      </c>
    </row>
    <row r="158">
      <c r="A158" t="s">
        <v>307</v>
      </c>
      <c r="B158" t="n">
        <v>-0.5</v>
      </c>
      <c r="C158" t="n">
        <v>91</v>
      </c>
      <c r="D158" t="n">
        <v>-0.25</v>
      </c>
      <c r="E158" t="n">
        <v>76</v>
      </c>
    </row>
    <row r="159">
      <c r="A159" t="s">
        <v>307</v>
      </c>
      <c r="B159" t="n">
        <v>-0.75</v>
      </c>
      <c r="C159" t="n">
        <v>168</v>
      </c>
      <c r="D159" t="n">
        <v>0</v>
      </c>
      <c r="E159" t="n">
        <v>137</v>
      </c>
    </row>
    <row r="160">
      <c r="A160" t="s">
        <v>308</v>
      </c>
      <c r="B160" t="n">
        <v>-0.75</v>
      </c>
      <c r="C160" t="n">
        <v>17</v>
      </c>
      <c r="D160" t="n">
        <v>0</v>
      </c>
      <c r="E160" t="n">
        <v>31</v>
      </c>
    </row>
    <row r="161">
      <c r="A161" t="s">
        <v>307</v>
      </c>
      <c r="B161" t="n">
        <v>-1</v>
      </c>
      <c r="C161" t="n">
        <v>180</v>
      </c>
      <c r="D161" t="n">
        <v>-0.5</v>
      </c>
      <c r="E161" t="n">
        <v>159</v>
      </c>
    </row>
    <row r="162">
      <c r="A162" t="s">
        <v>308</v>
      </c>
      <c r="B162" t="n">
        <v>-0.75</v>
      </c>
      <c r="C162" t="n">
        <v>176</v>
      </c>
      <c r="D162" t="n">
        <v>-0.25</v>
      </c>
      <c r="E162" t="n">
        <v>160</v>
      </c>
    </row>
    <row r="163">
      <c r="A163" t="s">
        <v>307</v>
      </c>
      <c r="B163" t="n">
        <v>-0.25</v>
      </c>
      <c r="C163" t="n">
        <v>129</v>
      </c>
      <c r="D163" t="n">
        <v>-0.25</v>
      </c>
      <c r="E163" t="n">
        <v>122</v>
      </c>
    </row>
    <row r="164">
      <c r="A164" t="s">
        <v>308</v>
      </c>
      <c r="B164" t="n">
        <v>-0.5</v>
      </c>
      <c r="C164" t="n">
        <v>60</v>
      </c>
      <c r="D164" t="n">
        <v>-0.25</v>
      </c>
      <c r="E164" t="n">
        <v>78</v>
      </c>
    </row>
    <row r="165">
      <c r="A165" t="s">
        <v>308</v>
      </c>
      <c r="B165" t="n">
        <v>-0.75</v>
      </c>
      <c r="C165" t="n">
        <v>167</v>
      </c>
      <c r="D165" t="n">
        <v>-0.5</v>
      </c>
      <c r="E165" t="n">
        <v>39</v>
      </c>
    </row>
    <row r="166">
      <c r="A166" t="s">
        <v>308</v>
      </c>
      <c r="B166" t="n">
        <v>-1.5</v>
      </c>
      <c r="C166" t="n">
        <v>8</v>
      </c>
      <c r="D166" t="n">
        <v>-0.25</v>
      </c>
      <c r="E166" t="n">
        <v>34</v>
      </c>
    </row>
    <row r="167">
      <c r="A167" t="s">
        <v>307</v>
      </c>
      <c r="B167" t="n">
        <v>-0.75</v>
      </c>
      <c r="C167" t="n">
        <v>171</v>
      </c>
      <c r="D167" t="n">
        <v>0</v>
      </c>
      <c r="E167" t="n">
        <v>138</v>
      </c>
    </row>
    <row r="168">
      <c r="A168" t="s">
        <v>308</v>
      </c>
      <c r="B168" t="n">
        <v>-0.5</v>
      </c>
      <c r="C168" t="n">
        <v>6</v>
      </c>
      <c r="D168" t="n">
        <v>-0.25</v>
      </c>
      <c r="E168" t="n">
        <v>31</v>
      </c>
    </row>
    <row r="169">
      <c r="A169" t="s">
        <v>307</v>
      </c>
      <c r="B169" t="n">
        <v>-0.75</v>
      </c>
      <c r="C169" t="n">
        <v>179</v>
      </c>
      <c r="D169" t="n">
        <v>-0.25</v>
      </c>
      <c r="E169" t="n">
        <v>138</v>
      </c>
    </row>
    <row r="170">
      <c r="A170" t="s">
        <v>307</v>
      </c>
      <c r="B170" t="n">
        <v>-1.5</v>
      </c>
      <c r="C170" t="n">
        <v>7</v>
      </c>
      <c r="D170" t="n">
        <v>-0.25</v>
      </c>
      <c r="E170" t="n">
        <v>123</v>
      </c>
    </row>
    <row r="171">
      <c r="A171" t="s">
        <v>308</v>
      </c>
      <c r="B171" t="n">
        <v>-1</v>
      </c>
      <c r="C171" t="n">
        <v>4</v>
      </c>
      <c r="D171" t="n">
        <v>0</v>
      </c>
      <c r="E171" t="n">
        <v>71</v>
      </c>
    </row>
    <row r="172">
      <c r="A172" t="s">
        <v>307</v>
      </c>
      <c r="B172" t="n">
        <v>-0.75</v>
      </c>
      <c r="C172" t="n">
        <v>152</v>
      </c>
      <c r="D172" t="n">
        <v>-0.25</v>
      </c>
      <c r="E172" t="n">
        <v>13</v>
      </c>
    </row>
    <row r="173">
      <c r="A173" t="s">
        <v>308</v>
      </c>
      <c r="B173" t="n">
        <v>-1</v>
      </c>
      <c r="C173" t="n">
        <v>29</v>
      </c>
      <c r="D173" t="n">
        <v>-0.25</v>
      </c>
      <c r="E173" t="n">
        <v>47</v>
      </c>
    </row>
    <row r="174">
      <c r="A174" t="s">
        <v>307</v>
      </c>
      <c r="B174" t="n">
        <v>-1.75</v>
      </c>
      <c r="C174" t="n">
        <v>71</v>
      </c>
      <c r="D174"/>
      <c r="E174"/>
    </row>
    <row r="175">
      <c r="A175" t="s">
        <v>308</v>
      </c>
      <c r="B175" t="n">
        <v>-0.75</v>
      </c>
      <c r="C175" t="n">
        <v>116</v>
      </c>
      <c r="D175"/>
      <c r="E175"/>
    </row>
    <row r="176">
      <c r="A176" t="s">
        <v>307</v>
      </c>
      <c r="B176" t="n">
        <v>-2.25</v>
      </c>
      <c r="C176" t="n">
        <v>6</v>
      </c>
      <c r="D176"/>
      <c r="E176"/>
    </row>
    <row r="177">
      <c r="A177" t="s">
        <v>307</v>
      </c>
      <c r="B177" t="n">
        <v>-0.25</v>
      </c>
      <c r="C177" t="n">
        <v>175</v>
      </c>
      <c r="D177" t="n">
        <v>0</v>
      </c>
      <c r="E177" t="n">
        <v>132</v>
      </c>
    </row>
    <row r="178">
      <c r="A178" t="s">
        <v>308</v>
      </c>
      <c r="B178" t="n">
        <v>-0.25</v>
      </c>
      <c r="C178" t="n">
        <v>1</v>
      </c>
      <c r="D178" t="n">
        <v>0</v>
      </c>
      <c r="E178" t="n">
        <v>1</v>
      </c>
    </row>
    <row r="179">
      <c r="A179" t="s">
        <v>308</v>
      </c>
      <c r="B179" t="n">
        <v>0</v>
      </c>
      <c r="C179" t="n">
        <v>64</v>
      </c>
      <c r="D179" t="n">
        <v>-0.25</v>
      </c>
      <c r="E179" t="n">
        <v>145</v>
      </c>
    </row>
    <row r="180">
      <c r="A180" t="s">
        <v>307</v>
      </c>
      <c r="B180" t="n">
        <v>-1</v>
      </c>
      <c r="C180" t="n">
        <v>88</v>
      </c>
      <c r="D180" t="n">
        <v>-0.25</v>
      </c>
      <c r="E180" t="n">
        <v>132</v>
      </c>
    </row>
    <row r="181">
      <c r="A181" t="s">
        <v>307</v>
      </c>
      <c r="B181" t="n">
        <v>-1</v>
      </c>
      <c r="C181" t="n">
        <v>164</v>
      </c>
      <c r="D181" t="n">
        <v>-0.75</v>
      </c>
      <c r="E181" t="n">
        <v>131</v>
      </c>
    </row>
    <row r="182">
      <c r="A182" t="s">
        <v>307</v>
      </c>
      <c r="B182" t="n">
        <v>-0.5</v>
      </c>
      <c r="C182" t="n">
        <v>163</v>
      </c>
      <c r="D182" t="n">
        <v>-0.5</v>
      </c>
      <c r="E182" t="n">
        <v>127</v>
      </c>
    </row>
    <row r="183">
      <c r="A183" t="s">
        <v>307</v>
      </c>
      <c r="B183" t="n">
        <v>-0.75</v>
      </c>
      <c r="C183" t="n">
        <v>26</v>
      </c>
      <c r="D183" t="n">
        <v>0</v>
      </c>
      <c r="E183" t="n">
        <v>66</v>
      </c>
    </row>
    <row r="184">
      <c r="A184" t="s">
        <v>308</v>
      </c>
      <c r="B184" t="n">
        <v>-1.75</v>
      </c>
      <c r="C184" t="n">
        <v>148</v>
      </c>
      <c r="D184" t="n">
        <v>-0.25</v>
      </c>
      <c r="E184" t="n">
        <v>112</v>
      </c>
    </row>
    <row r="185">
      <c r="A185" t="s">
        <v>307</v>
      </c>
      <c r="B185" t="n">
        <v>-0.75</v>
      </c>
      <c r="C185" t="n">
        <v>38</v>
      </c>
      <c r="D185" t="n">
        <v>-0.25</v>
      </c>
      <c r="E185" t="n">
        <v>156</v>
      </c>
    </row>
    <row r="186">
      <c r="A186" t="s">
        <v>308</v>
      </c>
      <c r="B186" t="n">
        <v>-0.25</v>
      </c>
      <c r="C186" t="n">
        <v>97</v>
      </c>
      <c r="D186" t="n">
        <v>0</v>
      </c>
      <c r="E186" t="n">
        <v>166</v>
      </c>
    </row>
    <row r="187">
      <c r="A187" t="s">
        <v>307</v>
      </c>
      <c r="B187" t="n">
        <v>-1.25</v>
      </c>
      <c r="C187" t="n">
        <v>3</v>
      </c>
      <c r="D187" t="n">
        <v>-0.5</v>
      </c>
      <c r="E187" t="n">
        <v>168</v>
      </c>
    </row>
    <row r="188">
      <c r="A188" t="s">
        <v>308</v>
      </c>
      <c r="B188" t="n">
        <v>-1.5</v>
      </c>
      <c r="C188" t="n">
        <v>16</v>
      </c>
      <c r="D188" t="n">
        <v>-0.5</v>
      </c>
      <c r="E188" t="n">
        <v>40</v>
      </c>
    </row>
    <row r="189">
      <c r="A189" t="s">
        <v>307</v>
      </c>
      <c r="B189" t="n">
        <v>-0.5</v>
      </c>
      <c r="C189" t="n">
        <v>42</v>
      </c>
      <c r="D189" t="n">
        <v>-0.5</v>
      </c>
      <c r="E189" t="n">
        <v>91</v>
      </c>
    </row>
    <row r="190">
      <c r="A190" t="s">
        <v>308</v>
      </c>
      <c r="B190" t="n">
        <v>-0.75</v>
      </c>
      <c r="C190" t="n">
        <v>139</v>
      </c>
      <c r="D190" t="n">
        <v>-0.25</v>
      </c>
      <c r="E190" t="n">
        <v>87</v>
      </c>
    </row>
    <row r="191">
      <c r="A191" t="s">
        <v>307</v>
      </c>
      <c r="B191" t="n">
        <v>-1</v>
      </c>
      <c r="C191" t="n">
        <v>129</v>
      </c>
      <c r="D191"/>
      <c r="E191"/>
    </row>
    <row r="192">
      <c r="A192" t="s">
        <v>308</v>
      </c>
      <c r="B192" t="n">
        <v>-0.75</v>
      </c>
      <c r="C192" t="n">
        <v>54</v>
      </c>
      <c r="D192"/>
      <c r="E192"/>
    </row>
    <row r="193">
      <c r="A193" t="s">
        <v>307</v>
      </c>
      <c r="B193" t="n">
        <v>-1.25</v>
      </c>
      <c r="C193" t="n">
        <v>180</v>
      </c>
      <c r="D193" t="n">
        <v>-0.75</v>
      </c>
      <c r="E193" t="n">
        <v>152</v>
      </c>
    </row>
    <row r="194">
      <c r="A194" t="s">
        <v>308</v>
      </c>
      <c r="B194" t="n">
        <v>-1.25</v>
      </c>
      <c r="C194" t="n">
        <v>171</v>
      </c>
      <c r="D194" t="n">
        <v>-0.75</v>
      </c>
      <c r="E194" t="n">
        <v>26</v>
      </c>
    </row>
    <row r="195">
      <c r="A195" t="s">
        <v>307</v>
      </c>
      <c r="B195" t="n">
        <v>-1</v>
      </c>
      <c r="C195" t="n">
        <v>18</v>
      </c>
      <c r="D195" t="n">
        <v>-0.25</v>
      </c>
      <c r="E195" t="n">
        <v>48</v>
      </c>
    </row>
    <row r="196">
      <c r="A196" t="s">
        <v>308</v>
      </c>
      <c r="B196" t="n">
        <v>-1.5</v>
      </c>
      <c r="C196" t="n">
        <v>157</v>
      </c>
      <c r="D196" t="n">
        <v>-0.5</v>
      </c>
      <c r="E196" t="n">
        <v>177</v>
      </c>
    </row>
    <row r="197">
      <c r="A197" t="s">
        <v>307</v>
      </c>
      <c r="B197" t="n">
        <v>-1.5</v>
      </c>
      <c r="C197" t="n">
        <v>165</v>
      </c>
      <c r="D197" t="n">
        <v>-0.25</v>
      </c>
      <c r="E197" t="n">
        <v>157</v>
      </c>
    </row>
    <row r="198">
      <c r="A198" t="s">
        <v>308</v>
      </c>
      <c r="B198" t="n">
        <v>-0.75</v>
      </c>
      <c r="C198" t="n">
        <v>15</v>
      </c>
      <c r="D198" t="n">
        <v>0</v>
      </c>
      <c r="E198" t="n">
        <v>110</v>
      </c>
    </row>
    <row r="199">
      <c r="A199" t="s">
        <v>307</v>
      </c>
      <c r="B199" t="n">
        <v>-0.5</v>
      </c>
      <c r="C199" t="n">
        <v>84</v>
      </c>
      <c r="D199" t="n">
        <v>-0.25</v>
      </c>
      <c r="E199" t="n">
        <v>54</v>
      </c>
    </row>
    <row r="200">
      <c r="A200" t="s">
        <v>308</v>
      </c>
      <c r="B200" t="n">
        <v>-0.25</v>
      </c>
      <c r="C200" t="n">
        <v>83</v>
      </c>
      <c r="D200" t="n">
        <v>-0.25</v>
      </c>
      <c r="E200" t="n">
        <v>154</v>
      </c>
    </row>
    <row r="201">
      <c r="A201" t="s">
        <v>307</v>
      </c>
      <c r="B201" t="n">
        <v>-0.75</v>
      </c>
      <c r="C201" t="n">
        <v>10</v>
      </c>
      <c r="D201" t="n">
        <v>-0.25</v>
      </c>
      <c r="E201" t="n">
        <v>68</v>
      </c>
    </row>
    <row r="202">
      <c r="A202" t="s">
        <v>308</v>
      </c>
      <c r="B202" t="n">
        <v>-1.25</v>
      </c>
      <c r="C202" t="n">
        <v>171</v>
      </c>
      <c r="D202" t="n">
        <v>-0.25</v>
      </c>
      <c r="E202" t="n">
        <v>41</v>
      </c>
    </row>
    <row r="203">
      <c r="A203" t="s">
        <v>307</v>
      </c>
      <c r="B203" t="n">
        <v>-0.25</v>
      </c>
      <c r="C203" t="n">
        <v>165</v>
      </c>
      <c r="D203" t="n">
        <v>-0.25</v>
      </c>
      <c r="E203" t="n">
        <v>117</v>
      </c>
    </row>
    <row r="204">
      <c r="A204" t="s">
        <v>307</v>
      </c>
      <c r="B204" t="n">
        <v>-0.5</v>
      </c>
      <c r="C204" t="n">
        <v>157</v>
      </c>
      <c r="D204" t="n">
        <v>0</v>
      </c>
      <c r="E204" t="n">
        <v>108</v>
      </c>
    </row>
    <row r="205">
      <c r="A205" t="s">
        <v>308</v>
      </c>
      <c r="B205" t="n">
        <v>-0.75</v>
      </c>
      <c r="C205" t="n">
        <v>28</v>
      </c>
      <c r="D205" t="n">
        <v>0</v>
      </c>
      <c r="E205" t="n">
        <v>97</v>
      </c>
    </row>
    <row r="206">
      <c r="A206" t="s">
        <v>307</v>
      </c>
      <c r="B206" t="n">
        <v>-0.5</v>
      </c>
      <c r="C206" t="n">
        <v>53</v>
      </c>
      <c r="D206" t="n">
        <v>-0.25</v>
      </c>
      <c r="E206" t="n">
        <v>72</v>
      </c>
    </row>
    <row r="207">
      <c r="A207" t="s">
        <v>308</v>
      </c>
      <c r="B207" t="n">
        <v>-0.25</v>
      </c>
      <c r="C207" t="n">
        <v>130</v>
      </c>
      <c r="D207" t="n">
        <v>0</v>
      </c>
      <c r="E207" t="n">
        <v>132</v>
      </c>
    </row>
    <row r="208">
      <c r="A208" t="s">
        <v>308</v>
      </c>
      <c r="B208" t="n">
        <v>-0.5</v>
      </c>
      <c r="C208" t="n">
        <v>126</v>
      </c>
      <c r="D208"/>
      <c r="E208"/>
    </row>
    <row r="209">
      <c r="A209" t="s">
        <v>307</v>
      </c>
      <c r="B209" t="n">
        <v>-0.25</v>
      </c>
      <c r="C209" t="n">
        <v>9</v>
      </c>
      <c r="D209" t="n">
        <v>0</v>
      </c>
      <c r="E209" t="n">
        <v>142</v>
      </c>
    </row>
    <row r="210">
      <c r="A210" t="s">
        <v>308</v>
      </c>
      <c r="B210" t="n">
        <v>-0.5</v>
      </c>
      <c r="C210" t="n">
        <v>165</v>
      </c>
      <c r="D210" t="n">
        <v>-0.25</v>
      </c>
      <c r="E210" t="n">
        <v>138</v>
      </c>
    </row>
    <row r="211">
      <c r="A211" t="s">
        <v>307</v>
      </c>
      <c r="B211" t="n">
        <v>-0.5</v>
      </c>
      <c r="C211" t="n">
        <v>4</v>
      </c>
      <c r="D211" t="n">
        <v>-0.25</v>
      </c>
      <c r="E211" t="n">
        <v>141</v>
      </c>
    </row>
    <row r="212">
      <c r="A212" t="s">
        <v>307</v>
      </c>
      <c r="B212" t="n">
        <v>-0.25</v>
      </c>
      <c r="C212" t="n">
        <v>10</v>
      </c>
      <c r="D212" t="n">
        <v>-0.25</v>
      </c>
      <c r="E212" t="n">
        <v>66</v>
      </c>
    </row>
    <row r="213">
      <c r="A213" t="s">
        <v>308</v>
      </c>
      <c r="B213" t="n">
        <v>-0.25</v>
      </c>
      <c r="C213" t="n">
        <v>174</v>
      </c>
      <c r="D213" t="n">
        <v>0</v>
      </c>
      <c r="E213" t="n">
        <v>31</v>
      </c>
    </row>
    <row r="214">
      <c r="A214" t="s">
        <v>307</v>
      </c>
      <c r="B214" t="n">
        <v>-0.5</v>
      </c>
      <c r="C214" t="n">
        <v>162</v>
      </c>
      <c r="D214" t="n">
        <v>-0.25</v>
      </c>
      <c r="E214" t="n">
        <v>96</v>
      </c>
    </row>
    <row r="215">
      <c r="A215" t="s">
        <v>307</v>
      </c>
      <c r="B215" t="n">
        <v>-0.25</v>
      </c>
      <c r="C215" t="n">
        <v>48</v>
      </c>
      <c r="D215" t="n">
        <v>0</v>
      </c>
      <c r="E215" t="n">
        <v>9</v>
      </c>
    </row>
    <row r="216">
      <c r="A216" t="s">
        <v>308</v>
      </c>
      <c r="B216" t="n">
        <v>-0.5</v>
      </c>
      <c r="C216" t="n">
        <v>141</v>
      </c>
      <c r="D216" t="n">
        <v>-0.25</v>
      </c>
      <c r="E216" t="n">
        <v>145</v>
      </c>
    </row>
    <row r="217">
      <c r="A217" t="s">
        <v>307</v>
      </c>
      <c r="B217" t="n">
        <v>-0.5</v>
      </c>
      <c r="C217" t="n">
        <v>3</v>
      </c>
      <c r="D217" t="n">
        <v>-0.25</v>
      </c>
      <c r="E217" t="n">
        <v>70</v>
      </c>
    </row>
    <row r="218">
      <c r="A218" t="s">
        <v>308</v>
      </c>
      <c r="B218" t="n">
        <v>-0.5</v>
      </c>
      <c r="C218" t="n">
        <v>177</v>
      </c>
      <c r="D218" t="n">
        <v>-0.25</v>
      </c>
      <c r="E218" t="n">
        <v>110</v>
      </c>
    </row>
    <row r="219">
      <c r="A219" t="s">
        <v>307</v>
      </c>
      <c r="B219" t="n">
        <v>-0.5</v>
      </c>
      <c r="C219" t="n">
        <v>12</v>
      </c>
      <c r="D219" t="n">
        <v>-0.25</v>
      </c>
      <c r="E219" t="n">
        <v>157</v>
      </c>
    </row>
    <row r="220">
      <c r="A220" t="s">
        <v>308</v>
      </c>
      <c r="B220" t="n">
        <v>-0.75</v>
      </c>
      <c r="C220" t="n">
        <v>171</v>
      </c>
      <c r="D220" t="n">
        <v>-0.25</v>
      </c>
      <c r="E220" t="n">
        <v>42</v>
      </c>
    </row>
    <row r="221">
      <c r="A221" t="s">
        <v>307</v>
      </c>
      <c r="B221" t="n">
        <v>-0.75</v>
      </c>
      <c r="C221" t="n">
        <v>131</v>
      </c>
      <c r="D221" t="n">
        <v>-0.25</v>
      </c>
      <c r="E221" t="n">
        <v>71</v>
      </c>
    </row>
    <row r="222">
      <c r="A222" t="s">
        <v>308</v>
      </c>
      <c r="B222" t="n">
        <v>-0.25</v>
      </c>
      <c r="C222" t="n">
        <v>53</v>
      </c>
      <c r="D222" t="n">
        <v>-0.25</v>
      </c>
      <c r="E222" t="n">
        <v>136</v>
      </c>
    </row>
    <row r="223">
      <c r="A223" t="s">
        <v>307</v>
      </c>
      <c r="B223" t="n">
        <v>-0.75</v>
      </c>
      <c r="C223" t="n">
        <v>173</v>
      </c>
      <c r="D223" t="n">
        <v>0</v>
      </c>
      <c r="E223" t="n">
        <v>80</v>
      </c>
    </row>
    <row r="224">
      <c r="A224" t="s">
        <v>308</v>
      </c>
      <c r="B224" t="n">
        <v>-0.5</v>
      </c>
      <c r="C224" t="n">
        <v>14</v>
      </c>
      <c r="D224" t="n">
        <v>-0.25</v>
      </c>
      <c r="E224" t="n">
        <v>165</v>
      </c>
    </row>
    <row r="225">
      <c r="A225" t="s">
        <v>307</v>
      </c>
      <c r="B225" t="n">
        <v>-0.5</v>
      </c>
      <c r="C225" t="n">
        <v>152</v>
      </c>
      <c r="D225" t="n">
        <v>-0.25</v>
      </c>
      <c r="E225" t="n">
        <v>1</v>
      </c>
    </row>
    <row r="226">
      <c r="A226" t="s">
        <v>308</v>
      </c>
      <c r="B226" t="n">
        <v>-0.75</v>
      </c>
      <c r="C226" t="n">
        <v>93</v>
      </c>
      <c r="D226" t="n">
        <v>-0.5</v>
      </c>
      <c r="E226" t="n">
        <v>64</v>
      </c>
    </row>
    <row r="227">
      <c r="A227" t="s">
        <v>307</v>
      </c>
      <c r="B227" t="n">
        <v>-1.5</v>
      </c>
      <c r="C227" t="n">
        <v>166</v>
      </c>
      <c r="D227" t="n">
        <v>-0.25</v>
      </c>
      <c r="E227" t="n">
        <v>5</v>
      </c>
    </row>
  </sheetData>
  <pageMargins left="0.7" right="0.7" top="0.75" bottom="0.75" header="0.3" footer="0.3"/>
  <pageSetup paperSize="9" orientation="portrait" horizontalDpi="300" verticalDpi="300"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302</v>
      </c>
      <c r="B1" t="s">
        <v>303</v>
      </c>
      <c r="C1" t="s">
        <v>304</v>
      </c>
      <c r="D1" t="s">
        <v>305</v>
      </c>
      <c r="E1" t="s">
        <v>306</v>
      </c>
    </row>
    <row r="2">
      <c r="A2" t="s">
        <v>307</v>
      </c>
      <c r="B2" t="n">
        <v>-0.5</v>
      </c>
      <c r="C2" t="n">
        <v>5</v>
      </c>
      <c r="D2" t="n">
        <v>-0.25</v>
      </c>
      <c r="E2" t="n">
        <v>175</v>
      </c>
    </row>
    <row r="3">
      <c r="A3" t="s">
        <v>308</v>
      </c>
      <c r="B3" t="n">
        <v>-0.25</v>
      </c>
      <c r="C3" t="n">
        <v>172</v>
      </c>
      <c r="D3" t="n">
        <v>-0.25</v>
      </c>
      <c r="E3" t="n">
        <v>17</v>
      </c>
    </row>
    <row r="4">
      <c r="A4" t="s">
        <v>307</v>
      </c>
      <c r="B4" t="n">
        <v>-0.25</v>
      </c>
      <c r="C4" t="n">
        <v>9</v>
      </c>
      <c r="D4" t="n">
        <v>0</v>
      </c>
      <c r="E4" t="n">
        <v>10</v>
      </c>
    </row>
    <row r="5">
      <c r="A5" t="s">
        <v>307</v>
      </c>
      <c r="B5" t="n">
        <v>-0.75</v>
      </c>
      <c r="C5" t="n">
        <v>177</v>
      </c>
      <c r="D5" t="n">
        <v>-0.25</v>
      </c>
      <c r="E5" t="n">
        <v>136</v>
      </c>
    </row>
    <row r="6">
      <c r="A6" t="s">
        <v>308</v>
      </c>
      <c r="B6" t="n">
        <v>-0.25</v>
      </c>
      <c r="C6" t="n">
        <v>14</v>
      </c>
      <c r="D6" t="n">
        <v>-0.25</v>
      </c>
      <c r="E6" t="n">
        <v>48</v>
      </c>
    </row>
    <row r="7">
      <c r="A7" t="s">
        <v>307</v>
      </c>
      <c r="B7" t="n">
        <v>-0.5</v>
      </c>
      <c r="C7" t="n">
        <v>124</v>
      </c>
      <c r="D7" t="n">
        <v>-0.5</v>
      </c>
      <c r="E7" t="n">
        <v>1</v>
      </c>
    </row>
    <row r="8">
      <c r="A8" t="s">
        <v>308</v>
      </c>
      <c r="B8" t="n">
        <v>-0.25</v>
      </c>
      <c r="C8" t="n">
        <v>59</v>
      </c>
      <c r="D8" t="n">
        <v>-0.25</v>
      </c>
      <c r="E8" t="n">
        <v>166</v>
      </c>
    </row>
    <row r="9">
      <c r="A9" t="s">
        <v>307</v>
      </c>
      <c r="B9" t="n">
        <v>-0.75</v>
      </c>
      <c r="C9" t="n">
        <v>89</v>
      </c>
      <c r="D9" t="n">
        <v>-0.5</v>
      </c>
      <c r="E9" t="n">
        <v>93</v>
      </c>
    </row>
    <row r="10">
      <c r="A10" t="s">
        <v>308</v>
      </c>
      <c r="B10" t="n">
        <v>-1.5</v>
      </c>
      <c r="C10" t="n">
        <v>98</v>
      </c>
      <c r="D10" t="n">
        <v>-0.25</v>
      </c>
      <c r="E10" t="n">
        <v>97</v>
      </c>
    </row>
    <row r="11">
      <c r="A11" t="s">
        <v>308</v>
      </c>
      <c r="B11" t="n">
        <v>-1.5</v>
      </c>
      <c r="C11" t="n">
        <v>171</v>
      </c>
      <c r="D11" t="n">
        <v>-0.5</v>
      </c>
      <c r="E11" t="n">
        <v>4</v>
      </c>
    </row>
    <row r="12">
      <c r="A12" t="s">
        <v>307</v>
      </c>
      <c r="B12" t="n">
        <v>-1.75</v>
      </c>
      <c r="C12" t="n">
        <v>4</v>
      </c>
      <c r="D12" t="n">
        <v>-0.25</v>
      </c>
      <c r="E12" t="n">
        <v>87</v>
      </c>
    </row>
    <row r="13">
      <c r="A13" t="s">
        <v>308</v>
      </c>
      <c r="B13" t="n">
        <v>-1</v>
      </c>
      <c r="C13" t="n">
        <v>2</v>
      </c>
      <c r="D13" t="n">
        <v>-0.25</v>
      </c>
      <c r="E13" t="n">
        <v>91</v>
      </c>
    </row>
    <row r="14">
      <c r="A14" t="s">
        <v>307</v>
      </c>
      <c r="B14" t="n">
        <v>-1</v>
      </c>
      <c r="C14" t="n">
        <v>177</v>
      </c>
      <c r="D14"/>
      <c r="E14"/>
    </row>
    <row r="15">
      <c r="A15" t="s">
        <v>308</v>
      </c>
      <c r="B15" t="n">
        <v>-2.25</v>
      </c>
      <c r="C15" t="n">
        <v>7</v>
      </c>
      <c r="D15"/>
      <c r="E15"/>
    </row>
    <row r="16">
      <c r="A16" t="s">
        <v>307</v>
      </c>
      <c r="B16" t="n">
        <v>-0.75</v>
      </c>
      <c r="C16" t="n">
        <v>82</v>
      </c>
      <c r="D16" t="n">
        <v>-0.25</v>
      </c>
      <c r="E16" t="n">
        <v>121</v>
      </c>
    </row>
    <row r="17">
      <c r="A17" t="s">
        <v>307</v>
      </c>
      <c r="B17" t="n">
        <v>-1.5</v>
      </c>
      <c r="C17" t="n">
        <v>38</v>
      </c>
      <c r="D17" t="n">
        <v>-0.5</v>
      </c>
      <c r="E17" t="n">
        <v>70</v>
      </c>
    </row>
    <row r="18">
      <c r="A18" t="s">
        <v>308</v>
      </c>
      <c r="B18" t="n">
        <v>-1.5</v>
      </c>
      <c r="C18" t="n">
        <v>132</v>
      </c>
      <c r="D18" t="n">
        <v>-0.25</v>
      </c>
      <c r="E18" t="n">
        <v>136</v>
      </c>
    </row>
    <row r="19">
      <c r="A19" t="s">
        <v>307</v>
      </c>
      <c r="B19" t="n">
        <v>-0.5</v>
      </c>
      <c r="C19" t="n">
        <v>169</v>
      </c>
      <c r="D19" t="n">
        <v>-0.25</v>
      </c>
      <c r="E19" t="n">
        <v>176</v>
      </c>
    </row>
    <row r="20">
      <c r="A20" t="s">
        <v>308</v>
      </c>
      <c r="B20" t="n">
        <v>-0.5</v>
      </c>
      <c r="C20" t="n">
        <v>9</v>
      </c>
      <c r="D20" t="n">
        <v>-0.25</v>
      </c>
      <c r="E20" t="n">
        <v>150</v>
      </c>
    </row>
    <row r="21">
      <c r="A21" t="s">
        <v>308</v>
      </c>
      <c r="B21" t="n">
        <v>-1.5</v>
      </c>
      <c r="C21" t="n">
        <v>179</v>
      </c>
      <c r="D21" t="n">
        <v>-0.25</v>
      </c>
      <c r="E21" t="n">
        <v>48</v>
      </c>
    </row>
    <row r="22">
      <c r="A22" t="s">
        <v>308</v>
      </c>
      <c r="B22" t="n">
        <v>-0.25</v>
      </c>
      <c r="C22" t="n">
        <v>167</v>
      </c>
      <c r="D22" t="n">
        <v>-0.25</v>
      </c>
      <c r="E22" t="n">
        <v>49</v>
      </c>
    </row>
    <row r="23">
      <c r="A23" t="s">
        <v>307</v>
      </c>
      <c r="B23" t="n">
        <v>-0.5</v>
      </c>
      <c r="C23" t="n">
        <v>13</v>
      </c>
      <c r="D23" t="n">
        <v>-0.25</v>
      </c>
      <c r="E23" t="n">
        <v>163</v>
      </c>
    </row>
    <row r="24">
      <c r="A24" t="s">
        <v>308</v>
      </c>
      <c r="B24" t="n">
        <v>-0.5</v>
      </c>
      <c r="C24" t="n">
        <v>166</v>
      </c>
      <c r="D24" t="n">
        <v>0</v>
      </c>
      <c r="E24" t="n">
        <v>127</v>
      </c>
    </row>
    <row r="25">
      <c r="A25" t="s">
        <v>307</v>
      </c>
      <c r="B25" t="n">
        <v>-0.5</v>
      </c>
      <c r="C25" t="n">
        <v>128</v>
      </c>
      <c r="D25" t="n">
        <v>-0.25</v>
      </c>
      <c r="E25" t="n">
        <v>103</v>
      </c>
    </row>
    <row r="26">
      <c r="A26" t="s">
        <v>308</v>
      </c>
      <c r="B26" t="n">
        <v>-0.75</v>
      </c>
      <c r="C26" t="n">
        <v>49</v>
      </c>
      <c r="D26" t="n">
        <v>-0.25</v>
      </c>
      <c r="E26" t="n">
        <v>28</v>
      </c>
    </row>
    <row r="27">
      <c r="A27" t="s">
        <v>307</v>
      </c>
      <c r="B27" t="n">
        <v>-0.5</v>
      </c>
      <c r="C27" t="n">
        <v>151</v>
      </c>
      <c r="D27" t="n">
        <v>-0.25</v>
      </c>
      <c r="E27" t="n">
        <v>2</v>
      </c>
    </row>
    <row r="28">
      <c r="A28" t="s">
        <v>308</v>
      </c>
      <c r="B28" t="n">
        <v>-0.5</v>
      </c>
      <c r="C28" t="n">
        <v>6</v>
      </c>
      <c r="D28" t="n">
        <v>-0.25</v>
      </c>
      <c r="E28" t="n">
        <v>168</v>
      </c>
    </row>
    <row r="29">
      <c r="A29" t="s">
        <v>307</v>
      </c>
      <c r="B29" t="n">
        <v>-1</v>
      </c>
      <c r="C29" t="n">
        <v>1</v>
      </c>
      <c r="D29" t="n">
        <v>-0.25</v>
      </c>
      <c r="E29" t="n">
        <v>45</v>
      </c>
    </row>
    <row r="30">
      <c r="A30" t="s">
        <v>308</v>
      </c>
      <c r="B30" t="n">
        <v>-1</v>
      </c>
      <c r="C30" t="n">
        <v>166</v>
      </c>
      <c r="D30" t="n">
        <v>-0.25</v>
      </c>
      <c r="E30" t="n">
        <v>121</v>
      </c>
    </row>
    <row r="31">
      <c r="A31" t="s">
        <v>307</v>
      </c>
      <c r="B31" t="n">
        <v>-0.75</v>
      </c>
      <c r="C31" t="n">
        <v>166</v>
      </c>
      <c r="D31" t="n">
        <v>-0.25</v>
      </c>
      <c r="E31" t="n">
        <v>20</v>
      </c>
    </row>
    <row r="32">
      <c r="A32" t="s">
        <v>308</v>
      </c>
      <c r="B32" t="n">
        <v>-1</v>
      </c>
      <c r="C32" t="n">
        <v>14</v>
      </c>
      <c r="D32" t="n">
        <v>-0.25</v>
      </c>
      <c r="E32" t="n">
        <v>147</v>
      </c>
    </row>
    <row r="33">
      <c r="A33" t="s">
        <v>307</v>
      </c>
      <c r="B33" t="n">
        <v>-1.25</v>
      </c>
      <c r="C33" t="n">
        <v>157</v>
      </c>
      <c r="D33" t="n">
        <v>-0.5</v>
      </c>
      <c r="E33" t="n">
        <v>115</v>
      </c>
    </row>
    <row r="34">
      <c r="A34" t="s">
        <v>308</v>
      </c>
      <c r="B34" t="n">
        <v>-0.25</v>
      </c>
      <c r="C34" t="n">
        <v>13</v>
      </c>
      <c r="D34" t="n">
        <v>-0.25</v>
      </c>
      <c r="E34" t="n">
        <v>130</v>
      </c>
    </row>
    <row r="35">
      <c r="A35" t="s">
        <v>307</v>
      </c>
      <c r="B35" t="n">
        <v>-1.75</v>
      </c>
      <c r="C35" t="n">
        <v>7</v>
      </c>
      <c r="D35" t="n">
        <v>-0.25</v>
      </c>
      <c r="E35" t="n">
        <v>161</v>
      </c>
    </row>
    <row r="36">
      <c r="A36" t="s">
        <v>308</v>
      </c>
      <c r="B36" t="n">
        <v>-1</v>
      </c>
      <c r="C36" t="n">
        <v>180</v>
      </c>
      <c r="D36" t="n">
        <v>-0.25</v>
      </c>
      <c r="E36" t="n">
        <v>32</v>
      </c>
    </row>
    <row r="37">
      <c r="A37" t="s">
        <v>307</v>
      </c>
      <c r="B37" t="n">
        <v>-0.5</v>
      </c>
      <c r="C37" t="n">
        <v>17</v>
      </c>
      <c r="D37" t="n">
        <v>0</v>
      </c>
      <c r="E37" t="n">
        <v>144</v>
      </c>
    </row>
    <row r="38">
      <c r="A38" t="s">
        <v>307</v>
      </c>
      <c r="B38" t="n">
        <v>-0.25</v>
      </c>
      <c r="C38" t="n">
        <v>94</v>
      </c>
      <c r="D38" t="n">
        <v>-0.25</v>
      </c>
      <c r="E38" t="n">
        <v>39</v>
      </c>
    </row>
    <row r="39">
      <c r="A39" t="s">
        <v>308</v>
      </c>
      <c r="B39" t="n">
        <v>-0.25</v>
      </c>
      <c r="C39" t="n">
        <v>89</v>
      </c>
      <c r="D39" t="n">
        <v>-0.25</v>
      </c>
      <c r="E39" t="n">
        <v>162</v>
      </c>
    </row>
    <row r="40">
      <c r="A40" t="s">
        <v>307</v>
      </c>
      <c r="B40" t="n">
        <v>-0.75</v>
      </c>
      <c r="C40" t="n">
        <v>171</v>
      </c>
      <c r="D40"/>
      <c r="E40"/>
    </row>
    <row r="41">
      <c r="A41" t="s">
        <v>308</v>
      </c>
      <c r="B41" t="n">
        <v>-1</v>
      </c>
      <c r="C41" t="n">
        <v>178</v>
      </c>
      <c r="D41"/>
      <c r="E41"/>
    </row>
    <row r="42">
      <c r="A42" t="s">
        <v>307</v>
      </c>
      <c r="B42" t="n">
        <v>-0.5</v>
      </c>
      <c r="C42" t="n">
        <v>152</v>
      </c>
      <c r="D42" t="n">
        <v>-0.25</v>
      </c>
      <c r="E42" t="n">
        <v>114</v>
      </c>
    </row>
    <row r="43">
      <c r="A43" t="s">
        <v>308</v>
      </c>
      <c r="B43" t="n">
        <v>-0.5</v>
      </c>
      <c r="C43" t="n">
        <v>43</v>
      </c>
      <c r="D43" t="n">
        <v>0</v>
      </c>
      <c r="E43" t="n">
        <v>90</v>
      </c>
    </row>
    <row r="44">
      <c r="A44" t="s">
        <v>307</v>
      </c>
      <c r="B44" t="n">
        <v>-0.25</v>
      </c>
      <c r="C44" t="n">
        <v>4</v>
      </c>
      <c r="D44" t="n">
        <v>-0.25</v>
      </c>
      <c r="E44" t="n">
        <v>36</v>
      </c>
    </row>
    <row r="45">
      <c r="A45" t="s">
        <v>308</v>
      </c>
      <c r="B45" t="n">
        <v>-0.5</v>
      </c>
      <c r="C45" t="n">
        <v>141</v>
      </c>
      <c r="D45" t="n">
        <v>0</v>
      </c>
      <c r="E45" t="n">
        <v>8</v>
      </c>
    </row>
    <row r="46">
      <c r="A46" t="s">
        <v>308</v>
      </c>
      <c r="B46" t="n">
        <v>-0.75</v>
      </c>
      <c r="C46" t="n">
        <v>4</v>
      </c>
      <c r="D46" t="n">
        <v>-0.25</v>
      </c>
      <c r="E46" t="n">
        <v>7</v>
      </c>
    </row>
    <row r="47">
      <c r="A47" t="s">
        <v>307</v>
      </c>
      <c r="B47" t="n">
        <v>-0.5</v>
      </c>
      <c r="C47" t="n">
        <v>130</v>
      </c>
      <c r="D47"/>
      <c r="E47"/>
    </row>
    <row r="48">
      <c r="A48" t="s">
        <v>308</v>
      </c>
      <c r="B48" t="n">
        <v>-1</v>
      </c>
      <c r="C48" t="n">
        <v>44</v>
      </c>
      <c r="D48"/>
      <c r="E48"/>
    </row>
    <row r="49">
      <c r="A49" t="s">
        <v>307</v>
      </c>
      <c r="B49" t="n">
        <v>-0.25</v>
      </c>
      <c r="C49" t="n">
        <v>177</v>
      </c>
      <c r="D49" t="n">
        <v>0</v>
      </c>
      <c r="E49" t="n">
        <v>125</v>
      </c>
    </row>
    <row r="50">
      <c r="A50" t="s">
        <v>308</v>
      </c>
      <c r="B50" t="n">
        <v>-1</v>
      </c>
      <c r="C50" t="n">
        <v>6</v>
      </c>
      <c r="D50" t="n">
        <v>-0.25</v>
      </c>
      <c r="E50" t="n">
        <v>170</v>
      </c>
    </row>
    <row r="51">
      <c r="A51" t="s">
        <v>307</v>
      </c>
      <c r="B51" t="n">
        <v>-0.75</v>
      </c>
      <c r="C51" t="n">
        <v>178</v>
      </c>
      <c r="D51" t="n">
        <v>-0.25</v>
      </c>
      <c r="E51" t="n">
        <v>140</v>
      </c>
    </row>
    <row r="52">
      <c r="A52" t="s">
        <v>308</v>
      </c>
      <c r="B52" t="n">
        <v>-0.5</v>
      </c>
      <c r="C52" t="n">
        <v>5</v>
      </c>
      <c r="D52" t="n">
        <v>-0.25</v>
      </c>
      <c r="E52" t="n">
        <v>58</v>
      </c>
    </row>
    <row r="53">
      <c r="A53" t="s">
        <v>307</v>
      </c>
      <c r="B53" t="n">
        <v>-0.25</v>
      </c>
      <c r="C53" t="n">
        <v>175</v>
      </c>
      <c r="D53" t="n">
        <v>-0.25</v>
      </c>
      <c r="E53" t="n">
        <v>151</v>
      </c>
    </row>
    <row r="54">
      <c r="A54" t="s">
        <v>308</v>
      </c>
      <c r="B54" t="n">
        <v>-0.25</v>
      </c>
      <c r="C54" t="n">
        <v>15</v>
      </c>
      <c r="D54" t="n">
        <v>-0.25</v>
      </c>
      <c r="E54" t="n">
        <v>31</v>
      </c>
    </row>
    <row r="55">
      <c r="A55" t="s">
        <v>307</v>
      </c>
      <c r="B55" t="n">
        <v>-0.5</v>
      </c>
      <c r="C55" t="n">
        <v>82</v>
      </c>
      <c r="D55" t="n">
        <v>0</v>
      </c>
      <c r="E55" t="n">
        <v>129</v>
      </c>
    </row>
    <row r="56">
      <c r="A56" t="s">
        <v>307</v>
      </c>
      <c r="B56" t="n">
        <v>-0.75</v>
      </c>
      <c r="C56" t="n">
        <v>168</v>
      </c>
      <c r="D56" t="n">
        <v>-0.25</v>
      </c>
      <c r="E56" t="n">
        <v>54</v>
      </c>
    </row>
    <row r="57">
      <c r="A57" t="s">
        <v>308</v>
      </c>
      <c r="B57" t="n">
        <v>-0.75</v>
      </c>
      <c r="C57" t="n">
        <v>16</v>
      </c>
      <c r="D57" t="n">
        <v>-0.25</v>
      </c>
      <c r="E57" t="n">
        <v>137</v>
      </c>
    </row>
    <row r="58">
      <c r="A58" t="s">
        <v>307</v>
      </c>
      <c r="B58" t="n">
        <v>-0.75</v>
      </c>
      <c r="C58" t="n">
        <v>9</v>
      </c>
      <c r="D58" t="n">
        <v>-0.25</v>
      </c>
      <c r="E58" t="n">
        <v>16</v>
      </c>
    </row>
    <row r="59">
      <c r="A59" t="s">
        <v>308</v>
      </c>
      <c r="B59" t="n">
        <v>-0.5</v>
      </c>
      <c r="C59" t="n">
        <v>164</v>
      </c>
      <c r="D59" t="n">
        <v>0</v>
      </c>
      <c r="E59" t="n">
        <v>7</v>
      </c>
    </row>
    <row r="60">
      <c r="A60" t="s">
        <v>308</v>
      </c>
      <c r="B60" t="n">
        <v>-1.25</v>
      </c>
      <c r="C60" t="n">
        <v>158</v>
      </c>
      <c r="D60"/>
      <c r="E60"/>
    </row>
    <row r="61">
      <c r="A61" t="s">
        <v>307</v>
      </c>
      <c r="B61" t="n">
        <v>-0.5</v>
      </c>
      <c r="C61" t="n">
        <v>10</v>
      </c>
      <c r="D61" t="n">
        <v>-0.25</v>
      </c>
      <c r="E61" t="n">
        <v>155</v>
      </c>
    </row>
    <row r="62">
      <c r="A62" t="s">
        <v>308</v>
      </c>
      <c r="B62" t="n">
        <v>-0.5</v>
      </c>
      <c r="C62" t="n">
        <v>154</v>
      </c>
      <c r="D62" t="n">
        <v>-0.25</v>
      </c>
      <c r="E62" t="n">
        <v>30</v>
      </c>
    </row>
    <row r="63">
      <c r="A63" t="s">
        <v>307</v>
      </c>
      <c r="B63" t="n">
        <v>-0.75</v>
      </c>
      <c r="C63" t="n">
        <v>157</v>
      </c>
      <c r="D63"/>
      <c r="E63"/>
    </row>
    <row r="64">
      <c r="A64" t="s">
        <v>308</v>
      </c>
      <c r="B64" t="n">
        <v>-0.5</v>
      </c>
      <c r="C64" t="n">
        <v>20</v>
      </c>
      <c r="D64"/>
      <c r="E64"/>
    </row>
    <row r="65">
      <c r="A65" t="s">
        <v>307</v>
      </c>
      <c r="B65" t="n">
        <v>-0.75</v>
      </c>
      <c r="C65" t="n">
        <v>170</v>
      </c>
      <c r="D65" t="n">
        <v>-0.25</v>
      </c>
      <c r="E65" t="n">
        <v>129</v>
      </c>
    </row>
    <row r="66">
      <c r="A66" t="s">
        <v>308</v>
      </c>
      <c r="B66" t="n">
        <v>-0.75</v>
      </c>
      <c r="C66" t="n">
        <v>6</v>
      </c>
      <c r="D66" t="n">
        <v>0</v>
      </c>
      <c r="E66" t="n">
        <v>106</v>
      </c>
    </row>
    <row r="67">
      <c r="A67" t="s">
        <v>307</v>
      </c>
      <c r="B67" t="n">
        <v>-0.5</v>
      </c>
      <c r="C67" t="n">
        <v>8</v>
      </c>
      <c r="D67" t="n">
        <v>-0.25</v>
      </c>
      <c r="E67" t="n">
        <v>167</v>
      </c>
    </row>
    <row r="68">
      <c r="A68" t="s">
        <v>308</v>
      </c>
      <c r="B68" t="n">
        <v>-0.25</v>
      </c>
      <c r="C68" t="n">
        <v>175</v>
      </c>
      <c r="D68" t="n">
        <v>-0.25</v>
      </c>
      <c r="E68" t="n">
        <v>45</v>
      </c>
    </row>
    <row r="69">
      <c r="A69" t="s">
        <v>307</v>
      </c>
      <c r="B69" t="n">
        <v>-1.25</v>
      </c>
      <c r="C69" t="n">
        <v>6</v>
      </c>
      <c r="D69" t="n">
        <v>-0.75</v>
      </c>
      <c r="E69" t="n">
        <v>50</v>
      </c>
    </row>
    <row r="70">
      <c r="A70" t="s">
        <v>307</v>
      </c>
      <c r="B70" t="n">
        <v>-1.25</v>
      </c>
      <c r="C70" t="n">
        <v>78</v>
      </c>
      <c r="D70" t="n">
        <v>-0.5</v>
      </c>
      <c r="E70" t="n">
        <v>108</v>
      </c>
    </row>
    <row r="71">
      <c r="A71" t="s">
        <v>308</v>
      </c>
      <c r="B71" t="n">
        <v>-0.75</v>
      </c>
      <c r="C71" t="n">
        <v>93</v>
      </c>
      <c r="D71" t="n">
        <v>-0.25</v>
      </c>
      <c r="E71" t="n">
        <v>66</v>
      </c>
    </row>
    <row r="72">
      <c r="A72" t="s">
        <v>307</v>
      </c>
      <c r="B72" t="n">
        <v>-0.5</v>
      </c>
      <c r="C72" t="n">
        <v>170</v>
      </c>
      <c r="D72"/>
      <c r="E72"/>
    </row>
    <row r="73">
      <c r="A73" t="s">
        <v>308</v>
      </c>
      <c r="B73" t="n">
        <v>-0.25</v>
      </c>
      <c r="C73" t="n">
        <v>14</v>
      </c>
      <c r="D73"/>
      <c r="E73"/>
    </row>
    <row r="74">
      <c r="A74" t="s">
        <v>307</v>
      </c>
      <c r="B74" t="n">
        <v>-1.25</v>
      </c>
      <c r="C74" t="n">
        <v>98</v>
      </c>
      <c r="D74" t="n">
        <v>0</v>
      </c>
      <c r="E74" t="n">
        <v>63</v>
      </c>
    </row>
    <row r="75">
      <c r="A75" t="s">
        <v>308</v>
      </c>
      <c r="B75" t="n">
        <v>-0.5</v>
      </c>
      <c r="C75" t="n">
        <v>81</v>
      </c>
      <c r="D75" t="n">
        <v>-0.25</v>
      </c>
      <c r="E75" t="n">
        <v>47</v>
      </c>
    </row>
    <row r="76">
      <c r="A76" t="s">
        <v>307</v>
      </c>
      <c r="B76" t="n">
        <v>-0.5</v>
      </c>
      <c r="C76" t="n">
        <v>160</v>
      </c>
      <c r="D76" t="n">
        <v>-0.25</v>
      </c>
      <c r="E76" t="n">
        <v>73</v>
      </c>
    </row>
    <row r="77">
      <c r="A77" t="s">
        <v>308</v>
      </c>
      <c r="B77" t="n">
        <v>-1</v>
      </c>
      <c r="C77" t="n">
        <v>25</v>
      </c>
      <c r="D77" t="n">
        <v>-0.5</v>
      </c>
      <c r="E77" t="n">
        <v>117</v>
      </c>
    </row>
    <row r="78">
      <c r="A78" t="s">
        <v>307</v>
      </c>
      <c r="B78" t="n">
        <v>-0.75</v>
      </c>
      <c r="C78" t="n">
        <v>125</v>
      </c>
      <c r="D78" t="n">
        <v>-0.5</v>
      </c>
      <c r="E78" t="n">
        <v>96</v>
      </c>
    </row>
    <row r="79">
      <c r="A79" t="s">
        <v>308</v>
      </c>
      <c r="B79" t="n">
        <v>-0.5</v>
      </c>
      <c r="C79" t="n">
        <v>69</v>
      </c>
      <c r="D79" t="n">
        <v>0</v>
      </c>
      <c r="E79" t="n">
        <v>66</v>
      </c>
    </row>
    <row r="80">
      <c r="A80" t="s">
        <v>307</v>
      </c>
      <c r="B80" t="n">
        <v>-1.75</v>
      </c>
      <c r="C80" t="n">
        <v>6</v>
      </c>
      <c r="D80" t="n">
        <v>-0.25</v>
      </c>
      <c r="E80" t="n">
        <v>112</v>
      </c>
    </row>
    <row r="81">
      <c r="A81" t="s">
        <v>308</v>
      </c>
      <c r="B81" t="n">
        <v>-1.25</v>
      </c>
      <c r="C81" t="n">
        <v>8</v>
      </c>
      <c r="D81" t="n">
        <v>-0.5</v>
      </c>
      <c r="E81" t="n">
        <v>126</v>
      </c>
    </row>
    <row r="82">
      <c r="A82" t="s">
        <v>307</v>
      </c>
      <c r="B82" t="n">
        <v>-1</v>
      </c>
      <c r="C82" t="n">
        <v>73</v>
      </c>
      <c r="D82" t="n">
        <v>-0.25</v>
      </c>
      <c r="E82" t="n">
        <v>22</v>
      </c>
    </row>
    <row r="83">
      <c r="A83" t="s">
        <v>307</v>
      </c>
      <c r="B83" t="n">
        <v>-1.25</v>
      </c>
      <c r="C83" t="n">
        <v>168</v>
      </c>
      <c r="D83" t="n">
        <v>-0.25</v>
      </c>
      <c r="E83" t="n">
        <v>15</v>
      </c>
    </row>
    <row r="84">
      <c r="A84" t="s">
        <v>307</v>
      </c>
      <c r="B84" t="n">
        <v>-0.75</v>
      </c>
      <c r="C84" t="n">
        <v>50</v>
      </c>
      <c r="D84" t="n">
        <v>-0.5</v>
      </c>
      <c r="E84" t="n">
        <v>83</v>
      </c>
    </row>
    <row r="85">
      <c r="A85" t="s">
        <v>308</v>
      </c>
      <c r="B85" t="n">
        <v>-1.25</v>
      </c>
      <c r="C85" t="n">
        <v>132</v>
      </c>
      <c r="D85" t="n">
        <v>-0.25</v>
      </c>
      <c r="E85" t="n">
        <v>102</v>
      </c>
    </row>
    <row r="86">
      <c r="A86" t="s">
        <v>307</v>
      </c>
      <c r="B86" t="n">
        <v>-1.5</v>
      </c>
      <c r="C86" t="n">
        <v>177</v>
      </c>
      <c r="D86" t="n">
        <v>-0.25</v>
      </c>
      <c r="E86" t="n">
        <v>129</v>
      </c>
    </row>
    <row r="87">
      <c r="A87" t="s">
        <v>308</v>
      </c>
      <c r="B87" t="n">
        <v>-1.5</v>
      </c>
      <c r="C87" t="n">
        <v>153</v>
      </c>
      <c r="D87" t="n">
        <v>-0.25</v>
      </c>
      <c r="E87" t="n">
        <v>115</v>
      </c>
    </row>
    <row r="88">
      <c r="A88" t="s">
        <v>307</v>
      </c>
      <c r="B88" t="n">
        <v>-0.5</v>
      </c>
      <c r="C88" t="n">
        <v>140</v>
      </c>
      <c r="D88" t="n">
        <v>0</v>
      </c>
      <c r="E88" t="n">
        <v>150</v>
      </c>
    </row>
    <row r="89">
      <c r="A89" t="s">
        <v>308</v>
      </c>
      <c r="B89" t="n">
        <v>-0.75</v>
      </c>
      <c r="C89" t="n">
        <v>41</v>
      </c>
      <c r="D89" t="n">
        <v>0</v>
      </c>
      <c r="E89" t="n">
        <v>140</v>
      </c>
    </row>
    <row r="90">
      <c r="A90" t="s">
        <v>307</v>
      </c>
      <c r="B90" t="n">
        <v>-1.25</v>
      </c>
      <c r="C90" t="n">
        <v>2</v>
      </c>
      <c r="D90" t="n">
        <v>-0.25</v>
      </c>
      <c r="E90" t="n">
        <v>58</v>
      </c>
    </row>
    <row r="91">
      <c r="A91" t="s">
        <v>308</v>
      </c>
      <c r="B91" t="n">
        <v>-1.5</v>
      </c>
      <c r="C91" t="n">
        <v>165</v>
      </c>
      <c r="D91" t="n">
        <v>-0.25</v>
      </c>
      <c r="E91" t="n">
        <v>166</v>
      </c>
    </row>
    <row r="92">
      <c r="A92" t="s">
        <v>308</v>
      </c>
      <c r="B92" t="n">
        <v>-0.25</v>
      </c>
      <c r="C92" t="n">
        <v>90</v>
      </c>
      <c r="D92" t="n">
        <v>-0.25</v>
      </c>
      <c r="E92" t="n">
        <v>147</v>
      </c>
    </row>
    <row r="93">
      <c r="A93" t="s">
        <v>307</v>
      </c>
      <c r="B93" t="n">
        <v>-1</v>
      </c>
      <c r="C93" t="n">
        <v>82</v>
      </c>
      <c r="D93" t="n">
        <v>-0.25</v>
      </c>
      <c r="E93" t="n">
        <v>99</v>
      </c>
    </row>
    <row r="94">
      <c r="A94" t="s">
        <v>308</v>
      </c>
      <c r="B94" t="n">
        <v>-1</v>
      </c>
      <c r="C94" t="n">
        <v>80</v>
      </c>
      <c r="D94" t="n">
        <v>-0.5</v>
      </c>
      <c r="E94" t="n">
        <v>36</v>
      </c>
    </row>
    <row r="95">
      <c r="A95" t="s">
        <v>308</v>
      </c>
      <c r="B95" t="n">
        <v>-0.5</v>
      </c>
      <c r="C95" t="n">
        <v>165</v>
      </c>
      <c r="D95" t="n">
        <v>-0.25</v>
      </c>
      <c r="E95" t="n">
        <v>155</v>
      </c>
    </row>
    <row r="96">
      <c r="A96" t="s">
        <v>308</v>
      </c>
      <c r="B96" t="n">
        <v>-1.25</v>
      </c>
      <c r="C96" t="n">
        <v>5</v>
      </c>
      <c r="D96" t="n">
        <v>-0.25</v>
      </c>
      <c r="E96" t="n">
        <v>135</v>
      </c>
    </row>
    <row r="97">
      <c r="A97" t="s">
        <v>308</v>
      </c>
      <c r="B97" t="n">
        <v>-0.5</v>
      </c>
      <c r="C97" t="n">
        <v>14</v>
      </c>
      <c r="D97" t="n">
        <v>-0.25</v>
      </c>
      <c r="E97" t="n">
        <v>144</v>
      </c>
    </row>
    <row r="98">
      <c r="A98" t="s">
        <v>307</v>
      </c>
      <c r="B98" t="n">
        <v>-0.75</v>
      </c>
      <c r="C98" t="n">
        <v>160</v>
      </c>
      <c r="D98" t="n">
        <v>-0.25</v>
      </c>
      <c r="E98" t="n">
        <v>170</v>
      </c>
    </row>
    <row r="99">
      <c r="A99" t="s">
        <v>308</v>
      </c>
      <c r="B99" t="n">
        <v>-0.75</v>
      </c>
      <c r="C99" t="n">
        <v>21</v>
      </c>
      <c r="D99" t="n">
        <v>-0.25</v>
      </c>
      <c r="E99" t="n">
        <v>177</v>
      </c>
    </row>
    <row r="100">
      <c r="A100" t="s">
        <v>307</v>
      </c>
      <c r="B100" t="n">
        <v>-0.75</v>
      </c>
      <c r="C100" t="n">
        <v>21</v>
      </c>
      <c r="D100" t="n">
        <v>0</v>
      </c>
      <c r="E100" t="n">
        <v>180</v>
      </c>
    </row>
    <row r="101">
      <c r="A101" t="s">
        <v>308</v>
      </c>
      <c r="B101" t="n">
        <v>-0.5</v>
      </c>
      <c r="C101" t="n">
        <v>166</v>
      </c>
      <c r="D101" t="n">
        <v>-0.25</v>
      </c>
      <c r="E101" t="n">
        <v>26</v>
      </c>
    </row>
    <row r="102">
      <c r="A102" t="s">
        <v>307</v>
      </c>
      <c r="B102" t="n">
        <v>-0.75</v>
      </c>
      <c r="C102" t="n">
        <v>43</v>
      </c>
      <c r="D102" t="n">
        <v>-0.25</v>
      </c>
      <c r="E102" t="n">
        <v>180</v>
      </c>
    </row>
    <row r="103">
      <c r="A103" t="s">
        <v>308</v>
      </c>
      <c r="B103" t="n">
        <v>-0.5</v>
      </c>
      <c r="C103" t="n">
        <v>141</v>
      </c>
      <c r="D103" t="n">
        <v>0</v>
      </c>
      <c r="E103" t="n">
        <v>162</v>
      </c>
    </row>
    <row r="104">
      <c r="A104" t="s">
        <v>308</v>
      </c>
      <c r="B104" t="n">
        <v>0</v>
      </c>
      <c r="C104" t="n">
        <v>14</v>
      </c>
      <c r="D104" t="n">
        <v>-0.25</v>
      </c>
      <c r="E104" t="n">
        <v>29</v>
      </c>
    </row>
    <row r="105">
      <c r="A105" t="s">
        <v>308</v>
      </c>
      <c r="B105" t="n">
        <v>-0.25</v>
      </c>
      <c r="C105" t="n">
        <v>23</v>
      </c>
      <c r="D105" t="n">
        <v>-0.25</v>
      </c>
      <c r="E105" t="n">
        <v>43</v>
      </c>
    </row>
    <row r="106">
      <c r="A106" t="s">
        <v>307</v>
      </c>
      <c r="B106" t="n">
        <v>-0.75</v>
      </c>
      <c r="C106" t="n">
        <v>163</v>
      </c>
      <c r="D106" t="n">
        <v>-0.25</v>
      </c>
      <c r="E106" t="n">
        <v>153</v>
      </c>
    </row>
    <row r="107">
      <c r="A107" t="s">
        <v>308</v>
      </c>
      <c r="B107" t="n">
        <v>-0.75</v>
      </c>
      <c r="C107" t="n">
        <v>5</v>
      </c>
      <c r="D107" t="n">
        <v>-0.25</v>
      </c>
      <c r="E107" t="n">
        <v>162</v>
      </c>
    </row>
    <row r="108">
      <c r="A108" t="s">
        <v>307</v>
      </c>
      <c r="B108" t="n">
        <v>-1.5</v>
      </c>
      <c r="C108" t="n">
        <v>124</v>
      </c>
      <c r="D108" t="n">
        <v>-0.5</v>
      </c>
      <c r="E108" t="n">
        <v>105</v>
      </c>
    </row>
    <row r="109">
      <c r="A109" t="s">
        <v>308</v>
      </c>
      <c r="B109" t="n">
        <v>-1</v>
      </c>
      <c r="C109" t="n">
        <v>55</v>
      </c>
      <c r="D109" t="n">
        <v>-0.25</v>
      </c>
      <c r="E109" t="n">
        <v>58</v>
      </c>
    </row>
    <row r="110">
      <c r="A110" t="s">
        <v>307</v>
      </c>
      <c r="B110" t="n">
        <v>-0.25</v>
      </c>
      <c r="C110" t="n">
        <v>4</v>
      </c>
      <c r="D110" t="n">
        <v>0</v>
      </c>
      <c r="E110" t="n">
        <v>154</v>
      </c>
    </row>
    <row r="111">
      <c r="A111" t="s">
        <v>307</v>
      </c>
      <c r="B111" t="n">
        <v>-0.5</v>
      </c>
      <c r="C111" t="n">
        <v>95</v>
      </c>
      <c r="D111" t="n">
        <v>-0.25</v>
      </c>
      <c r="E111" t="n">
        <v>62</v>
      </c>
    </row>
    <row r="112">
      <c r="A112" t="s">
        <v>308</v>
      </c>
      <c r="B112" t="n">
        <v>-0.25</v>
      </c>
      <c r="C112" t="n">
        <v>85</v>
      </c>
      <c r="D112" t="n">
        <v>0</v>
      </c>
      <c r="E112" t="n">
        <v>142</v>
      </c>
    </row>
    <row r="113">
      <c r="A113" t="s">
        <v>307</v>
      </c>
      <c r="B113" t="n">
        <v>-0.75</v>
      </c>
      <c r="C113" t="n">
        <v>129</v>
      </c>
      <c r="D113" t="n">
        <v>-0.25</v>
      </c>
      <c r="E113" t="n">
        <v>99</v>
      </c>
    </row>
    <row r="114">
      <c r="A114" t="s">
        <v>308</v>
      </c>
      <c r="B114" t="n">
        <v>-0.75</v>
      </c>
      <c r="C114" t="n">
        <v>64</v>
      </c>
      <c r="D114" t="n">
        <v>-0.25</v>
      </c>
      <c r="E114" t="n">
        <v>67</v>
      </c>
    </row>
    <row r="115">
      <c r="A115" t="s">
        <v>307</v>
      </c>
      <c r="B115" t="n">
        <v>-0.5</v>
      </c>
      <c r="C115" t="n">
        <v>5</v>
      </c>
      <c r="D115" t="n">
        <v>0</v>
      </c>
      <c r="E115" t="n">
        <v>10</v>
      </c>
    </row>
    <row r="116">
      <c r="A116" t="s">
        <v>308</v>
      </c>
      <c r="B116" t="n">
        <v>-1.25</v>
      </c>
      <c r="C116" t="n">
        <v>6</v>
      </c>
      <c r="D116" t="n">
        <v>-0.25</v>
      </c>
      <c r="E116" t="n">
        <v>2</v>
      </c>
    </row>
    <row r="117">
      <c r="A117" t="s">
        <v>307</v>
      </c>
      <c r="B117" t="n">
        <v>-0.5</v>
      </c>
      <c r="C117" t="n">
        <v>101</v>
      </c>
      <c r="D117" t="n">
        <v>0</v>
      </c>
      <c r="E117" t="n">
        <v>166</v>
      </c>
    </row>
    <row r="118">
      <c r="A118" t="s">
        <v>308</v>
      </c>
      <c r="B118" t="n">
        <v>-0.5</v>
      </c>
      <c r="C118" t="n">
        <v>78</v>
      </c>
      <c r="D118" t="n">
        <v>-0.25</v>
      </c>
      <c r="E118" t="n">
        <v>51</v>
      </c>
    </row>
    <row r="119">
      <c r="A119" t="s">
        <v>307</v>
      </c>
      <c r="B119" t="n">
        <v>-1.5</v>
      </c>
      <c r="C119" t="n">
        <v>160</v>
      </c>
      <c r="D119" t="n">
        <v>-0.25</v>
      </c>
      <c r="E119" t="n">
        <v>2</v>
      </c>
    </row>
    <row r="120">
      <c r="A120" t="s">
        <v>308</v>
      </c>
      <c r="B120" t="n">
        <v>-0.5</v>
      </c>
      <c r="C120" t="n">
        <v>11</v>
      </c>
      <c r="D120" t="n">
        <v>-0.25</v>
      </c>
      <c r="E120" t="n">
        <v>64</v>
      </c>
    </row>
    <row r="121">
      <c r="A121" t="s">
        <v>308</v>
      </c>
      <c r="B121" t="n">
        <v>-0.25</v>
      </c>
      <c r="C121" t="n">
        <v>96</v>
      </c>
      <c r="D121" t="n">
        <v>0</v>
      </c>
      <c r="E121" t="n">
        <v>62</v>
      </c>
    </row>
    <row r="122">
      <c r="A122" t="s">
        <v>307</v>
      </c>
      <c r="B122" t="n">
        <v>-0.5</v>
      </c>
      <c r="C122" t="n">
        <v>72</v>
      </c>
      <c r="D122" t="n">
        <v>-0.25</v>
      </c>
      <c r="E122" t="n">
        <v>75</v>
      </c>
    </row>
    <row r="123">
      <c r="A123" t="s">
        <v>308</v>
      </c>
      <c r="B123" t="n">
        <v>-0.5</v>
      </c>
      <c r="C123" t="n">
        <v>111</v>
      </c>
      <c r="D123" t="n">
        <v>-0.25</v>
      </c>
      <c r="E123" t="n">
        <v>120</v>
      </c>
    </row>
    <row r="124">
      <c r="A124" t="s">
        <v>308</v>
      </c>
      <c r="B124" t="n">
        <v>-0.25</v>
      </c>
      <c r="C124" t="n">
        <v>1</v>
      </c>
      <c r="D124" t="n">
        <v>-0.25</v>
      </c>
      <c r="E124" t="n">
        <v>107</v>
      </c>
    </row>
    <row r="125">
      <c r="A125" t="s">
        <v>307</v>
      </c>
      <c r="B125" t="n">
        <v>-0.5</v>
      </c>
      <c r="C125" t="n">
        <v>175</v>
      </c>
      <c r="D125" t="n">
        <v>-0.25</v>
      </c>
      <c r="E125" t="n">
        <v>7</v>
      </c>
    </row>
    <row r="126">
      <c r="A126" t="s">
        <v>308</v>
      </c>
      <c r="B126" t="n">
        <v>-0.25</v>
      </c>
      <c r="C126" t="n">
        <v>2</v>
      </c>
      <c r="D126" t="n">
        <v>-0.25</v>
      </c>
      <c r="E126" t="n">
        <v>176</v>
      </c>
    </row>
    <row r="127">
      <c r="A127" t="s">
        <v>307</v>
      </c>
      <c r="B127" t="n">
        <v>-0.75</v>
      </c>
      <c r="C127" t="n">
        <v>94</v>
      </c>
      <c r="D127" t="n">
        <v>-0.25</v>
      </c>
      <c r="E127" t="n">
        <v>132</v>
      </c>
    </row>
    <row r="128">
      <c r="A128" t="s">
        <v>308</v>
      </c>
      <c r="B128" t="n">
        <v>-1</v>
      </c>
      <c r="C128" t="n">
        <v>75</v>
      </c>
      <c r="D128" t="n">
        <v>-0.25</v>
      </c>
      <c r="E128" t="n">
        <v>31</v>
      </c>
    </row>
    <row r="129">
      <c r="A129" t="s">
        <v>307</v>
      </c>
      <c r="B129" t="n">
        <v>-0.75</v>
      </c>
      <c r="C129" t="n">
        <v>93</v>
      </c>
      <c r="D129" t="n">
        <v>-0.25</v>
      </c>
      <c r="E129" t="n">
        <v>111</v>
      </c>
    </row>
    <row r="130">
      <c r="A130" t="s">
        <v>308</v>
      </c>
      <c r="B130" t="n">
        <v>-0.5</v>
      </c>
      <c r="C130" t="n">
        <v>80</v>
      </c>
      <c r="D130" t="n">
        <v>-0.25</v>
      </c>
      <c r="E130" t="n">
        <v>83</v>
      </c>
    </row>
    <row r="131">
      <c r="A131" t="s">
        <v>307</v>
      </c>
      <c r="B131" t="n">
        <v>-1.5</v>
      </c>
      <c r="C131" t="n">
        <v>173</v>
      </c>
      <c r="D131" t="n">
        <v>-0.75</v>
      </c>
      <c r="E131" t="n">
        <v>148</v>
      </c>
    </row>
    <row r="132">
      <c r="A132" t="s">
        <v>308</v>
      </c>
      <c r="B132" t="n">
        <v>-1</v>
      </c>
      <c r="C132" t="n">
        <v>19</v>
      </c>
      <c r="D132" t="n">
        <v>-0.25</v>
      </c>
      <c r="E132" t="n">
        <v>32</v>
      </c>
    </row>
    <row r="133">
      <c r="A133" t="s">
        <v>307</v>
      </c>
      <c r="B133" t="n">
        <v>-1</v>
      </c>
      <c r="C133" t="n">
        <v>168</v>
      </c>
      <c r="D133" t="n">
        <v>-0.25</v>
      </c>
      <c r="E133" t="n">
        <v>176</v>
      </c>
    </row>
    <row r="134">
      <c r="A134" t="s">
        <v>308</v>
      </c>
      <c r="B134" t="n">
        <v>-0.75</v>
      </c>
      <c r="C134" t="n">
        <v>8</v>
      </c>
      <c r="D134" t="n">
        <v>-0.25</v>
      </c>
      <c r="E134" t="n">
        <v>40</v>
      </c>
    </row>
    <row r="135">
      <c r="A135" t="s">
        <v>307</v>
      </c>
      <c r="B135" t="n">
        <v>-1.25</v>
      </c>
      <c r="C135" t="n">
        <v>6</v>
      </c>
      <c r="D135" t="n">
        <v>-0.25</v>
      </c>
      <c r="E135" t="n">
        <v>125</v>
      </c>
    </row>
    <row r="136">
      <c r="A136" t="s">
        <v>307</v>
      </c>
      <c r="B136" t="n">
        <v>-0.75</v>
      </c>
      <c r="C136" t="n">
        <v>178</v>
      </c>
      <c r="D136" t="n">
        <v>-0.5</v>
      </c>
      <c r="E136" t="n">
        <v>22</v>
      </c>
    </row>
    <row r="137">
      <c r="A137" t="s">
        <v>308</v>
      </c>
      <c r="B137" t="n">
        <v>-0.25</v>
      </c>
      <c r="C137" t="n">
        <v>180</v>
      </c>
      <c r="D137" t="n">
        <v>-0.25</v>
      </c>
      <c r="E137" t="n">
        <v>165</v>
      </c>
    </row>
    <row r="138">
      <c r="A138" t="s">
        <v>307</v>
      </c>
      <c r="B138" t="n">
        <v>-0.25</v>
      </c>
      <c r="C138" t="n">
        <v>64</v>
      </c>
      <c r="D138" t="n">
        <v>-0.25</v>
      </c>
      <c r="E138" t="n">
        <v>31</v>
      </c>
    </row>
    <row r="139">
      <c r="A139" t="s">
        <v>308</v>
      </c>
      <c r="B139" t="n">
        <v>-1</v>
      </c>
      <c r="C139" t="n">
        <v>127</v>
      </c>
      <c r="D139" t="n">
        <v>-0.5</v>
      </c>
      <c r="E139" t="n">
        <v>150</v>
      </c>
    </row>
    <row r="140">
      <c r="A140" t="s">
        <v>307</v>
      </c>
      <c r="B140" t="n">
        <v>-1.25</v>
      </c>
      <c r="C140" t="n">
        <v>2</v>
      </c>
      <c r="D140" t="n">
        <v>-0.25</v>
      </c>
      <c r="E140" t="n">
        <v>2</v>
      </c>
    </row>
    <row r="141">
      <c r="A141" t="s">
        <v>308</v>
      </c>
      <c r="B141" t="n">
        <v>-1.25</v>
      </c>
      <c r="C141" t="n">
        <v>163</v>
      </c>
      <c r="D141" t="n">
        <v>-0.25</v>
      </c>
      <c r="E141" t="n">
        <v>147</v>
      </c>
    </row>
    <row r="142">
      <c r="A142" t="s">
        <v>307</v>
      </c>
      <c r="B142" t="n">
        <v>-0.25</v>
      </c>
      <c r="C142" t="n">
        <v>172</v>
      </c>
      <c r="D142" t="n">
        <v>-0.25</v>
      </c>
      <c r="E142" t="n">
        <v>135</v>
      </c>
    </row>
    <row r="143">
      <c r="A143" t="s">
        <v>308</v>
      </c>
      <c r="B143" t="n">
        <v>-0.5</v>
      </c>
      <c r="C143" t="n">
        <v>3</v>
      </c>
      <c r="D143" t="n">
        <v>-0.25</v>
      </c>
      <c r="E143" t="n">
        <v>32</v>
      </c>
    </row>
    <row r="144">
      <c r="A144" t="s">
        <v>307</v>
      </c>
      <c r="B144" t="n">
        <v>-1</v>
      </c>
      <c r="C144" t="n">
        <v>14</v>
      </c>
      <c r="D144" t="n">
        <v>0</v>
      </c>
      <c r="E144" t="n">
        <v>171</v>
      </c>
    </row>
    <row r="145">
      <c r="A145" t="s">
        <v>307</v>
      </c>
      <c r="B145" t="n">
        <v>-0.75</v>
      </c>
      <c r="C145" t="n">
        <v>91</v>
      </c>
      <c r="D145" t="n">
        <v>-0.25</v>
      </c>
      <c r="E145" t="n">
        <v>49</v>
      </c>
    </row>
    <row r="146">
      <c r="A146" t="s">
        <v>307</v>
      </c>
      <c r="B146" t="n">
        <v>-0.25</v>
      </c>
      <c r="C146" t="n">
        <v>9</v>
      </c>
      <c r="D146" t="n">
        <v>0</v>
      </c>
      <c r="E146" t="n">
        <v>114</v>
      </c>
    </row>
    <row r="147">
      <c r="A147" t="s">
        <v>308</v>
      </c>
      <c r="B147" t="n">
        <v>-0.5</v>
      </c>
      <c r="C147" t="n">
        <v>3</v>
      </c>
      <c r="D147" t="n">
        <v>-0.25</v>
      </c>
      <c r="E147" t="n">
        <v>48</v>
      </c>
    </row>
    <row r="148">
      <c r="A148" t="s">
        <v>307</v>
      </c>
      <c r="B148" t="n">
        <v>-0.25</v>
      </c>
      <c r="C148" t="n">
        <v>21</v>
      </c>
      <c r="D148" t="n">
        <v>-0.25</v>
      </c>
      <c r="E148" t="n">
        <v>108</v>
      </c>
    </row>
    <row r="149">
      <c r="A149" t="s">
        <v>308</v>
      </c>
      <c r="B149" t="n">
        <v>-0.25</v>
      </c>
      <c r="C149" t="n">
        <v>146</v>
      </c>
      <c r="D149" t="n">
        <v>-0.25</v>
      </c>
      <c r="E149" t="n">
        <v>75</v>
      </c>
    </row>
    <row r="150">
      <c r="A150" t="s">
        <v>307</v>
      </c>
      <c r="B150" t="n">
        <v>-0.75</v>
      </c>
      <c r="C150" t="n">
        <v>89</v>
      </c>
      <c r="D150" t="n">
        <v>0</v>
      </c>
      <c r="E150" t="n">
        <v>23</v>
      </c>
    </row>
    <row r="151">
      <c r="A151" t="s">
        <v>308</v>
      </c>
      <c r="B151" t="n">
        <v>-0.5</v>
      </c>
      <c r="C151" t="n">
        <v>102</v>
      </c>
      <c r="D151" t="n">
        <v>-0.25</v>
      </c>
      <c r="E151" t="n">
        <v>51</v>
      </c>
    </row>
    <row r="152">
      <c r="A152" t="s">
        <v>307</v>
      </c>
      <c r="B152" t="n">
        <v>-0.25</v>
      </c>
      <c r="C152" t="n">
        <v>180</v>
      </c>
      <c r="D152" t="n">
        <v>0</v>
      </c>
      <c r="E152" t="n">
        <v>167</v>
      </c>
    </row>
    <row r="153">
      <c r="A153" t="s">
        <v>308</v>
      </c>
      <c r="B153" t="n">
        <v>-0.5</v>
      </c>
      <c r="C153" t="n">
        <v>19</v>
      </c>
      <c r="D153" t="n">
        <v>0</v>
      </c>
      <c r="E153" t="n">
        <v>163</v>
      </c>
    </row>
    <row r="154">
      <c r="A154" t="s">
        <v>307</v>
      </c>
      <c r="B154" t="n">
        <v>-2.75</v>
      </c>
      <c r="C154" t="n">
        <v>172</v>
      </c>
      <c r="D154"/>
      <c r="E154"/>
    </row>
    <row r="155">
      <c r="A155" t="s">
        <v>308</v>
      </c>
      <c r="B155" t="n">
        <v>-0.5</v>
      </c>
      <c r="C155" t="n">
        <v>85</v>
      </c>
      <c r="D155" t="n">
        <v>-0.25</v>
      </c>
      <c r="E155" t="n">
        <v>110</v>
      </c>
    </row>
    <row r="156">
      <c r="A156" t="s">
        <v>307</v>
      </c>
      <c r="B156" t="n">
        <v>-1</v>
      </c>
      <c r="C156" t="n">
        <v>95</v>
      </c>
      <c r="D156" t="n">
        <v>0</v>
      </c>
      <c r="E156" t="n">
        <v>32</v>
      </c>
    </row>
    <row r="157">
      <c r="A157" t="s">
        <v>307</v>
      </c>
      <c r="B157" t="n">
        <v>-0.75</v>
      </c>
      <c r="C157" t="n">
        <v>104</v>
      </c>
      <c r="D157" t="n">
        <v>-0.25</v>
      </c>
      <c r="E157" t="n">
        <v>84</v>
      </c>
    </row>
    <row r="158">
      <c r="A158" t="s">
        <v>308</v>
      </c>
      <c r="B158" t="n">
        <v>-0.5</v>
      </c>
      <c r="C158" t="n">
        <v>77</v>
      </c>
      <c r="D158" t="n">
        <v>-0.25</v>
      </c>
      <c r="E158" t="n">
        <v>48</v>
      </c>
    </row>
    <row r="159">
      <c r="A159" t="s">
        <v>307</v>
      </c>
      <c r="B159" t="n">
        <v>-1.75</v>
      </c>
      <c r="C159" t="n">
        <v>65</v>
      </c>
      <c r="D159" t="n">
        <v>-0.25</v>
      </c>
      <c r="E159" t="n">
        <v>9</v>
      </c>
    </row>
    <row r="160">
      <c r="A160" t="s">
        <v>308</v>
      </c>
      <c r="B160" t="n">
        <v>-1.25</v>
      </c>
      <c r="C160" t="n">
        <v>107</v>
      </c>
      <c r="D160" t="n">
        <v>-0.25</v>
      </c>
      <c r="E160" t="n">
        <v>134</v>
      </c>
    </row>
    <row r="161">
      <c r="A161" t="s">
        <v>307</v>
      </c>
      <c r="B161" t="n">
        <v>-0.75</v>
      </c>
      <c r="C161" t="n">
        <v>12</v>
      </c>
      <c r="D161"/>
      <c r="E161"/>
    </row>
    <row r="162">
      <c r="A162" t="s">
        <v>308</v>
      </c>
      <c r="B162" t="n">
        <v>-0.75</v>
      </c>
      <c r="C162" t="n">
        <v>5</v>
      </c>
      <c r="D162"/>
      <c r="E162"/>
    </row>
    <row r="163">
      <c r="A163" t="s">
        <v>307</v>
      </c>
      <c r="B163" t="n">
        <v>-1.25</v>
      </c>
      <c r="C163" t="n">
        <v>22</v>
      </c>
      <c r="D163" t="n">
        <v>-0.25</v>
      </c>
      <c r="E163" t="n">
        <v>156</v>
      </c>
    </row>
    <row r="164">
      <c r="A164" t="s">
        <v>308</v>
      </c>
      <c r="B164" t="n">
        <v>-1.5</v>
      </c>
      <c r="C164" t="n">
        <v>172</v>
      </c>
      <c r="D164" t="n">
        <v>-0.25</v>
      </c>
      <c r="E164" t="n">
        <v>137</v>
      </c>
    </row>
  </sheetData>
  <pageMargins left="0.7" right="0.7" top="0.75" bottom="0.75" header="0.3" footer="0.3"/>
  <pageSetup paperSize="9" orientation="portrait" horizontalDpi="300" verticalDpi="300" r:id="rId2"/>
  <tableParts count="1">
    <tablePart r:id="rId4"/>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302</v>
      </c>
      <c r="B1" t="s">
        <v>303</v>
      </c>
      <c r="C1" t="s">
        <v>304</v>
      </c>
      <c r="D1" t="s">
        <v>305</v>
      </c>
      <c r="E1" t="s">
        <v>306</v>
      </c>
    </row>
    <row r="2">
      <c r="A2" t="s">
        <v>307</v>
      </c>
      <c r="B2" t="n">
        <v>-0.5</v>
      </c>
      <c r="C2" t="n">
        <v>170</v>
      </c>
      <c r="D2"/>
      <c r="E2"/>
    </row>
    <row r="3">
      <c r="A3" t="s">
        <v>308</v>
      </c>
      <c r="B3" t="n">
        <v>-0.5</v>
      </c>
      <c r="C3" t="n">
        <v>13</v>
      </c>
      <c r="D3"/>
      <c r="E3"/>
    </row>
    <row r="4">
      <c r="A4" t="s">
        <v>307</v>
      </c>
      <c r="B4" t="n">
        <v>-0.25</v>
      </c>
      <c r="C4" t="n">
        <v>147</v>
      </c>
      <c r="D4" t="n">
        <v>0</v>
      </c>
      <c r="E4" t="n">
        <v>169</v>
      </c>
    </row>
    <row r="5">
      <c r="A5" t="s">
        <v>308</v>
      </c>
      <c r="B5" t="n">
        <v>-0.25</v>
      </c>
      <c r="C5" t="n">
        <v>14</v>
      </c>
      <c r="D5" t="n">
        <v>0</v>
      </c>
      <c r="E5" t="n">
        <v>43</v>
      </c>
    </row>
    <row r="6">
      <c r="A6" t="s">
        <v>307</v>
      </c>
      <c r="B6" t="n">
        <v>-0.75</v>
      </c>
      <c r="C6" t="n">
        <v>156</v>
      </c>
      <c r="D6" t="n">
        <v>0</v>
      </c>
      <c r="E6" t="n">
        <v>149</v>
      </c>
    </row>
    <row r="7">
      <c r="A7" t="s">
        <v>308</v>
      </c>
      <c r="B7" t="n">
        <v>-1</v>
      </c>
      <c r="C7" t="n">
        <v>26</v>
      </c>
      <c r="D7" t="n">
        <v>-0.25</v>
      </c>
      <c r="E7" t="n">
        <v>42</v>
      </c>
    </row>
    <row r="8">
      <c r="A8" t="s">
        <v>307</v>
      </c>
      <c r="B8" t="n">
        <v>-0.75</v>
      </c>
      <c r="C8" t="n">
        <v>2</v>
      </c>
      <c r="D8" t="n">
        <v>-0.25</v>
      </c>
      <c r="E8" t="n">
        <v>48</v>
      </c>
    </row>
    <row r="9">
      <c r="A9" t="s">
        <v>308</v>
      </c>
      <c r="B9" t="n">
        <v>-1.75</v>
      </c>
      <c r="C9" t="n">
        <v>176</v>
      </c>
      <c r="D9" t="n">
        <v>-0.5</v>
      </c>
      <c r="E9" t="n">
        <v>129</v>
      </c>
    </row>
    <row r="10">
      <c r="A10" t="s">
        <v>307</v>
      </c>
      <c r="B10" t="n">
        <v>-0.75</v>
      </c>
      <c r="C10" t="n">
        <v>165</v>
      </c>
      <c r="D10" t="n">
        <v>-0.25</v>
      </c>
      <c r="E10" t="n">
        <v>100</v>
      </c>
    </row>
    <row r="11">
      <c r="A11" t="s">
        <v>308</v>
      </c>
      <c r="B11" t="n">
        <v>-1</v>
      </c>
      <c r="C11" t="n">
        <v>18</v>
      </c>
      <c r="D11" t="n">
        <v>-0.25</v>
      </c>
      <c r="E11" t="n">
        <v>129</v>
      </c>
    </row>
    <row r="12">
      <c r="A12" t="s">
        <v>307</v>
      </c>
      <c r="B12" t="n">
        <v>-2.75</v>
      </c>
      <c r="C12" t="n">
        <v>146</v>
      </c>
      <c r="D12"/>
      <c r="E12"/>
    </row>
    <row r="13">
      <c r="A13" t="s">
        <v>308</v>
      </c>
      <c r="B13" t="n">
        <v>-2.25</v>
      </c>
      <c r="C13" t="n">
        <v>30</v>
      </c>
      <c r="D13"/>
      <c r="E13"/>
    </row>
    <row r="14">
      <c r="A14" t="s">
        <v>307</v>
      </c>
      <c r="B14" t="n">
        <v>-0.75</v>
      </c>
      <c r="C14" t="n">
        <v>112</v>
      </c>
      <c r="D14"/>
      <c r="E14"/>
    </row>
    <row r="15">
      <c r="A15" t="s">
        <v>308</v>
      </c>
      <c r="B15" t="n">
        <v>-1.25</v>
      </c>
      <c r="C15" t="n">
        <v>75</v>
      </c>
      <c r="D15"/>
      <c r="E15"/>
    </row>
    <row r="16">
      <c r="A16" t="s">
        <v>307</v>
      </c>
      <c r="B16" t="n">
        <v>-1</v>
      </c>
      <c r="C16" t="n">
        <v>147</v>
      </c>
      <c r="D16" t="n">
        <v>-0.5</v>
      </c>
      <c r="E16" t="n">
        <v>129</v>
      </c>
    </row>
    <row r="17">
      <c r="A17" t="s">
        <v>308</v>
      </c>
      <c r="B17" t="n">
        <v>-1.75</v>
      </c>
      <c r="C17" t="n">
        <v>36</v>
      </c>
      <c r="D17" t="n">
        <v>-0.75</v>
      </c>
      <c r="E17" t="n">
        <v>18</v>
      </c>
    </row>
    <row r="18">
      <c r="A18" t="s">
        <v>307</v>
      </c>
      <c r="B18" t="n">
        <v>-1</v>
      </c>
      <c r="C18" t="n">
        <v>171</v>
      </c>
      <c r="D18"/>
      <c r="E18"/>
    </row>
    <row r="19">
      <c r="A19" t="s">
        <v>308</v>
      </c>
      <c r="B19" t="n">
        <v>-0.25</v>
      </c>
      <c r="C19" t="n">
        <v>14</v>
      </c>
      <c r="D19"/>
      <c r="E19"/>
    </row>
    <row r="20">
      <c r="A20" t="s">
        <v>307</v>
      </c>
      <c r="B20" t="n">
        <v>-0.5</v>
      </c>
      <c r="C20" t="n">
        <v>112</v>
      </c>
      <c r="D20" t="n">
        <v>-0.25</v>
      </c>
      <c r="E20" t="n">
        <v>170</v>
      </c>
    </row>
    <row r="21">
      <c r="A21" t="s">
        <v>308</v>
      </c>
      <c r="B21" t="n">
        <v>-0.25</v>
      </c>
      <c r="C21" t="n">
        <v>64</v>
      </c>
      <c r="D21" t="n">
        <v>0</v>
      </c>
      <c r="E21" t="n">
        <v>23</v>
      </c>
    </row>
    <row r="22">
      <c r="A22" t="s">
        <v>307</v>
      </c>
      <c r="B22" t="n">
        <v>-3.25</v>
      </c>
      <c r="C22" t="n">
        <v>178</v>
      </c>
      <c r="D22" t="n">
        <v>-1.5</v>
      </c>
      <c r="E22" t="n">
        <v>28</v>
      </c>
    </row>
    <row r="23">
      <c r="A23" t="s">
        <v>308</v>
      </c>
      <c r="B23" t="n">
        <v>-2.25</v>
      </c>
      <c r="C23" t="n">
        <v>173</v>
      </c>
      <c r="D23" t="n">
        <v>-0.25</v>
      </c>
      <c r="E23" t="n">
        <v>7</v>
      </c>
    </row>
    <row r="24">
      <c r="A24" t="s">
        <v>308</v>
      </c>
      <c r="B24" t="n">
        <v>-0.5</v>
      </c>
      <c r="C24" t="n">
        <v>63</v>
      </c>
      <c r="D24" t="n">
        <v>-0.25</v>
      </c>
      <c r="E24" t="n">
        <v>96</v>
      </c>
    </row>
    <row r="25">
      <c r="A25" t="s">
        <v>307</v>
      </c>
      <c r="B25" t="n">
        <v>-0.5</v>
      </c>
      <c r="C25" t="n">
        <v>55</v>
      </c>
      <c r="D25" t="n">
        <v>-0.25</v>
      </c>
      <c r="E25" t="n">
        <v>91</v>
      </c>
    </row>
    <row r="26">
      <c r="A26" t="s">
        <v>308</v>
      </c>
      <c r="B26" t="n">
        <v>-2</v>
      </c>
      <c r="C26" t="n">
        <v>124</v>
      </c>
      <c r="D26" t="n">
        <v>-0.75</v>
      </c>
      <c r="E26" t="n">
        <v>164</v>
      </c>
    </row>
    <row r="27">
      <c r="A27" t="s">
        <v>307</v>
      </c>
      <c r="B27" t="n">
        <v>-0.5</v>
      </c>
      <c r="C27" t="n">
        <v>19</v>
      </c>
      <c r="D27" t="n">
        <v>0</v>
      </c>
      <c r="E27" t="n">
        <v>148</v>
      </c>
    </row>
    <row r="28">
      <c r="A28" t="s">
        <v>308</v>
      </c>
      <c r="B28" t="n">
        <v>-0.5</v>
      </c>
      <c r="C28" t="n">
        <v>167</v>
      </c>
      <c r="D28" t="n">
        <v>-0.25</v>
      </c>
      <c r="E28" t="n">
        <v>56</v>
      </c>
    </row>
    <row r="29">
      <c r="A29" t="s">
        <v>307</v>
      </c>
      <c r="B29" t="n">
        <v>-1.75</v>
      </c>
      <c r="C29" t="n">
        <v>18</v>
      </c>
      <c r="D29" t="n">
        <v>-1</v>
      </c>
      <c r="E29" t="n">
        <v>158</v>
      </c>
    </row>
    <row r="30">
      <c r="A30" t="s">
        <v>308</v>
      </c>
      <c r="B30" t="n">
        <v>-1.25</v>
      </c>
      <c r="C30" t="n">
        <v>171</v>
      </c>
      <c r="D30" t="n">
        <v>-0.25</v>
      </c>
      <c r="E30" t="n">
        <v>28</v>
      </c>
    </row>
    <row r="31">
      <c r="A31" t="s">
        <v>307</v>
      </c>
      <c r="B31" t="n">
        <v>-0.5</v>
      </c>
      <c r="C31" t="n">
        <v>11</v>
      </c>
      <c r="D31" t="n">
        <v>0</v>
      </c>
      <c r="E31" t="n">
        <v>91</v>
      </c>
    </row>
    <row r="32">
      <c r="A32" t="s">
        <v>308</v>
      </c>
      <c r="B32" t="n">
        <v>-1</v>
      </c>
      <c r="C32" t="n">
        <v>159</v>
      </c>
      <c r="D32" t="n">
        <v>0</v>
      </c>
      <c r="E32" t="n">
        <v>100</v>
      </c>
    </row>
    <row r="33">
      <c r="A33" t="s">
        <v>307</v>
      </c>
      <c r="B33" t="n">
        <v>-0.25</v>
      </c>
      <c r="C33" t="n">
        <v>55</v>
      </c>
      <c r="D33" t="n">
        <v>-0.25</v>
      </c>
      <c r="E33" t="n">
        <v>30</v>
      </c>
    </row>
    <row r="34">
      <c r="A34" t="s">
        <v>307</v>
      </c>
      <c r="B34" t="n">
        <v>-1.5</v>
      </c>
      <c r="C34" t="n">
        <v>30</v>
      </c>
      <c r="D34" t="n">
        <v>-0.5</v>
      </c>
      <c r="E34" t="n">
        <v>2</v>
      </c>
    </row>
    <row r="35">
      <c r="A35" t="s">
        <v>308</v>
      </c>
      <c r="B35" t="n">
        <v>-1.25</v>
      </c>
      <c r="C35" t="n">
        <v>136</v>
      </c>
      <c r="D35" t="n">
        <v>-0.5</v>
      </c>
      <c r="E35" t="n">
        <v>164</v>
      </c>
    </row>
    <row r="36">
      <c r="A36" t="s">
        <v>307</v>
      </c>
      <c r="B36" t="n">
        <v>-0.5</v>
      </c>
      <c r="C36" t="n">
        <v>8</v>
      </c>
      <c r="D36" t="n">
        <v>-0.25</v>
      </c>
      <c r="E36" t="n">
        <v>12</v>
      </c>
    </row>
    <row r="37">
      <c r="A37" t="s">
        <v>308</v>
      </c>
      <c r="B37" t="n">
        <v>-0.5</v>
      </c>
      <c r="C37" t="n">
        <v>163</v>
      </c>
      <c r="D37" t="n">
        <v>-0.25</v>
      </c>
      <c r="E37" t="n">
        <v>9</v>
      </c>
    </row>
    <row r="38">
      <c r="A38" t="s">
        <v>307</v>
      </c>
      <c r="B38" t="n">
        <v>-1</v>
      </c>
      <c r="C38" t="n">
        <v>70</v>
      </c>
      <c r="D38" t="n">
        <v>-0.25</v>
      </c>
      <c r="E38" t="n">
        <v>30</v>
      </c>
    </row>
    <row r="39">
      <c r="A39" t="s">
        <v>308</v>
      </c>
      <c r="B39" t="n">
        <v>-1</v>
      </c>
      <c r="C39" t="n">
        <v>107</v>
      </c>
      <c r="D39" t="n">
        <v>-0.25</v>
      </c>
      <c r="E39" t="n">
        <v>139</v>
      </c>
    </row>
    <row r="40">
      <c r="A40" t="s">
        <v>308</v>
      </c>
      <c r="B40" t="n">
        <v>-1.5</v>
      </c>
      <c r="C40" t="n">
        <v>42</v>
      </c>
      <c r="D40"/>
      <c r="E40"/>
    </row>
    <row r="41">
      <c r="A41" t="s">
        <v>307</v>
      </c>
      <c r="B41" t="n">
        <v>-0.25</v>
      </c>
      <c r="C41" t="n">
        <v>148</v>
      </c>
      <c r="D41" t="n">
        <v>-0.25</v>
      </c>
      <c r="E41" t="n">
        <v>87</v>
      </c>
    </row>
    <row r="42">
      <c r="A42" t="s">
        <v>308</v>
      </c>
      <c r="B42" t="n">
        <v>-0.5</v>
      </c>
      <c r="C42" t="n">
        <v>43</v>
      </c>
      <c r="D42" t="n">
        <v>-0.25</v>
      </c>
      <c r="E42" t="n">
        <v>112</v>
      </c>
    </row>
    <row r="43">
      <c r="A43" t="s">
        <v>307</v>
      </c>
      <c r="B43" t="n">
        <v>-1.5</v>
      </c>
      <c r="C43" t="n">
        <v>86</v>
      </c>
      <c r="D43" t="n">
        <v>0</v>
      </c>
      <c r="E43" t="n">
        <v>56</v>
      </c>
    </row>
    <row r="44">
      <c r="A44" t="s">
        <v>308</v>
      </c>
      <c r="B44" t="n">
        <v>-2</v>
      </c>
      <c r="C44" t="n">
        <v>84</v>
      </c>
      <c r="D44" t="n">
        <v>-0.5</v>
      </c>
      <c r="E44" t="n">
        <v>41</v>
      </c>
    </row>
    <row r="45">
      <c r="A45" t="s">
        <v>307</v>
      </c>
      <c r="B45" t="n">
        <v>-0.25</v>
      </c>
      <c r="C45" t="n">
        <v>6</v>
      </c>
      <c r="D45" t="n">
        <v>-0.25</v>
      </c>
      <c r="E45" t="n">
        <v>153</v>
      </c>
    </row>
    <row r="46">
      <c r="A46" t="s">
        <v>308</v>
      </c>
      <c r="B46" t="n">
        <v>-0.75</v>
      </c>
      <c r="C46" t="n">
        <v>167</v>
      </c>
      <c r="D46" t="n">
        <v>-0.25</v>
      </c>
      <c r="E46" t="n">
        <v>6</v>
      </c>
    </row>
    <row r="47">
      <c r="A47" t="s">
        <v>307</v>
      </c>
      <c r="B47" t="n">
        <v>-1.5</v>
      </c>
      <c r="C47" t="n">
        <v>34</v>
      </c>
      <c r="D47" t="n">
        <v>-0.25</v>
      </c>
      <c r="E47" t="n">
        <v>41</v>
      </c>
    </row>
    <row r="48">
      <c r="A48" t="s">
        <v>308</v>
      </c>
      <c r="B48" t="n">
        <v>-0.5</v>
      </c>
      <c r="C48" t="n">
        <v>145</v>
      </c>
      <c r="D48" t="n">
        <v>-0.25</v>
      </c>
      <c r="E48" t="n">
        <v>107</v>
      </c>
    </row>
    <row r="49">
      <c r="A49" t="s">
        <v>307</v>
      </c>
      <c r="B49" t="n">
        <v>-1.25</v>
      </c>
      <c r="C49" t="n">
        <v>2</v>
      </c>
      <c r="D49" t="n">
        <v>-0.25</v>
      </c>
      <c r="E49" t="n">
        <v>105</v>
      </c>
    </row>
    <row r="50">
      <c r="A50" t="s">
        <v>307</v>
      </c>
      <c r="B50" t="n">
        <v>-2.25</v>
      </c>
      <c r="C50" t="n">
        <v>3</v>
      </c>
      <c r="D50" t="n">
        <v>-0.75</v>
      </c>
      <c r="E50" t="n">
        <v>170</v>
      </c>
    </row>
    <row r="51">
      <c r="A51" t="s">
        <v>307</v>
      </c>
      <c r="B51" t="n">
        <v>-2</v>
      </c>
      <c r="C51" t="n">
        <v>178</v>
      </c>
      <c r="D51" t="n">
        <v>-0.75</v>
      </c>
      <c r="E51" t="n">
        <v>147</v>
      </c>
    </row>
    <row r="52">
      <c r="A52" t="s">
        <v>308</v>
      </c>
      <c r="B52" t="n">
        <v>-1.25</v>
      </c>
      <c r="C52" t="n">
        <v>171</v>
      </c>
      <c r="D52" t="n">
        <v>-0.5</v>
      </c>
      <c r="E52" t="n">
        <v>49</v>
      </c>
    </row>
    <row r="53">
      <c r="A53" t="s">
        <v>307</v>
      </c>
      <c r="B53" t="n">
        <v>-0.25</v>
      </c>
      <c r="C53" t="n">
        <v>29</v>
      </c>
      <c r="D53" t="n">
        <v>-0.25</v>
      </c>
      <c r="E53" t="n">
        <v>43</v>
      </c>
    </row>
    <row r="54">
      <c r="A54" t="s">
        <v>308</v>
      </c>
      <c r="B54" t="n">
        <v>-0.5</v>
      </c>
      <c r="C54" t="n">
        <v>150</v>
      </c>
      <c r="D54" t="n">
        <v>-0.25</v>
      </c>
      <c r="E54" t="n">
        <v>129</v>
      </c>
    </row>
    <row r="55">
      <c r="A55" t="s">
        <v>308</v>
      </c>
      <c r="B55" t="n">
        <v>-0.5</v>
      </c>
      <c r="C55" t="n">
        <v>72</v>
      </c>
      <c r="D55" t="n">
        <v>-0.25</v>
      </c>
      <c r="E55" t="n">
        <v>173</v>
      </c>
    </row>
    <row r="56">
      <c r="A56" t="s">
        <v>307</v>
      </c>
      <c r="B56" t="n">
        <v>-0.75</v>
      </c>
      <c r="C56" t="n">
        <v>163</v>
      </c>
      <c r="D56" t="n">
        <v>-0.25</v>
      </c>
      <c r="E56" t="n">
        <v>75</v>
      </c>
    </row>
    <row r="57">
      <c r="A57" t="s">
        <v>308</v>
      </c>
      <c r="B57" t="n">
        <v>-0.25</v>
      </c>
      <c r="C57" t="n">
        <v>15</v>
      </c>
      <c r="D57" t="n">
        <v>-0.25</v>
      </c>
      <c r="E57" t="n">
        <v>97</v>
      </c>
    </row>
    <row r="58">
      <c r="A58" t="s">
        <v>307</v>
      </c>
      <c r="B58" t="n">
        <v>-0.25</v>
      </c>
      <c r="C58" t="n">
        <v>97</v>
      </c>
      <c r="D58" t="n">
        <v>-0.25</v>
      </c>
      <c r="E58" t="n">
        <v>154</v>
      </c>
    </row>
    <row r="59">
      <c r="A59" t="s">
        <v>307</v>
      </c>
      <c r="B59" t="n">
        <v>-1.75</v>
      </c>
      <c r="C59" t="n">
        <v>180</v>
      </c>
      <c r="D59" t="n">
        <v>0</v>
      </c>
      <c r="E59" t="n">
        <v>114</v>
      </c>
    </row>
    <row r="60">
      <c r="A60" t="s">
        <v>308</v>
      </c>
      <c r="B60" t="n">
        <v>-0.75</v>
      </c>
      <c r="C60" t="n">
        <v>174</v>
      </c>
      <c r="D60" t="n">
        <v>-0.25</v>
      </c>
      <c r="E60" t="n">
        <v>35</v>
      </c>
    </row>
    <row r="61">
      <c r="A61" t="s">
        <v>307</v>
      </c>
      <c r="B61" t="n">
        <v>-1.25</v>
      </c>
      <c r="C61" t="n">
        <v>105</v>
      </c>
      <c r="D61" t="n">
        <v>-0.25</v>
      </c>
      <c r="E61" t="n">
        <v>95</v>
      </c>
    </row>
    <row r="62">
      <c r="A62" t="s">
        <v>308</v>
      </c>
      <c r="B62" t="n">
        <v>-2.25</v>
      </c>
      <c r="C62" t="n">
        <v>82</v>
      </c>
      <c r="D62" t="n">
        <v>-0.25</v>
      </c>
      <c r="E62" t="n">
        <v>75</v>
      </c>
    </row>
    <row r="63">
      <c r="A63" t="s">
        <v>308</v>
      </c>
      <c r="B63" t="n">
        <v>-1.25</v>
      </c>
      <c r="C63" t="n">
        <v>42</v>
      </c>
      <c r="D63" t="n">
        <v>-0.5</v>
      </c>
      <c r="E63" t="n">
        <v>5</v>
      </c>
    </row>
    <row r="64">
      <c r="A64" t="s">
        <v>307</v>
      </c>
      <c r="B64" t="n">
        <v>-0.5</v>
      </c>
      <c r="C64" t="n">
        <v>45</v>
      </c>
      <c r="D64" t="n">
        <v>-0.25</v>
      </c>
      <c r="E64" t="n">
        <v>149</v>
      </c>
    </row>
    <row r="65">
      <c r="A65" t="s">
        <v>308</v>
      </c>
      <c r="B65" t="n">
        <v>-0.5</v>
      </c>
      <c r="C65" t="n">
        <v>139</v>
      </c>
      <c r="D65" t="n">
        <v>-0.25</v>
      </c>
      <c r="E65" t="n">
        <v>17</v>
      </c>
    </row>
    <row r="66">
      <c r="A66" t="s">
        <v>307</v>
      </c>
      <c r="B66" t="n">
        <v>-0.25</v>
      </c>
      <c r="C66" t="n">
        <v>176</v>
      </c>
      <c r="D66" t="n">
        <v>0</v>
      </c>
      <c r="E66" t="n">
        <v>108</v>
      </c>
    </row>
    <row r="67">
      <c r="A67" t="s">
        <v>307</v>
      </c>
      <c r="B67" t="n">
        <v>-0.25</v>
      </c>
      <c r="C67" t="n">
        <v>129</v>
      </c>
      <c r="D67" t="n">
        <v>0</v>
      </c>
      <c r="E67" t="n">
        <v>77</v>
      </c>
    </row>
    <row r="68">
      <c r="A68" t="s">
        <v>308</v>
      </c>
      <c r="B68" t="n">
        <v>-0.75</v>
      </c>
      <c r="C68" t="n">
        <v>49</v>
      </c>
      <c r="D68" t="n">
        <v>-0.25</v>
      </c>
      <c r="E68" t="n">
        <v>87</v>
      </c>
    </row>
    <row r="69">
      <c r="A69" t="s">
        <v>307</v>
      </c>
      <c r="B69" t="n">
        <v>-1</v>
      </c>
      <c r="C69" t="n">
        <v>9</v>
      </c>
      <c r="D69" t="n">
        <v>-0.25</v>
      </c>
      <c r="E69" t="n">
        <v>165</v>
      </c>
    </row>
    <row r="70">
      <c r="A70" t="s">
        <v>308</v>
      </c>
      <c r="B70" t="n">
        <v>-1</v>
      </c>
      <c r="C70" t="n">
        <v>176</v>
      </c>
      <c r="D70" t="n">
        <v>0</v>
      </c>
      <c r="E70" t="n">
        <v>69</v>
      </c>
    </row>
    <row r="71">
      <c r="A71" t="s">
        <v>307</v>
      </c>
      <c r="B71" t="n">
        <v>-0.5</v>
      </c>
      <c r="C71" t="n">
        <v>36</v>
      </c>
      <c r="D71" t="n">
        <v>-0.25</v>
      </c>
      <c r="E71" t="n">
        <v>156</v>
      </c>
    </row>
    <row r="72">
      <c r="A72" t="s">
        <v>308</v>
      </c>
      <c r="B72" t="n">
        <v>-0.5</v>
      </c>
      <c r="C72" t="n">
        <v>156</v>
      </c>
      <c r="D72" t="n">
        <v>0</v>
      </c>
      <c r="E72" t="n">
        <v>41</v>
      </c>
    </row>
    <row r="73">
      <c r="A73" t="s">
        <v>307</v>
      </c>
      <c r="B73" t="n">
        <v>-0.5</v>
      </c>
      <c r="C73" t="n">
        <v>171</v>
      </c>
      <c r="D73" t="n">
        <v>0</v>
      </c>
      <c r="E73" t="n">
        <v>12</v>
      </c>
    </row>
    <row r="74">
      <c r="A74" t="s">
        <v>307</v>
      </c>
      <c r="B74" t="n">
        <v>-0.25</v>
      </c>
      <c r="C74" t="n">
        <v>177</v>
      </c>
      <c r="D74" t="n">
        <v>-0.5</v>
      </c>
      <c r="E74" t="n">
        <v>166</v>
      </c>
    </row>
    <row r="75">
      <c r="A75" t="s">
        <v>308</v>
      </c>
      <c r="B75" t="n">
        <v>0</v>
      </c>
      <c r="C75" t="n">
        <v>100</v>
      </c>
      <c r="D75" t="n">
        <v>-0.25</v>
      </c>
      <c r="E75" t="n">
        <v>9</v>
      </c>
    </row>
    <row r="76">
      <c r="A76" t="s">
        <v>307</v>
      </c>
      <c r="B76" t="n">
        <v>-1.25</v>
      </c>
      <c r="C76" t="n">
        <v>91</v>
      </c>
      <c r="D76" t="n">
        <v>-0.25</v>
      </c>
      <c r="E76" t="n">
        <v>80</v>
      </c>
    </row>
    <row r="77">
      <c r="A77" t="s">
        <v>308</v>
      </c>
      <c r="B77" t="n">
        <v>-1.25</v>
      </c>
      <c r="C77" t="n">
        <v>86</v>
      </c>
      <c r="D77" t="n">
        <v>-0.25</v>
      </c>
      <c r="E77" t="n">
        <v>76</v>
      </c>
    </row>
    <row r="78">
      <c r="A78" t="s">
        <v>307</v>
      </c>
      <c r="B78" t="n">
        <v>-0.25</v>
      </c>
      <c r="C78" t="n">
        <v>5</v>
      </c>
      <c r="D78" t="n">
        <v>-0.25</v>
      </c>
      <c r="E78" t="n">
        <v>59</v>
      </c>
    </row>
    <row r="79">
      <c r="A79" t="s">
        <v>308</v>
      </c>
      <c r="B79" t="n">
        <v>-0.5</v>
      </c>
      <c r="C79" t="n">
        <v>130</v>
      </c>
      <c r="D79" t="n">
        <v>-0.25</v>
      </c>
      <c r="E79" t="n">
        <v>157</v>
      </c>
    </row>
    <row r="80">
      <c r="A80" t="s">
        <v>307</v>
      </c>
      <c r="B80" t="n">
        <v>-0.75</v>
      </c>
      <c r="C80" t="n">
        <v>154</v>
      </c>
      <c r="D80" t="n">
        <v>0</v>
      </c>
      <c r="E80" t="n">
        <v>147</v>
      </c>
    </row>
    <row r="81">
      <c r="A81" t="s">
        <v>308</v>
      </c>
      <c r="B81" t="n">
        <v>-0.5</v>
      </c>
      <c r="C81" t="n">
        <v>15</v>
      </c>
      <c r="D81" t="n">
        <v>-0.25</v>
      </c>
      <c r="E81" t="n">
        <v>49</v>
      </c>
    </row>
    <row r="82">
      <c r="A82" t="s">
        <v>307</v>
      </c>
      <c r="B82" t="n">
        <v>-0.75</v>
      </c>
      <c r="C82" t="n">
        <v>57</v>
      </c>
      <c r="D82" t="n">
        <v>-0.25</v>
      </c>
      <c r="E82" t="n">
        <v>70</v>
      </c>
    </row>
    <row r="83">
      <c r="A83" t="s">
        <v>308</v>
      </c>
      <c r="B83" t="n">
        <v>-0.75</v>
      </c>
      <c r="C83" t="n">
        <v>115</v>
      </c>
      <c r="D83" t="n">
        <v>-0.25</v>
      </c>
      <c r="E83" t="n">
        <v>147</v>
      </c>
    </row>
    <row r="84">
      <c r="A84" t="s">
        <v>308</v>
      </c>
      <c r="B84" t="n">
        <v>-0.25</v>
      </c>
      <c r="C84" t="n">
        <v>162</v>
      </c>
      <c r="D84" t="n">
        <v>0</v>
      </c>
      <c r="E84" t="n">
        <v>7</v>
      </c>
    </row>
    <row r="85">
      <c r="A85" t="s">
        <v>307</v>
      </c>
      <c r="B85" t="n">
        <v>-0.5</v>
      </c>
      <c r="C85" t="n">
        <v>176</v>
      </c>
      <c r="D85" t="n">
        <v>0</v>
      </c>
      <c r="E85" t="n">
        <v>36</v>
      </c>
    </row>
    <row r="86">
      <c r="A86" t="s">
        <v>308</v>
      </c>
      <c r="B86" t="n">
        <v>-2.5</v>
      </c>
      <c r="C86" t="n">
        <v>172</v>
      </c>
      <c r="D86" t="n">
        <v>-0.75</v>
      </c>
      <c r="E86" t="n">
        <v>142</v>
      </c>
    </row>
    <row r="87">
      <c r="A87" t="s">
        <v>308</v>
      </c>
      <c r="B87" t="n">
        <v>-1</v>
      </c>
      <c r="C87" t="n">
        <v>145</v>
      </c>
      <c r="D87" t="n">
        <v>-0.25</v>
      </c>
      <c r="E87" t="n">
        <v>129</v>
      </c>
    </row>
    <row r="88">
      <c r="A88" t="s">
        <v>307</v>
      </c>
      <c r="B88" t="n">
        <v>-0.25</v>
      </c>
      <c r="C88" t="n">
        <v>44</v>
      </c>
      <c r="D88" t="n">
        <v>-0.25</v>
      </c>
      <c r="E88" t="n">
        <v>163</v>
      </c>
    </row>
    <row r="89">
      <c r="A89" t="s">
        <v>308</v>
      </c>
      <c r="B89" t="n">
        <v>-0.5</v>
      </c>
      <c r="C89" t="n">
        <v>133</v>
      </c>
      <c r="D89" t="n">
        <v>-0.25</v>
      </c>
      <c r="E89" t="n">
        <v>46</v>
      </c>
    </row>
    <row r="90">
      <c r="A90" t="s">
        <v>307</v>
      </c>
      <c r="B90" t="n">
        <v>-0.25</v>
      </c>
      <c r="C90" t="n">
        <v>7</v>
      </c>
      <c r="D90" t="n">
        <v>-0.25</v>
      </c>
      <c r="E90" t="n">
        <v>52</v>
      </c>
    </row>
    <row r="91">
      <c r="A91" t="s">
        <v>308</v>
      </c>
      <c r="B91" t="n">
        <v>-0.5</v>
      </c>
      <c r="C91" t="n">
        <v>168</v>
      </c>
      <c r="D91" t="n">
        <v>-0.25</v>
      </c>
      <c r="E91" t="n">
        <v>2</v>
      </c>
    </row>
    <row r="92">
      <c r="A92" t="s">
        <v>307</v>
      </c>
      <c r="B92" t="n">
        <v>-1</v>
      </c>
      <c r="C92" t="n">
        <v>127</v>
      </c>
      <c r="D92" t="n">
        <v>-0.25</v>
      </c>
      <c r="E92" t="n">
        <v>99</v>
      </c>
    </row>
    <row r="93">
      <c r="A93" t="s">
        <v>308</v>
      </c>
      <c r="B93" t="n">
        <v>-0.75</v>
      </c>
      <c r="C93" t="n">
        <v>42</v>
      </c>
      <c r="D93" t="n">
        <v>-0.25</v>
      </c>
      <c r="E93" t="n">
        <v>81</v>
      </c>
    </row>
    <row r="94">
      <c r="A94" t="s">
        <v>307</v>
      </c>
      <c r="B94" t="n">
        <v>-0.5</v>
      </c>
      <c r="C94" t="n">
        <v>8</v>
      </c>
      <c r="D94" t="n">
        <v>0</v>
      </c>
      <c r="E94" t="n">
        <v>145</v>
      </c>
    </row>
    <row r="95">
      <c r="A95" t="s">
        <v>308</v>
      </c>
      <c r="B95" t="n">
        <v>-0.75</v>
      </c>
      <c r="C95" t="n">
        <v>171</v>
      </c>
      <c r="D95" t="n">
        <v>0</v>
      </c>
      <c r="E95" t="n">
        <v>119</v>
      </c>
    </row>
    <row r="96">
      <c r="A96" t="s">
        <v>307</v>
      </c>
      <c r="B96" t="n">
        <v>-0.75</v>
      </c>
      <c r="C96" t="n">
        <v>48</v>
      </c>
      <c r="D96" t="n">
        <v>-0.25</v>
      </c>
      <c r="E96" t="n">
        <v>74</v>
      </c>
    </row>
    <row r="97">
      <c r="A97" t="s">
        <v>308</v>
      </c>
      <c r="B97" t="n">
        <v>-1.5</v>
      </c>
      <c r="C97" t="n">
        <v>114</v>
      </c>
      <c r="D97" t="n">
        <v>-0.25</v>
      </c>
      <c r="E97" t="n">
        <v>135</v>
      </c>
    </row>
    <row r="98">
      <c r="A98" t="s">
        <v>307</v>
      </c>
      <c r="B98" t="n">
        <v>-0.5</v>
      </c>
      <c r="C98" t="n">
        <v>11</v>
      </c>
      <c r="D98" t="n">
        <v>-0.25</v>
      </c>
      <c r="E98" t="n">
        <v>38</v>
      </c>
    </row>
    <row r="99">
      <c r="A99" t="s">
        <v>308</v>
      </c>
      <c r="B99" t="n">
        <v>-0.5</v>
      </c>
      <c r="C99" t="n">
        <v>165</v>
      </c>
      <c r="D99" t="n">
        <v>-0.25</v>
      </c>
      <c r="E99" t="n">
        <v>144</v>
      </c>
    </row>
    <row r="100">
      <c r="A100" t="s">
        <v>307</v>
      </c>
      <c r="B100" t="n">
        <v>-0.25</v>
      </c>
      <c r="C100" t="n">
        <v>102</v>
      </c>
      <c r="D100" t="n">
        <v>0</v>
      </c>
      <c r="E100" t="n">
        <v>122</v>
      </c>
    </row>
    <row r="101">
      <c r="A101" t="s">
        <v>307</v>
      </c>
      <c r="B101" t="n">
        <v>-0.5</v>
      </c>
      <c r="C101" t="n">
        <v>20</v>
      </c>
      <c r="D101" t="n">
        <v>0</v>
      </c>
      <c r="E101" t="n">
        <v>63</v>
      </c>
    </row>
    <row r="102">
      <c r="A102" t="s">
        <v>307</v>
      </c>
      <c r="B102" t="n">
        <v>-1.25</v>
      </c>
      <c r="C102" t="n">
        <v>176</v>
      </c>
      <c r="D102" t="n">
        <v>-0.25</v>
      </c>
      <c r="E102" t="n">
        <v>135</v>
      </c>
    </row>
    <row r="103">
      <c r="A103" t="s">
        <v>308</v>
      </c>
      <c r="B103" t="n">
        <v>-1</v>
      </c>
      <c r="C103" t="n">
        <v>8</v>
      </c>
      <c r="D103" t="n">
        <v>-0.25</v>
      </c>
      <c r="E103" t="n">
        <v>42</v>
      </c>
    </row>
    <row r="104">
      <c r="A104" t="s">
        <v>307</v>
      </c>
      <c r="B104" t="n">
        <v>-1</v>
      </c>
      <c r="C104" t="n">
        <v>7</v>
      </c>
      <c r="D104" t="n">
        <v>-0.25</v>
      </c>
      <c r="E104" t="n">
        <v>39</v>
      </c>
    </row>
    <row r="105">
      <c r="A105" t="s">
        <v>308</v>
      </c>
      <c r="B105" t="n">
        <v>-1.25</v>
      </c>
      <c r="C105" t="n">
        <v>169</v>
      </c>
      <c r="D105" t="n">
        <v>-0.5</v>
      </c>
      <c r="E105" t="n">
        <v>24</v>
      </c>
    </row>
    <row r="106">
      <c r="A106" t="s">
        <v>308</v>
      </c>
      <c r="B106" t="n">
        <v>-0.75</v>
      </c>
      <c r="C106" t="n">
        <v>107</v>
      </c>
      <c r="D106" t="n">
        <v>-0.25</v>
      </c>
      <c r="E106" t="n">
        <v>116</v>
      </c>
    </row>
    <row r="107">
      <c r="A107" t="s">
        <v>307</v>
      </c>
      <c r="B107" t="n">
        <v>-3</v>
      </c>
      <c r="C107" t="n">
        <v>159</v>
      </c>
      <c r="D107" t="n">
        <v>-0.5</v>
      </c>
      <c r="E107" t="n">
        <v>133</v>
      </c>
    </row>
    <row r="108">
      <c r="A108" t="s">
        <v>308</v>
      </c>
      <c r="B108" t="n">
        <v>-2.5</v>
      </c>
      <c r="C108" t="n">
        <v>23</v>
      </c>
      <c r="D108" t="n">
        <v>-0.5</v>
      </c>
      <c r="E108" t="n">
        <v>35</v>
      </c>
    </row>
    <row r="109">
      <c r="A109" t="s">
        <v>307</v>
      </c>
      <c r="B109" t="n">
        <v>-0.25</v>
      </c>
      <c r="C109" t="n">
        <v>4</v>
      </c>
      <c r="D109" t="n">
        <v>-0.5</v>
      </c>
      <c r="E109" t="n">
        <v>24</v>
      </c>
    </row>
    <row r="110">
      <c r="A110" t="s">
        <v>308</v>
      </c>
      <c r="B110" t="n">
        <v>-0.25</v>
      </c>
      <c r="C110" t="n">
        <v>175</v>
      </c>
      <c r="D110" t="n">
        <v>-0.25</v>
      </c>
      <c r="E110" t="n">
        <v>155</v>
      </c>
    </row>
    <row r="111">
      <c r="A111" t="s">
        <v>307</v>
      </c>
      <c r="B111" t="n">
        <v>-0.25</v>
      </c>
      <c r="C111" t="n">
        <v>175</v>
      </c>
      <c r="D111" t="n">
        <v>0</v>
      </c>
      <c r="E111" t="n">
        <v>34</v>
      </c>
    </row>
    <row r="112">
      <c r="A112" t="s">
        <v>308</v>
      </c>
      <c r="B112" t="n">
        <v>-0.5</v>
      </c>
      <c r="C112" t="n">
        <v>16</v>
      </c>
      <c r="D112" t="n">
        <v>-0.25</v>
      </c>
      <c r="E112" t="n">
        <v>153</v>
      </c>
    </row>
    <row r="113">
      <c r="A113" t="s">
        <v>307</v>
      </c>
      <c r="B113" t="n">
        <v>-0.75</v>
      </c>
      <c r="C113" t="n">
        <v>8</v>
      </c>
      <c r="D113" t="n">
        <v>-0.5</v>
      </c>
      <c r="E113" t="n">
        <v>152</v>
      </c>
    </row>
    <row r="114">
      <c r="A114" t="s">
        <v>308</v>
      </c>
      <c r="B114" t="n">
        <v>-1</v>
      </c>
      <c r="C114" t="n">
        <v>179</v>
      </c>
      <c r="D114" t="n">
        <v>-0.5</v>
      </c>
      <c r="E114" t="n">
        <v>42</v>
      </c>
    </row>
    <row r="115">
      <c r="A115" t="s">
        <v>307</v>
      </c>
      <c r="B115" t="n">
        <v>-0.75</v>
      </c>
      <c r="C115" t="n">
        <v>174</v>
      </c>
      <c r="D115" t="n">
        <v>0</v>
      </c>
      <c r="E115" t="n">
        <v>175</v>
      </c>
    </row>
    <row r="116">
      <c r="A116" t="s">
        <v>307</v>
      </c>
      <c r="B116" t="n">
        <v>-2</v>
      </c>
      <c r="C116" t="n">
        <v>164</v>
      </c>
      <c r="D116" t="n">
        <v>-0.5</v>
      </c>
      <c r="E116" t="n">
        <v>108</v>
      </c>
    </row>
    <row r="117">
      <c r="A117" t="s">
        <v>308</v>
      </c>
      <c r="B117" t="n">
        <v>-2</v>
      </c>
      <c r="C117" t="n">
        <v>19</v>
      </c>
      <c r="D117" t="n">
        <v>-0.25</v>
      </c>
      <c r="E117" t="n">
        <v>103</v>
      </c>
    </row>
    <row r="118">
      <c r="A118" t="s">
        <v>307</v>
      </c>
      <c r="B118" t="n">
        <v>-1.25</v>
      </c>
      <c r="C118" t="n">
        <v>88</v>
      </c>
      <c r="D118" t="n">
        <v>-0.25</v>
      </c>
      <c r="E118" t="n">
        <v>70</v>
      </c>
    </row>
    <row r="119">
      <c r="A119" t="s">
        <v>308</v>
      </c>
      <c r="B119" t="n">
        <v>-1.75</v>
      </c>
      <c r="C119" t="n">
        <v>109</v>
      </c>
      <c r="D119" t="n">
        <v>-0.25</v>
      </c>
      <c r="E119" t="n">
        <v>89</v>
      </c>
    </row>
    <row r="120">
      <c r="A120" t="s">
        <v>307</v>
      </c>
      <c r="B120" t="n">
        <v>-0.75</v>
      </c>
      <c r="C120" t="n">
        <v>135</v>
      </c>
      <c r="D120" t="n">
        <v>-0.25</v>
      </c>
      <c r="E120" t="n">
        <v>166</v>
      </c>
    </row>
    <row r="121">
      <c r="A121" t="s">
        <v>308</v>
      </c>
      <c r="B121" t="n">
        <v>-0.5</v>
      </c>
      <c r="C121" t="n">
        <v>46</v>
      </c>
      <c r="D121" t="n">
        <v>-0.25</v>
      </c>
      <c r="E121" t="n">
        <v>66</v>
      </c>
    </row>
    <row r="122">
      <c r="A122" t="s">
        <v>307</v>
      </c>
      <c r="B122" t="n">
        <v>-0.5</v>
      </c>
      <c r="C122" t="n">
        <v>104</v>
      </c>
      <c r="D122" t="n">
        <v>-0.25</v>
      </c>
      <c r="E122" t="n">
        <v>169</v>
      </c>
    </row>
    <row r="123">
      <c r="A123" t="s">
        <v>307</v>
      </c>
      <c r="B123" t="n">
        <v>-1.25</v>
      </c>
      <c r="C123" t="n">
        <v>4</v>
      </c>
      <c r="D123" t="n">
        <v>-0.25</v>
      </c>
      <c r="E123" t="n">
        <v>27</v>
      </c>
    </row>
    <row r="124">
      <c r="A124" t="s">
        <v>308</v>
      </c>
      <c r="B124" t="n">
        <v>-0.75</v>
      </c>
      <c r="C124" t="n">
        <v>180</v>
      </c>
      <c r="D124" t="n">
        <v>-0.25</v>
      </c>
      <c r="E124" t="n">
        <v>1</v>
      </c>
    </row>
    <row r="125">
      <c r="A125" t="s">
        <v>307</v>
      </c>
      <c r="B125" t="n">
        <v>-0.25</v>
      </c>
      <c r="C125" t="n">
        <v>15</v>
      </c>
      <c r="D125" t="n">
        <v>-0.25</v>
      </c>
      <c r="E125" t="n">
        <v>44</v>
      </c>
    </row>
    <row r="126">
      <c r="A126" t="s">
        <v>308</v>
      </c>
      <c r="B126" t="n">
        <v>-0.25</v>
      </c>
      <c r="C126" t="n">
        <v>166</v>
      </c>
      <c r="D126" t="n">
        <v>-0.25</v>
      </c>
      <c r="E126" t="n">
        <v>146</v>
      </c>
    </row>
    <row r="127">
      <c r="A127" t="s">
        <v>307</v>
      </c>
      <c r="B127" t="n">
        <v>-0.75</v>
      </c>
      <c r="C127" t="n">
        <v>37</v>
      </c>
      <c r="D127" t="n">
        <v>0</v>
      </c>
      <c r="E127" t="n">
        <v>56</v>
      </c>
    </row>
    <row r="128">
      <c r="A128" t="s">
        <v>308</v>
      </c>
      <c r="B128" t="n">
        <v>-0.25</v>
      </c>
      <c r="C128" t="n">
        <v>145</v>
      </c>
      <c r="D128" t="n">
        <v>-0.25</v>
      </c>
      <c r="E128" t="n">
        <v>15</v>
      </c>
    </row>
    <row r="129">
      <c r="A129" t="s">
        <v>307</v>
      </c>
      <c r="B129" t="n">
        <v>-0.75</v>
      </c>
      <c r="C129" t="n">
        <v>12</v>
      </c>
      <c r="D129" t="n">
        <v>-0.25</v>
      </c>
      <c r="E129" t="n">
        <v>91</v>
      </c>
    </row>
    <row r="130">
      <c r="A130" t="s">
        <v>307</v>
      </c>
      <c r="B130" t="n">
        <v>-1</v>
      </c>
      <c r="C130" t="n">
        <v>166</v>
      </c>
      <c r="D130" t="n">
        <v>-0.25</v>
      </c>
      <c r="E130" t="n">
        <v>112</v>
      </c>
    </row>
    <row r="131">
      <c r="A131" t="s">
        <v>308</v>
      </c>
      <c r="B131" t="n">
        <v>-0.5</v>
      </c>
      <c r="C131" t="n">
        <v>10</v>
      </c>
      <c r="D131" t="n">
        <v>-0.25</v>
      </c>
      <c r="E131" t="n">
        <v>119</v>
      </c>
    </row>
    <row r="132">
      <c r="A132" t="s">
        <v>308</v>
      </c>
      <c r="B132" t="n">
        <v>-1.25</v>
      </c>
      <c r="C132" t="n">
        <v>90</v>
      </c>
      <c r="D132" t="n">
        <v>-0.25</v>
      </c>
      <c r="E132" t="n">
        <v>120</v>
      </c>
    </row>
    <row r="133">
      <c r="A133" t="s">
        <v>307</v>
      </c>
      <c r="B133" t="n">
        <v>-1.5</v>
      </c>
      <c r="C133" t="n">
        <v>175</v>
      </c>
      <c r="D133" t="n">
        <v>-0.5</v>
      </c>
      <c r="E133" t="n">
        <v>143</v>
      </c>
    </row>
    <row r="134">
      <c r="A134" t="s">
        <v>308</v>
      </c>
      <c r="B134" t="n">
        <v>-1.5</v>
      </c>
      <c r="C134" t="n">
        <v>15</v>
      </c>
      <c r="D134" t="n">
        <v>-1.25</v>
      </c>
      <c r="E134" t="n">
        <v>43</v>
      </c>
    </row>
    <row r="135">
      <c r="A135" t="s">
        <v>307</v>
      </c>
      <c r="B135" t="n">
        <v>-0.75</v>
      </c>
      <c r="C135" t="n">
        <v>84</v>
      </c>
      <c r="D135" t="n">
        <v>-0.25</v>
      </c>
      <c r="E135" t="n">
        <v>56</v>
      </c>
    </row>
    <row r="136">
      <c r="A136" t="s">
        <v>308</v>
      </c>
      <c r="B136" t="n">
        <v>-0.5</v>
      </c>
      <c r="C136" t="n">
        <v>97</v>
      </c>
      <c r="D136" t="n">
        <v>0</v>
      </c>
      <c r="E136" t="n">
        <v>29</v>
      </c>
    </row>
    <row r="137">
      <c r="A137" t="s">
        <v>307</v>
      </c>
      <c r="B137" t="n">
        <v>-2</v>
      </c>
      <c r="C137" t="n">
        <v>19</v>
      </c>
      <c r="D137" t="n">
        <v>-0.25</v>
      </c>
      <c r="E137" t="n">
        <v>2</v>
      </c>
    </row>
    <row r="138">
      <c r="A138" t="s">
        <v>308</v>
      </c>
      <c r="B138" t="n">
        <v>-0.25</v>
      </c>
      <c r="C138" t="n">
        <v>168</v>
      </c>
      <c r="D138" t="n">
        <v>-0.25</v>
      </c>
      <c r="E138" t="n">
        <v>165</v>
      </c>
    </row>
    <row r="139">
      <c r="A139" t="s">
        <v>307</v>
      </c>
      <c r="B139" t="n">
        <v>-0.25</v>
      </c>
      <c r="C139" t="n">
        <v>14</v>
      </c>
      <c r="D139" t="n">
        <v>-0.25</v>
      </c>
      <c r="E139" t="n">
        <v>24</v>
      </c>
    </row>
    <row r="140">
      <c r="A140" t="s">
        <v>308</v>
      </c>
      <c r="B140" t="n">
        <v>-0.25</v>
      </c>
      <c r="C140" t="n">
        <v>159</v>
      </c>
      <c r="D140" t="n">
        <v>0</v>
      </c>
      <c r="E140" t="n">
        <v>145</v>
      </c>
    </row>
    <row r="141">
      <c r="A141" t="s">
        <v>307</v>
      </c>
      <c r="B141" t="n">
        <v>-0.75</v>
      </c>
      <c r="C141" t="n">
        <v>121</v>
      </c>
      <c r="D141" t="n">
        <v>0</v>
      </c>
      <c r="E141" t="n">
        <v>78</v>
      </c>
    </row>
    <row r="142">
      <c r="A142" t="s">
        <v>308</v>
      </c>
      <c r="B142" t="n">
        <v>-1</v>
      </c>
      <c r="C142" t="n">
        <v>52</v>
      </c>
      <c r="D142" t="n">
        <v>-0.25</v>
      </c>
      <c r="E142" t="n">
        <v>159</v>
      </c>
    </row>
    <row r="143">
      <c r="A143" t="s">
        <v>307</v>
      </c>
      <c r="B143" t="n">
        <v>-0.5</v>
      </c>
      <c r="C143" t="n">
        <v>141</v>
      </c>
      <c r="D143" t="n">
        <v>-0.25</v>
      </c>
      <c r="E143" t="n">
        <v>136</v>
      </c>
    </row>
  </sheetData>
  <pageMargins left="0.7" right="0.7" top="0.75" bottom="0.75" header="0.3" footer="0.3"/>
  <pageSetup paperSize="9" orientation="portrait" horizontalDpi="300" verticalDpi="300" r:id="rId2"/>
  <tableParts count="1">
    <tablePart r:id="rId5"/>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0" t="s">
        <v>309</v>
      </c>
    </row>
    <row r="3">
      <c r="A3" s="1" t="s">
        <v>310</v>
      </c>
    </row>
    <row r="4">
      <c r="A4" t="s">
        <v>311</v>
      </c>
      <c r="B4" t="s">
        <v>312</v>
      </c>
      <c r="C4" t="s">
        <v>313</v>
      </c>
      <c r="D4" t="s">
        <v>314</v>
      </c>
      <c r="E4" t="s">
        <v>315</v>
      </c>
      <c r="F4" t="s">
        <v>316</v>
      </c>
      <c r="G4" t="s">
        <v>317</v>
      </c>
      <c r="H4" t="s">
        <v>318</v>
      </c>
      <c r="I4" t="s">
        <v>319</v>
      </c>
      <c r="J4" t="s">
        <v>320</v>
      </c>
      <c r="K4" t="s">
        <v>321</v>
      </c>
      <c r="L4" t="s">
        <v>322</v>
      </c>
      <c r="M4" t="s">
        <v>323</v>
      </c>
      <c r="N4" t="s">
        <v>324</v>
      </c>
      <c r="O4" t="s">
        <v>325</v>
      </c>
      <c r="P4" t="s">
        <v>326</v>
      </c>
      <c r="Q4" t="s">
        <v>327</v>
      </c>
      <c r="R4" t="s">
        <v>328</v>
      </c>
      <c r="S4" t="s">
        <v>329</v>
      </c>
    </row>
    <row r="5">
      <c r="A5" t="s">
        <v>330</v>
      </c>
      <c r="B5" t="s">
        <v>30</v>
      </c>
      <c r="C5" t="n">
        <v>226</v>
      </c>
      <c r="D5" t="n">
        <v>136</v>
      </c>
      <c r="E5" s="11" t="n">
        <v>-0.449224166183878</v>
      </c>
      <c r="F5" s="11" t="n">
        <v>-0.00139627396401733</v>
      </c>
      <c r="G5" s="11" t="n">
        <v>0.449226336120872</v>
      </c>
      <c r="H5" s="12" t="n">
        <v>90.0890427915297</v>
      </c>
      <c r="I5" t="s">
        <v>331</v>
      </c>
      <c r="J5" s="11" t="n">
        <v>0.996436633420381</v>
      </c>
      <c r="K5" s="11" t="n">
        <v>0.918141592920354</v>
      </c>
      <c r="L5" s="11" t="n">
        <v>0.594364719563956</v>
      </c>
      <c r="M5" s="11" t="n">
        <v>0.75</v>
      </c>
      <c r="N5" s="11" t="n">
        <v>0</v>
      </c>
      <c r="O5" s="11" t="n">
        <v>3.5</v>
      </c>
      <c r="P5" s="11" t="n">
        <v>1.09301887700384</v>
      </c>
      <c r="Q5" t="s">
        <v>332</v>
      </c>
      <c r="R5" t="n">
        <v>218</v>
      </c>
      <c r="S5" t="s">
        <v>333</v>
      </c>
    </row>
    <row r="6">
      <c r="A6" t="s">
        <v>330</v>
      </c>
      <c r="B6" t="s">
        <v>31</v>
      </c>
      <c r="C6" t="n">
        <v>163</v>
      </c>
      <c r="D6" t="n">
        <v>97</v>
      </c>
      <c r="E6" s="11" t="n">
        <v>-0.302291995455342</v>
      </c>
      <c r="F6" s="11" t="n">
        <v>0.0122205256630781</v>
      </c>
      <c r="G6" s="11" t="n">
        <v>0.302538909503976</v>
      </c>
      <c r="H6" s="12" t="n">
        <v>88.8425041094594</v>
      </c>
      <c r="I6" t="s">
        <v>334</v>
      </c>
      <c r="J6" s="11" t="n">
        <v>0.838649015635462</v>
      </c>
      <c r="K6" s="11" t="n">
        <v>0.771472392638037</v>
      </c>
      <c r="L6" s="11" t="n">
        <v>0.448246560691101</v>
      </c>
      <c r="M6" s="11" t="n">
        <v>0.75</v>
      </c>
      <c r="N6" s="11" t="n">
        <v>0</v>
      </c>
      <c r="O6" s="11" t="n">
        <v>2.75</v>
      </c>
      <c r="P6" s="11" t="n">
        <v>0.891550314446798</v>
      </c>
      <c r="Q6" t="s">
        <v>335</v>
      </c>
      <c r="R6" t="n">
        <v>156</v>
      </c>
      <c r="S6" t="s">
        <v>336</v>
      </c>
    </row>
    <row r="7">
      <c r="A7" t="s">
        <v>330</v>
      </c>
      <c r="B7" t="s">
        <v>32</v>
      </c>
      <c r="C7" t="n">
        <v>142</v>
      </c>
      <c r="D7" t="n">
        <v>84</v>
      </c>
      <c r="E7" s="11" t="n">
        <v>-0.330087044559982</v>
      </c>
      <c r="F7" s="11" t="n">
        <v>0.000135529571690952</v>
      </c>
      <c r="G7" s="11" t="n">
        <v>0.330087072383346</v>
      </c>
      <c r="H7" s="12" t="n">
        <v>89.988237538933</v>
      </c>
      <c r="I7" t="s">
        <v>337</v>
      </c>
      <c r="J7" s="11" t="n">
        <v>1.06303292682712</v>
      </c>
      <c r="K7" s="11" t="n">
        <v>0.90669014084507</v>
      </c>
      <c r="L7" s="11" t="n">
        <v>0.647970888312653</v>
      </c>
      <c r="M7" s="11" t="n">
        <v>0.75</v>
      </c>
      <c r="N7" s="11" t="n">
        <v>0</v>
      </c>
      <c r="O7" s="11" t="n">
        <v>3.25</v>
      </c>
      <c r="P7" s="11" t="n">
        <v>1.11310218707594</v>
      </c>
      <c r="Q7" t="s">
        <v>338</v>
      </c>
      <c r="R7" t="n">
        <v>142</v>
      </c>
      <c r="S7" t="s">
        <v>339</v>
      </c>
    </row>
    <row r="8">
      <c r="A8" t="s">
        <v>340</v>
      </c>
      <c r="B8" t="s">
        <v>30</v>
      </c>
      <c r="C8" t="n">
        <v>204</v>
      </c>
      <c r="D8" t="n">
        <v>123</v>
      </c>
      <c r="E8" s="11" t="n">
        <v>0.439329629593848</v>
      </c>
      <c r="F8" s="11" t="n">
        <v>-0.00159470914336645</v>
      </c>
      <c r="G8" s="11" t="n">
        <v>0.43933252387721</v>
      </c>
      <c r="H8" s="12" t="n">
        <v>179.896012360631</v>
      </c>
      <c r="I8" t="s">
        <v>341</v>
      </c>
      <c r="J8" s="11" t="n">
        <v>0.97398799607166</v>
      </c>
      <c r="K8" s="11" t="n">
        <v>0.897482438171578</v>
      </c>
      <c r="L8" s="11" t="n">
        <v>0.581246134857121</v>
      </c>
      <c r="M8" s="11" t="n">
        <v>0.75</v>
      </c>
      <c r="N8" s="11" t="n">
        <v>0.0609346717025738</v>
      </c>
      <c r="O8" s="11" t="n">
        <v>3.44641962965875</v>
      </c>
      <c r="P8" s="11" t="n">
        <v>1.06848756802688</v>
      </c>
      <c r="Q8" t="s">
        <v>342</v>
      </c>
      <c r="R8" t="n">
        <v>197</v>
      </c>
      <c r="S8" t="s">
        <v>343</v>
      </c>
    </row>
    <row r="9">
      <c r="A9" t="s">
        <v>340</v>
      </c>
      <c r="B9" t="s">
        <v>31</v>
      </c>
      <c r="C9" t="n">
        <v>149</v>
      </c>
      <c r="D9" t="n">
        <v>89</v>
      </c>
      <c r="E9" s="11" t="n">
        <v>0.241862133419784</v>
      </c>
      <c r="F9" s="11" t="n">
        <v>-0.001219911993167</v>
      </c>
      <c r="G9" s="11" t="n">
        <v>0.241865209915855</v>
      </c>
      <c r="H9" s="12" t="n">
        <v>179.85550607926</v>
      </c>
      <c r="I9" t="s">
        <v>344</v>
      </c>
      <c r="J9" s="11" t="n">
        <v>0.790947993653801</v>
      </c>
      <c r="K9" s="11" t="n">
        <v>0.717779989217791</v>
      </c>
      <c r="L9" s="11" t="n">
        <v>0.412347596179954</v>
      </c>
      <c r="M9" s="11" t="n">
        <v>0.603720069820807</v>
      </c>
      <c r="N9" s="11" t="n">
        <v>0.0522642316338267</v>
      </c>
      <c r="O9" s="11" t="n">
        <v>1.99349160030623</v>
      </c>
      <c r="P9" s="11" t="n">
        <v>0.827101873068012</v>
      </c>
      <c r="Q9" t="s">
        <v>345</v>
      </c>
      <c r="R9" t="n">
        <v>149</v>
      </c>
      <c r="S9" t="s">
        <v>346</v>
      </c>
    </row>
    <row r="10">
      <c r="A10" t="s">
        <v>340</v>
      </c>
      <c r="B10" t="s">
        <v>32</v>
      </c>
      <c r="C10" t="n">
        <v>133</v>
      </c>
      <c r="D10" t="n">
        <v>79</v>
      </c>
      <c r="E10" s="11" t="n">
        <v>0.280653988412337</v>
      </c>
      <c r="F10" s="11" t="n">
        <v>-0.00651281750173163</v>
      </c>
      <c r="G10" s="11" t="n">
        <v>0.280729546011037</v>
      </c>
      <c r="H10" s="12" t="n">
        <v>179.33532034202</v>
      </c>
      <c r="I10" t="s">
        <v>347</v>
      </c>
      <c r="J10" s="11" t="n">
        <v>0.988095092203041</v>
      </c>
      <c r="K10" s="11" t="n">
        <v>0.852081295427495</v>
      </c>
      <c r="L10" s="11" t="n">
        <v>0.575839930308084</v>
      </c>
      <c r="M10" s="11" t="n">
        <v>0.730944108089069</v>
      </c>
      <c r="N10" s="11" t="n">
        <v>0.0261679781214719</v>
      </c>
      <c r="O10" s="11" t="n">
        <v>2.81735691739616</v>
      </c>
      <c r="P10" s="11" t="n">
        <v>1.02720055940371</v>
      </c>
      <c r="Q10" t="s">
        <v>348</v>
      </c>
      <c r="R10" t="n">
        <v>133</v>
      </c>
      <c r="S10" t="s">
        <v>349</v>
      </c>
    </row>
    <row r="11">
      <c r="A11" t="s">
        <v>350</v>
      </c>
      <c r="B11" t="s">
        <v>30</v>
      </c>
      <c r="C11" t="n">
        <v>204</v>
      </c>
      <c r="D11" t="n">
        <v>123</v>
      </c>
      <c r="E11" s="11" t="n">
        <v>-0.0428617213177947</v>
      </c>
      <c r="F11" s="11" t="n">
        <v>-0.002357662303959</v>
      </c>
      <c r="G11" s="11" t="n">
        <v>0.0429265154172081</v>
      </c>
      <c r="H11" s="12" t="n">
        <v>91.574226389599</v>
      </c>
      <c r="I11" t="s">
        <v>351</v>
      </c>
      <c r="J11" s="11" t="n">
        <v>0.34521655686957</v>
      </c>
      <c r="K11" s="11" t="n">
        <v>0.27328431372549</v>
      </c>
      <c r="L11" s="11" t="n">
        <v>0.215780168989375</v>
      </c>
      <c r="M11" s="11" t="n">
        <v>0.25</v>
      </c>
      <c r="N11" s="11" t="n">
        <v>0</v>
      </c>
      <c r="O11" s="11" t="n">
        <v>1.5</v>
      </c>
      <c r="P11" s="11" t="n">
        <v>0.347875203000652</v>
      </c>
      <c r="Q11" t="s">
        <v>342</v>
      </c>
      <c r="R11" t="n">
        <v>197</v>
      </c>
      <c r="S11" t="s">
        <v>343</v>
      </c>
    </row>
    <row r="12">
      <c r="A12" t="s">
        <v>350</v>
      </c>
      <c r="B12" t="s">
        <v>31</v>
      </c>
      <c r="C12" t="n">
        <v>149</v>
      </c>
      <c r="D12" t="n">
        <v>89</v>
      </c>
      <c r="E12" s="11" t="n">
        <v>-0.0123389914401155</v>
      </c>
      <c r="F12" s="11" t="n">
        <v>0.00666209413777569</v>
      </c>
      <c r="G12" s="11" t="n">
        <v>0.0140226319947373</v>
      </c>
      <c r="H12" s="12" t="n">
        <v>75.8172048021437</v>
      </c>
      <c r="I12" t="s">
        <v>352</v>
      </c>
      <c r="J12" s="11" t="n">
        <v>0.275183910474225</v>
      </c>
      <c r="K12" s="11" t="n">
        <v>0.236577181208054</v>
      </c>
      <c r="L12" s="11" t="n">
        <v>0.141735249063653</v>
      </c>
      <c r="M12" s="11" t="n">
        <v>0.25</v>
      </c>
      <c r="N12" s="11" t="n">
        <v>0</v>
      </c>
      <c r="O12" s="11" t="n">
        <v>0.75</v>
      </c>
      <c r="P12" s="11" t="n">
        <v>0.275540956650634</v>
      </c>
      <c r="Q12" t="s">
        <v>345</v>
      </c>
      <c r="R12" t="n">
        <v>149</v>
      </c>
      <c r="S12" t="s">
        <v>346</v>
      </c>
    </row>
    <row r="13">
      <c r="A13" t="s">
        <v>350</v>
      </c>
      <c r="B13" t="s">
        <v>32</v>
      </c>
      <c r="C13" t="n">
        <v>133</v>
      </c>
      <c r="D13" t="n">
        <v>79</v>
      </c>
      <c r="E13" s="11" t="n">
        <v>-0.0508602924722812</v>
      </c>
      <c r="F13" s="11" t="n">
        <v>0.0000312593471245597</v>
      </c>
      <c r="G13" s="11" t="n">
        <v>0.0508603020784655</v>
      </c>
      <c r="H13" s="12" t="n">
        <v>89.9823926648079</v>
      </c>
      <c r="I13" t="s">
        <v>353</v>
      </c>
      <c r="J13" s="11" t="n">
        <v>0.351216570361575</v>
      </c>
      <c r="K13" s="11" t="n">
        <v>0.270676691729323</v>
      </c>
      <c r="L13" s="11" t="n">
        <v>0.230375830910624</v>
      </c>
      <c r="M13" s="11" t="n">
        <v>0.25</v>
      </c>
      <c r="N13" s="11" t="n">
        <v>0</v>
      </c>
      <c r="O13" s="11" t="n">
        <v>1.5</v>
      </c>
      <c r="P13" s="11" t="n">
        <v>0.354880049628125</v>
      </c>
      <c r="Q13" t="s">
        <v>354</v>
      </c>
      <c r="R13" t="n">
        <v>128</v>
      </c>
      <c r="S13" t="s">
        <v>349</v>
      </c>
    </row>
    <row r="15">
      <c r="A15" s="1" t="s">
        <v>355</v>
      </c>
    </row>
    <row r="16">
      <c r="A16" t="s">
        <v>311</v>
      </c>
      <c r="B16" t="s">
        <v>312</v>
      </c>
      <c r="C16" t="s">
        <v>313</v>
      </c>
      <c r="D16" t="s">
        <v>356</v>
      </c>
      <c r="E16" t="s">
        <v>357</v>
      </c>
      <c r="F16" t="s">
        <v>358</v>
      </c>
      <c r="G16" t="s">
        <v>359</v>
      </c>
      <c r="H16" t="s">
        <v>360</v>
      </c>
      <c r="I16" t="s">
        <v>361</v>
      </c>
      <c r="J16" t="s">
        <v>362</v>
      </c>
      <c r="K16" t="s">
        <v>363</v>
      </c>
      <c r="L16" t="s">
        <v>364</v>
      </c>
    </row>
    <row r="17">
      <c r="A17" t="s">
        <v>330</v>
      </c>
      <c r="B17" t="s">
        <v>30</v>
      </c>
      <c r="C17" t="n">
        <v>226</v>
      </c>
      <c r="D17" s="13" t="n">
        <v>12.8318584070796</v>
      </c>
      <c r="E17" s="13" t="n">
        <v>37.1681415929204</v>
      </c>
      <c r="F17" s="13" t="n">
        <v>59.2920353982301</v>
      </c>
      <c r="G17" s="13" t="n">
        <v>72.5663716814159</v>
      </c>
      <c r="H17" s="13" t="n">
        <v>81.858407079646</v>
      </c>
      <c r="I17" s="13" t="n">
        <v>88.0530973451327</v>
      </c>
      <c r="J17" s="13" t="n">
        <v>92.9203539823009</v>
      </c>
      <c r="K17" s="13" t="n">
        <v>95.1327433628319</v>
      </c>
      <c r="L17" s="13" t="n">
        <v>27.4336283185841</v>
      </c>
    </row>
    <row r="18">
      <c r="A18" t="s">
        <v>330</v>
      </c>
      <c r="B18" t="s">
        <v>31</v>
      </c>
      <c r="C18" t="n">
        <v>163</v>
      </c>
      <c r="D18" s="13" t="n">
        <v>17.7914110429448</v>
      </c>
      <c r="E18" s="13" t="n">
        <v>45.398773006135</v>
      </c>
      <c r="F18" s="13" t="n">
        <v>66.8711656441718</v>
      </c>
      <c r="G18" s="13" t="n">
        <v>79.1411042944785</v>
      </c>
      <c r="H18" s="13" t="n">
        <v>88.9570552147239</v>
      </c>
      <c r="I18" s="13" t="n">
        <v>96.319018404908</v>
      </c>
      <c r="J18" s="13" t="n">
        <v>98.7730061349693</v>
      </c>
      <c r="K18" s="13" t="n">
        <v>98.7730061349693</v>
      </c>
      <c r="L18" s="13" t="n">
        <v>20.8588957055215</v>
      </c>
    </row>
    <row r="19">
      <c r="A19" t="s">
        <v>330</v>
      </c>
      <c r="B19" t="s">
        <v>32</v>
      </c>
      <c r="C19" t="n">
        <v>142</v>
      </c>
      <c r="D19" s="13" t="n">
        <v>19.7183098591549</v>
      </c>
      <c r="E19" s="13" t="n">
        <v>43.6619718309859</v>
      </c>
      <c r="F19" s="13" t="n">
        <v>59.8591549295775</v>
      </c>
      <c r="G19" s="13" t="n">
        <v>71.1267605633803</v>
      </c>
      <c r="H19" s="13" t="n">
        <v>80.9859154929577</v>
      </c>
      <c r="I19" s="13" t="n">
        <v>85.9154929577465</v>
      </c>
      <c r="J19" s="13" t="n">
        <v>89.4366197183099</v>
      </c>
      <c r="K19" s="13" t="n">
        <v>93.6619718309859</v>
      </c>
      <c r="L19" s="13" t="n">
        <v>28.8732394366197</v>
      </c>
    </row>
    <row r="20">
      <c r="A20" t="s">
        <v>340</v>
      </c>
      <c r="B20" t="s">
        <v>30</v>
      </c>
      <c r="C20" t="n">
        <v>204</v>
      </c>
      <c r="D20" s="13" t="n">
        <v>8.33333333333333</v>
      </c>
      <c r="E20" s="13" t="n">
        <v>28.921568627451</v>
      </c>
      <c r="F20" s="13" t="n">
        <v>51.9607843137255</v>
      </c>
      <c r="G20" s="13" t="n">
        <v>68.1372549019608</v>
      </c>
      <c r="H20" s="13" t="n">
        <v>80.3921568627451</v>
      </c>
      <c r="I20" s="13" t="n">
        <v>87.7450980392157</v>
      </c>
      <c r="J20" s="13" t="n">
        <v>92.156862745098</v>
      </c>
      <c r="K20" s="13" t="n">
        <v>94.1176470588235</v>
      </c>
      <c r="L20" s="13" t="n">
        <v>31.8627450980392</v>
      </c>
    </row>
    <row r="21">
      <c r="A21" t="s">
        <v>340</v>
      </c>
      <c r="B21" t="s">
        <v>31</v>
      </c>
      <c r="C21" t="n">
        <v>149</v>
      </c>
      <c r="D21" s="13" t="n">
        <v>9.39597315436242</v>
      </c>
      <c r="E21" s="13" t="n">
        <v>40.2684563758389</v>
      </c>
      <c r="F21" s="13" t="n">
        <v>63.758389261745</v>
      </c>
      <c r="G21" s="13" t="n">
        <v>74.496644295302</v>
      </c>
      <c r="H21" s="13" t="n">
        <v>85.9060402684564</v>
      </c>
      <c r="I21" s="13" t="n">
        <v>95.3020134228188</v>
      </c>
      <c r="J21" s="13" t="n">
        <v>97.9865771812081</v>
      </c>
      <c r="K21" s="13" t="n">
        <v>100</v>
      </c>
      <c r="L21" s="13" t="n">
        <v>25.503355704698</v>
      </c>
    </row>
    <row r="22">
      <c r="A22" t="s">
        <v>340</v>
      </c>
      <c r="B22" t="s">
        <v>32</v>
      </c>
      <c r="C22" t="n">
        <v>133</v>
      </c>
      <c r="D22" s="13" t="n">
        <v>12.781954887218</v>
      </c>
      <c r="E22" s="13" t="n">
        <v>35.3383458646617</v>
      </c>
      <c r="F22" s="13" t="n">
        <v>57.1428571428571</v>
      </c>
      <c r="G22" s="13" t="n">
        <v>69.1729323308271</v>
      </c>
      <c r="H22" s="13" t="n">
        <v>81.203007518797</v>
      </c>
      <c r="I22" s="13" t="n">
        <v>86.4661654135338</v>
      </c>
      <c r="J22" s="13" t="n">
        <v>89.4736842105263</v>
      </c>
      <c r="K22" s="13" t="n">
        <v>92.4812030075188</v>
      </c>
      <c r="L22" s="13" t="n">
        <v>30.8270676691729</v>
      </c>
    </row>
    <row r="23">
      <c r="A23" t="s">
        <v>350</v>
      </c>
      <c r="B23" t="s">
        <v>30</v>
      </c>
      <c r="C23" t="n">
        <v>204</v>
      </c>
      <c r="D23" s="13" t="n">
        <v>77.4509803921569</v>
      </c>
      <c r="E23" s="13" t="n">
        <v>94.6078431372549</v>
      </c>
      <c r="F23" s="13" t="n">
        <v>98.5294117647059</v>
      </c>
      <c r="G23" s="13" t="n">
        <v>99.5098039215686</v>
      </c>
      <c r="H23" s="13" t="n">
        <v>99.5098039215686</v>
      </c>
      <c r="I23" s="13" t="n">
        <v>100</v>
      </c>
      <c r="J23" s="13" t="n">
        <v>100</v>
      </c>
      <c r="K23" s="13" t="n">
        <v>100</v>
      </c>
      <c r="L23" s="13" t="n">
        <v>0.490196078431373</v>
      </c>
    </row>
    <row r="24">
      <c r="A24" t="s">
        <v>350</v>
      </c>
      <c r="B24" t="s">
        <v>31</v>
      </c>
      <c r="C24" t="n">
        <v>149</v>
      </c>
      <c r="D24" s="13" t="n">
        <v>89.261744966443</v>
      </c>
      <c r="E24" s="13" t="n">
        <v>98.6577181208054</v>
      </c>
      <c r="F24" s="13" t="n">
        <v>100</v>
      </c>
      <c r="G24" s="13" t="n">
        <v>100</v>
      </c>
      <c r="H24" s="13" t="n">
        <v>100</v>
      </c>
      <c r="I24" s="13" t="n">
        <v>100</v>
      </c>
      <c r="J24" s="13" t="n">
        <v>100</v>
      </c>
      <c r="K24" s="13" t="n">
        <v>100</v>
      </c>
      <c r="L24" s="13" t="n">
        <v>0</v>
      </c>
    </row>
    <row r="25">
      <c r="A25" t="s">
        <v>350</v>
      </c>
      <c r="B25" t="s">
        <v>32</v>
      </c>
      <c r="C25" t="n">
        <v>133</v>
      </c>
      <c r="D25" s="13" t="n">
        <v>81.9548872180451</v>
      </c>
      <c r="E25" s="13" t="n">
        <v>93.984962406015</v>
      </c>
      <c r="F25" s="13" t="n">
        <v>97.7443609022556</v>
      </c>
      <c r="G25" s="13" t="n">
        <v>98.4962406015038</v>
      </c>
      <c r="H25" s="13" t="n">
        <v>99.2481203007519</v>
      </c>
      <c r="I25" s="13" t="n">
        <v>100</v>
      </c>
      <c r="J25" s="13" t="n">
        <v>100</v>
      </c>
      <c r="K25" s="13" t="n">
        <v>100</v>
      </c>
      <c r="L25" s="13" t="n">
        <v>1.50375939849624</v>
      </c>
    </row>
    <row r="27">
      <c r="A27" s="1" t="s">
        <v>365</v>
      </c>
    </row>
    <row r="28">
      <c r="A28" t="s">
        <v>311</v>
      </c>
      <c r="B28" t="s">
        <v>312</v>
      </c>
      <c r="C28" t="s">
        <v>313</v>
      </c>
      <c r="D28" t="s">
        <v>314</v>
      </c>
      <c r="E28" t="s">
        <v>42</v>
      </c>
      <c r="F28" t="s">
        <v>41</v>
      </c>
      <c r="G28" t="s">
        <v>366</v>
      </c>
      <c r="H28" t="s">
        <v>1</v>
      </c>
    </row>
    <row r="29">
      <c r="A29" t="s">
        <v>330</v>
      </c>
      <c r="B29" t="s">
        <v>30</v>
      </c>
      <c r="C29" t="n">
        <v>226</v>
      </c>
      <c r="D29" t="n">
        <v>136</v>
      </c>
      <c r="E29" t="s">
        <v>367</v>
      </c>
      <c r="F29" t="s">
        <v>368</v>
      </c>
      <c r="G29" t="s">
        <v>369</v>
      </c>
      <c r="H29" t="s">
        <v>370</v>
      </c>
    </row>
    <row r="30">
      <c r="A30" t="s">
        <v>330</v>
      </c>
      <c r="B30" t="s">
        <v>31</v>
      </c>
      <c r="C30" t="n">
        <v>163</v>
      </c>
      <c r="D30" t="n">
        <v>97</v>
      </c>
      <c r="E30" t="s">
        <v>367</v>
      </c>
      <c r="F30" t="s">
        <v>368</v>
      </c>
      <c r="G30" t="s">
        <v>369</v>
      </c>
      <c r="H30" t="s">
        <v>370</v>
      </c>
    </row>
    <row r="31">
      <c r="A31" t="s">
        <v>330</v>
      </c>
      <c r="B31" t="s">
        <v>32</v>
      </c>
      <c r="C31" t="n">
        <v>142</v>
      </c>
      <c r="D31" t="n">
        <v>84</v>
      </c>
      <c r="E31" t="s">
        <v>367</v>
      </c>
      <c r="F31" t="s">
        <v>369</v>
      </c>
      <c r="G31" t="s">
        <v>369</v>
      </c>
      <c r="H31" t="s">
        <v>109</v>
      </c>
    </row>
    <row r="32">
      <c r="A32" t="s">
        <v>340</v>
      </c>
      <c r="B32" t="s">
        <v>30</v>
      </c>
      <c r="C32" t="n">
        <v>204</v>
      </c>
      <c r="D32" t="n">
        <v>123</v>
      </c>
      <c r="E32" t="s">
        <v>367</v>
      </c>
      <c r="F32" t="s">
        <v>368</v>
      </c>
      <c r="G32" t="s">
        <v>369</v>
      </c>
      <c r="H32" t="s">
        <v>370</v>
      </c>
    </row>
    <row r="33">
      <c r="A33" t="s">
        <v>340</v>
      </c>
      <c r="B33" t="s">
        <v>31</v>
      </c>
      <c r="C33" t="n">
        <v>149</v>
      </c>
      <c r="D33" t="n">
        <v>89</v>
      </c>
      <c r="E33" t="s">
        <v>367</v>
      </c>
      <c r="F33" t="s">
        <v>371</v>
      </c>
      <c r="G33" t="s">
        <v>372</v>
      </c>
      <c r="H33" t="s">
        <v>109</v>
      </c>
    </row>
    <row r="34">
      <c r="A34" t="s">
        <v>340</v>
      </c>
      <c r="B34" t="s">
        <v>32</v>
      </c>
      <c r="C34" t="n">
        <v>133</v>
      </c>
      <c r="D34" t="n">
        <v>79</v>
      </c>
      <c r="E34" t="s">
        <v>367</v>
      </c>
      <c r="F34" t="s">
        <v>372</v>
      </c>
      <c r="G34" t="s">
        <v>372</v>
      </c>
      <c r="H34" t="s">
        <v>109</v>
      </c>
    </row>
    <row r="35">
      <c r="A35" t="s">
        <v>350</v>
      </c>
      <c r="B35" t="s">
        <v>30</v>
      </c>
      <c r="C35" t="n">
        <v>204</v>
      </c>
      <c r="D35" t="n">
        <v>123</v>
      </c>
      <c r="E35" t="s">
        <v>367</v>
      </c>
      <c r="F35" t="s">
        <v>72</v>
      </c>
      <c r="G35" t="s">
        <v>373</v>
      </c>
      <c r="H35" t="s">
        <v>109</v>
      </c>
    </row>
    <row r="36">
      <c r="A36" t="s">
        <v>350</v>
      </c>
      <c r="B36" t="s">
        <v>31</v>
      </c>
      <c r="C36" t="n">
        <v>149</v>
      </c>
      <c r="D36" t="n">
        <v>89</v>
      </c>
      <c r="E36" t="s">
        <v>367</v>
      </c>
      <c r="F36" t="s">
        <v>374</v>
      </c>
      <c r="G36" t="s">
        <v>374</v>
      </c>
      <c r="H36" t="s">
        <v>109</v>
      </c>
    </row>
    <row r="37">
      <c r="A37" t="s">
        <v>350</v>
      </c>
      <c r="B37" t="s">
        <v>32</v>
      </c>
      <c r="C37" t="n">
        <v>133</v>
      </c>
      <c r="D37" t="n">
        <v>79</v>
      </c>
      <c r="E37" t="s">
        <v>367</v>
      </c>
      <c r="F37" t="s">
        <v>375</v>
      </c>
      <c r="G37" t="s">
        <v>373</v>
      </c>
      <c r="H37" t="s">
        <v>109</v>
      </c>
    </row>
    <row r="39">
      <c r="A39" s="1" t="s">
        <v>376</v>
      </c>
    </row>
    <row r="40">
      <c r="A40" t="s">
        <v>311</v>
      </c>
      <c r="B40" t="s">
        <v>377</v>
      </c>
      <c r="C40" t="s">
        <v>378</v>
      </c>
      <c r="D40" t="s">
        <v>379</v>
      </c>
      <c r="E40" t="s">
        <v>42</v>
      </c>
      <c r="F40" t="s">
        <v>41</v>
      </c>
      <c r="G40" t="s">
        <v>380</v>
      </c>
      <c r="H40" t="s">
        <v>381</v>
      </c>
      <c r="I40" t="s">
        <v>1</v>
      </c>
    </row>
    <row r="41">
      <c r="A41" t="s">
        <v>330</v>
      </c>
      <c r="B41" t="s">
        <v>382</v>
      </c>
      <c r="C41" t="s">
        <v>319</v>
      </c>
      <c r="D41" t="s">
        <v>383</v>
      </c>
      <c r="E41" t="s">
        <v>384</v>
      </c>
      <c r="F41" t="s">
        <v>385</v>
      </c>
      <c r="G41" t="s">
        <v>109</v>
      </c>
      <c r="H41" t="s">
        <v>386</v>
      </c>
      <c r="I41" t="s">
        <v>109</v>
      </c>
    </row>
    <row r="42">
      <c r="A42" t="s">
        <v>330</v>
      </c>
      <c r="B42" t="s">
        <v>382</v>
      </c>
      <c r="C42" t="s">
        <v>387</v>
      </c>
      <c r="D42" t="s">
        <v>388</v>
      </c>
      <c r="E42" t="s">
        <v>389</v>
      </c>
      <c r="F42" t="s">
        <v>390</v>
      </c>
      <c r="G42" t="s">
        <v>109</v>
      </c>
      <c r="H42" t="s">
        <v>386</v>
      </c>
      <c r="I42" t="s">
        <v>109</v>
      </c>
    </row>
    <row r="43">
      <c r="A43" t="s">
        <v>330</v>
      </c>
      <c r="B43" t="s">
        <v>382</v>
      </c>
      <c r="C43" t="s">
        <v>391</v>
      </c>
      <c r="D43" t="s">
        <v>392</v>
      </c>
      <c r="E43" t="s">
        <v>389</v>
      </c>
      <c r="F43" t="s">
        <v>393</v>
      </c>
      <c r="G43" t="s">
        <v>109</v>
      </c>
      <c r="H43" t="s">
        <v>386</v>
      </c>
      <c r="I43" t="s">
        <v>109</v>
      </c>
    </row>
    <row r="44">
      <c r="A44" t="s">
        <v>330</v>
      </c>
      <c r="B44" t="s">
        <v>382</v>
      </c>
      <c r="C44" t="s">
        <v>394</v>
      </c>
      <c r="D44" t="s">
        <v>395</v>
      </c>
      <c r="E44" t="s">
        <v>396</v>
      </c>
      <c r="F44" t="s">
        <v>397</v>
      </c>
      <c r="G44" t="s">
        <v>109</v>
      </c>
      <c r="H44" t="s">
        <v>386</v>
      </c>
      <c r="I44" t="s">
        <v>109</v>
      </c>
    </row>
    <row r="45">
      <c r="A45" t="s">
        <v>330</v>
      </c>
      <c r="B45" t="s">
        <v>382</v>
      </c>
      <c r="C45" t="s">
        <v>398</v>
      </c>
      <c r="D45" t="s">
        <v>399</v>
      </c>
      <c r="E45" t="s">
        <v>396</v>
      </c>
      <c r="F45" t="s">
        <v>400</v>
      </c>
      <c r="G45" t="s">
        <v>109</v>
      </c>
      <c r="H45" t="s">
        <v>386</v>
      </c>
      <c r="I45" t="s">
        <v>109</v>
      </c>
    </row>
    <row r="46">
      <c r="A46" t="s">
        <v>330</v>
      </c>
      <c r="B46" t="s">
        <v>382</v>
      </c>
      <c r="C46" t="s">
        <v>401</v>
      </c>
      <c r="D46" t="s">
        <v>402</v>
      </c>
      <c r="E46" t="s">
        <v>396</v>
      </c>
      <c r="F46" t="s">
        <v>403</v>
      </c>
      <c r="G46" t="s">
        <v>109</v>
      </c>
      <c r="H46" t="s">
        <v>386</v>
      </c>
      <c r="I46" t="s">
        <v>109</v>
      </c>
    </row>
    <row r="47">
      <c r="A47" t="s">
        <v>330</v>
      </c>
      <c r="B47" t="s">
        <v>382</v>
      </c>
      <c r="C47" t="s">
        <v>404</v>
      </c>
      <c r="D47" t="s">
        <v>405</v>
      </c>
      <c r="E47" t="s">
        <v>396</v>
      </c>
      <c r="F47" t="s">
        <v>406</v>
      </c>
      <c r="G47" t="s">
        <v>109</v>
      </c>
      <c r="H47" t="s">
        <v>386</v>
      </c>
      <c r="I47" t="s">
        <v>109</v>
      </c>
    </row>
    <row r="48">
      <c r="A48" t="s">
        <v>330</v>
      </c>
      <c r="B48" t="s">
        <v>382</v>
      </c>
      <c r="C48" t="s">
        <v>407</v>
      </c>
      <c r="D48" t="s">
        <v>408</v>
      </c>
      <c r="E48" t="s">
        <v>396</v>
      </c>
      <c r="F48" t="s">
        <v>171</v>
      </c>
      <c r="G48" t="s">
        <v>109</v>
      </c>
      <c r="H48" t="s">
        <v>386</v>
      </c>
      <c r="I48" t="s">
        <v>109</v>
      </c>
    </row>
    <row r="49">
      <c r="A49" t="s">
        <v>330</v>
      </c>
      <c r="B49" t="s">
        <v>382</v>
      </c>
      <c r="C49" t="s">
        <v>409</v>
      </c>
      <c r="D49" t="s">
        <v>410</v>
      </c>
      <c r="E49" t="s">
        <v>396</v>
      </c>
      <c r="F49" t="s">
        <v>411</v>
      </c>
      <c r="G49" t="s">
        <v>109</v>
      </c>
      <c r="H49" t="s">
        <v>107</v>
      </c>
      <c r="I49" t="s">
        <v>109</v>
      </c>
    </row>
    <row r="50">
      <c r="A50" t="s">
        <v>330</v>
      </c>
      <c r="B50" t="s">
        <v>382</v>
      </c>
      <c r="C50" t="s">
        <v>412</v>
      </c>
      <c r="D50" t="s">
        <v>413</v>
      </c>
      <c r="E50" t="s">
        <v>396</v>
      </c>
      <c r="F50" t="s">
        <v>198</v>
      </c>
      <c r="G50" t="s">
        <v>109</v>
      </c>
      <c r="H50" t="s">
        <v>414</v>
      </c>
      <c r="I50" t="s">
        <v>109</v>
      </c>
    </row>
    <row r="51">
      <c r="A51" t="s">
        <v>330</v>
      </c>
      <c r="B51" t="s">
        <v>382</v>
      </c>
      <c r="C51" t="s">
        <v>415</v>
      </c>
      <c r="D51" t="s">
        <v>416</v>
      </c>
      <c r="E51" t="s">
        <v>396</v>
      </c>
      <c r="F51" t="s">
        <v>129</v>
      </c>
      <c r="G51" t="s">
        <v>109</v>
      </c>
      <c r="H51" t="s">
        <v>386</v>
      </c>
      <c r="I51" t="s">
        <v>109</v>
      </c>
    </row>
    <row r="52">
      <c r="A52" t="s">
        <v>330</v>
      </c>
      <c r="B52" t="s">
        <v>417</v>
      </c>
      <c r="C52" t="s">
        <v>319</v>
      </c>
      <c r="D52" t="s">
        <v>418</v>
      </c>
      <c r="E52" t="s">
        <v>384</v>
      </c>
      <c r="F52" t="s">
        <v>419</v>
      </c>
      <c r="G52" t="s">
        <v>400</v>
      </c>
      <c r="H52" t="s">
        <v>420</v>
      </c>
      <c r="I52" t="s">
        <v>109</v>
      </c>
    </row>
    <row r="53">
      <c r="A53" t="s">
        <v>330</v>
      </c>
      <c r="B53" t="s">
        <v>417</v>
      </c>
      <c r="C53" t="s">
        <v>387</v>
      </c>
      <c r="D53" t="s">
        <v>421</v>
      </c>
      <c r="E53" t="s">
        <v>389</v>
      </c>
      <c r="F53" t="s">
        <v>422</v>
      </c>
      <c r="G53" t="s">
        <v>423</v>
      </c>
      <c r="H53" t="s">
        <v>420</v>
      </c>
      <c r="I53" t="s">
        <v>109</v>
      </c>
    </row>
    <row r="54">
      <c r="A54" t="s">
        <v>330</v>
      </c>
      <c r="B54" t="s">
        <v>417</v>
      </c>
      <c r="C54" t="s">
        <v>391</v>
      </c>
      <c r="D54" t="s">
        <v>424</v>
      </c>
      <c r="E54" t="s">
        <v>389</v>
      </c>
      <c r="F54" t="s">
        <v>419</v>
      </c>
      <c r="G54" t="s">
        <v>400</v>
      </c>
      <c r="H54" t="s">
        <v>420</v>
      </c>
      <c r="I54" t="s">
        <v>109</v>
      </c>
    </row>
    <row r="55">
      <c r="A55" t="s">
        <v>330</v>
      </c>
      <c r="B55" t="s">
        <v>417</v>
      </c>
      <c r="C55" t="s">
        <v>394</v>
      </c>
      <c r="D55" t="s">
        <v>425</v>
      </c>
      <c r="E55" t="s">
        <v>396</v>
      </c>
      <c r="F55" t="s">
        <v>107</v>
      </c>
      <c r="G55" t="s">
        <v>426</v>
      </c>
      <c r="H55" t="s">
        <v>420</v>
      </c>
      <c r="I55" t="s">
        <v>109</v>
      </c>
    </row>
    <row r="56">
      <c r="A56" t="s">
        <v>330</v>
      </c>
      <c r="B56" t="s">
        <v>417</v>
      </c>
      <c r="C56" t="s">
        <v>398</v>
      </c>
      <c r="D56" t="s">
        <v>427</v>
      </c>
      <c r="E56" t="s">
        <v>396</v>
      </c>
      <c r="F56" t="s">
        <v>189</v>
      </c>
      <c r="G56" t="s">
        <v>400</v>
      </c>
      <c r="H56" t="s">
        <v>420</v>
      </c>
      <c r="I56" t="s">
        <v>109</v>
      </c>
    </row>
    <row r="57">
      <c r="A57" t="s">
        <v>330</v>
      </c>
      <c r="B57" t="s">
        <v>417</v>
      </c>
      <c r="C57" t="s">
        <v>401</v>
      </c>
      <c r="D57" t="s">
        <v>428</v>
      </c>
      <c r="E57" t="s">
        <v>396</v>
      </c>
      <c r="F57" t="s">
        <v>429</v>
      </c>
      <c r="G57" t="s">
        <v>403</v>
      </c>
      <c r="H57" t="s">
        <v>420</v>
      </c>
      <c r="I57" t="s">
        <v>109</v>
      </c>
    </row>
    <row r="58">
      <c r="A58" t="s">
        <v>330</v>
      </c>
      <c r="B58" t="s">
        <v>417</v>
      </c>
      <c r="C58" t="s">
        <v>404</v>
      </c>
      <c r="D58" t="s">
        <v>430</v>
      </c>
      <c r="E58" t="s">
        <v>396</v>
      </c>
      <c r="F58" t="s">
        <v>400</v>
      </c>
      <c r="G58" t="s">
        <v>431</v>
      </c>
      <c r="H58" t="s">
        <v>420</v>
      </c>
      <c r="I58" t="s">
        <v>109</v>
      </c>
    </row>
    <row r="59">
      <c r="A59" t="s">
        <v>330</v>
      </c>
      <c r="B59" t="s">
        <v>417</v>
      </c>
      <c r="C59" t="s">
        <v>407</v>
      </c>
      <c r="D59" t="s">
        <v>432</v>
      </c>
      <c r="E59" t="s">
        <v>396</v>
      </c>
      <c r="F59" t="s">
        <v>433</v>
      </c>
      <c r="G59" t="s">
        <v>129</v>
      </c>
      <c r="H59" t="s">
        <v>434</v>
      </c>
      <c r="I59" t="s">
        <v>109</v>
      </c>
    </row>
    <row r="60">
      <c r="A60" t="s">
        <v>330</v>
      </c>
      <c r="B60" t="s">
        <v>417</v>
      </c>
      <c r="C60" t="s">
        <v>409</v>
      </c>
      <c r="D60" t="s">
        <v>435</v>
      </c>
      <c r="E60" t="s">
        <v>396</v>
      </c>
      <c r="F60" t="s">
        <v>411</v>
      </c>
      <c r="G60" t="s">
        <v>372</v>
      </c>
      <c r="H60" t="s">
        <v>419</v>
      </c>
      <c r="I60" t="s">
        <v>109</v>
      </c>
    </row>
    <row r="61">
      <c r="A61" t="s">
        <v>330</v>
      </c>
      <c r="B61" t="s">
        <v>417</v>
      </c>
      <c r="C61" t="s">
        <v>412</v>
      </c>
      <c r="D61" t="s">
        <v>436</v>
      </c>
      <c r="E61" t="s">
        <v>396</v>
      </c>
      <c r="F61" t="s">
        <v>198</v>
      </c>
      <c r="G61" t="s">
        <v>437</v>
      </c>
      <c r="H61" t="s">
        <v>438</v>
      </c>
      <c r="I61" t="s">
        <v>109</v>
      </c>
    </row>
    <row r="62">
      <c r="A62" t="s">
        <v>330</v>
      </c>
      <c r="B62" t="s">
        <v>417</v>
      </c>
      <c r="C62" t="s">
        <v>415</v>
      </c>
      <c r="D62" t="s">
        <v>439</v>
      </c>
      <c r="E62" t="s">
        <v>396</v>
      </c>
      <c r="F62" t="s">
        <v>419</v>
      </c>
      <c r="G62" t="s">
        <v>429</v>
      </c>
      <c r="H62" t="s">
        <v>420</v>
      </c>
      <c r="I62" t="s">
        <v>109</v>
      </c>
    </row>
    <row r="63">
      <c r="A63" t="s">
        <v>330</v>
      </c>
      <c r="B63" t="s">
        <v>440</v>
      </c>
      <c r="C63" t="s">
        <v>319</v>
      </c>
      <c r="D63" t="s">
        <v>441</v>
      </c>
      <c r="E63" t="s">
        <v>384</v>
      </c>
      <c r="F63" t="s">
        <v>189</v>
      </c>
      <c r="G63" t="s">
        <v>400</v>
      </c>
      <c r="H63" t="s">
        <v>386</v>
      </c>
      <c r="I63" t="s">
        <v>109</v>
      </c>
    </row>
    <row r="64">
      <c r="A64" t="s">
        <v>330</v>
      </c>
      <c r="B64" t="s">
        <v>440</v>
      </c>
      <c r="C64" t="s">
        <v>387</v>
      </c>
      <c r="D64" t="s">
        <v>442</v>
      </c>
      <c r="E64" t="s">
        <v>389</v>
      </c>
      <c r="F64" t="s">
        <v>420</v>
      </c>
      <c r="G64" t="s">
        <v>423</v>
      </c>
      <c r="H64" t="s">
        <v>386</v>
      </c>
      <c r="I64" t="s">
        <v>109</v>
      </c>
    </row>
    <row r="65">
      <c r="A65" t="s">
        <v>330</v>
      </c>
      <c r="B65" t="s">
        <v>440</v>
      </c>
      <c r="C65" t="s">
        <v>391</v>
      </c>
      <c r="D65" t="s">
        <v>443</v>
      </c>
      <c r="E65" t="s">
        <v>389</v>
      </c>
      <c r="F65" t="s">
        <v>444</v>
      </c>
      <c r="G65" t="s">
        <v>444</v>
      </c>
      <c r="H65" t="s">
        <v>386</v>
      </c>
      <c r="I65" t="s">
        <v>109</v>
      </c>
    </row>
    <row r="66">
      <c r="A66" t="s">
        <v>330</v>
      </c>
      <c r="B66" t="s">
        <v>440</v>
      </c>
      <c r="C66" t="s">
        <v>394</v>
      </c>
      <c r="D66" t="s">
        <v>445</v>
      </c>
      <c r="E66" t="s">
        <v>396</v>
      </c>
      <c r="F66" t="s">
        <v>446</v>
      </c>
      <c r="G66" t="s">
        <v>426</v>
      </c>
      <c r="H66" t="s">
        <v>447</v>
      </c>
      <c r="I66" t="s">
        <v>109</v>
      </c>
    </row>
    <row r="67">
      <c r="A67" t="s">
        <v>330</v>
      </c>
      <c r="B67" t="s">
        <v>440</v>
      </c>
      <c r="C67" t="s">
        <v>398</v>
      </c>
      <c r="D67" t="s">
        <v>448</v>
      </c>
      <c r="E67" t="s">
        <v>396</v>
      </c>
      <c r="F67" t="s">
        <v>449</v>
      </c>
      <c r="G67" t="s">
        <v>400</v>
      </c>
      <c r="H67" t="s">
        <v>386</v>
      </c>
      <c r="I67" t="s">
        <v>109</v>
      </c>
    </row>
    <row r="68">
      <c r="A68" t="s">
        <v>330</v>
      </c>
      <c r="B68" t="s">
        <v>440</v>
      </c>
      <c r="C68" t="s">
        <v>401</v>
      </c>
      <c r="D68" t="s">
        <v>450</v>
      </c>
      <c r="E68" t="s">
        <v>396</v>
      </c>
      <c r="F68" t="s">
        <v>234</v>
      </c>
      <c r="G68" t="s">
        <v>234</v>
      </c>
      <c r="H68" t="s">
        <v>386</v>
      </c>
      <c r="I68" t="s">
        <v>109</v>
      </c>
    </row>
    <row r="69">
      <c r="A69" t="s">
        <v>330</v>
      </c>
      <c r="B69" t="s">
        <v>440</v>
      </c>
      <c r="C69" t="s">
        <v>404</v>
      </c>
      <c r="D69" t="s">
        <v>451</v>
      </c>
      <c r="E69" t="s">
        <v>396</v>
      </c>
      <c r="F69" t="s">
        <v>234</v>
      </c>
      <c r="G69" t="s">
        <v>234</v>
      </c>
      <c r="H69" t="s">
        <v>386</v>
      </c>
      <c r="I69" t="s">
        <v>109</v>
      </c>
    </row>
    <row r="70">
      <c r="A70" t="s">
        <v>330</v>
      </c>
      <c r="B70" t="s">
        <v>440</v>
      </c>
      <c r="C70" t="s">
        <v>407</v>
      </c>
      <c r="D70" t="s">
        <v>452</v>
      </c>
      <c r="E70" t="s">
        <v>396</v>
      </c>
      <c r="F70" t="s">
        <v>453</v>
      </c>
      <c r="G70" t="s">
        <v>453</v>
      </c>
      <c r="H70" t="s">
        <v>386</v>
      </c>
      <c r="I70" t="s">
        <v>109</v>
      </c>
    </row>
    <row r="71">
      <c r="A71" t="s">
        <v>330</v>
      </c>
      <c r="B71" t="s">
        <v>440</v>
      </c>
      <c r="C71" t="s">
        <v>409</v>
      </c>
      <c r="D71" t="s">
        <v>454</v>
      </c>
      <c r="E71" t="s">
        <v>396</v>
      </c>
      <c r="F71" t="s">
        <v>207</v>
      </c>
      <c r="G71" t="s">
        <v>207</v>
      </c>
      <c r="H71" t="s">
        <v>386</v>
      </c>
      <c r="I71" t="s">
        <v>109</v>
      </c>
    </row>
    <row r="72">
      <c r="A72" t="s">
        <v>330</v>
      </c>
      <c r="B72" t="s">
        <v>440</v>
      </c>
      <c r="C72" t="s">
        <v>412</v>
      </c>
      <c r="D72" t="s">
        <v>455</v>
      </c>
      <c r="E72" t="s">
        <v>396</v>
      </c>
      <c r="F72" t="s">
        <v>456</v>
      </c>
      <c r="G72" t="s">
        <v>456</v>
      </c>
      <c r="H72" t="s">
        <v>386</v>
      </c>
      <c r="I72" t="s">
        <v>109</v>
      </c>
    </row>
    <row r="73">
      <c r="A73" t="s">
        <v>330</v>
      </c>
      <c r="B73" t="s">
        <v>440</v>
      </c>
      <c r="C73" t="s">
        <v>415</v>
      </c>
      <c r="D73" t="s">
        <v>457</v>
      </c>
      <c r="E73" t="s">
        <v>396</v>
      </c>
      <c r="F73" t="s">
        <v>458</v>
      </c>
      <c r="G73" t="s">
        <v>458</v>
      </c>
      <c r="H73" t="s">
        <v>386</v>
      </c>
      <c r="I73" t="s">
        <v>109</v>
      </c>
    </row>
    <row r="74">
      <c r="A74" t="s">
        <v>340</v>
      </c>
      <c r="B74" t="s">
        <v>382</v>
      </c>
      <c r="C74" t="s">
        <v>319</v>
      </c>
      <c r="D74" t="s">
        <v>459</v>
      </c>
      <c r="E74" t="s">
        <v>384</v>
      </c>
      <c r="F74" t="s">
        <v>460</v>
      </c>
      <c r="G74" t="s">
        <v>109</v>
      </c>
      <c r="H74" t="s">
        <v>461</v>
      </c>
      <c r="I74" t="s">
        <v>109</v>
      </c>
    </row>
    <row r="75">
      <c r="A75" t="s">
        <v>340</v>
      </c>
      <c r="B75" t="s">
        <v>382</v>
      </c>
      <c r="C75" t="s">
        <v>387</v>
      </c>
      <c r="D75" t="s">
        <v>462</v>
      </c>
      <c r="E75" t="s">
        <v>389</v>
      </c>
      <c r="F75" t="s">
        <v>463</v>
      </c>
      <c r="G75" t="s">
        <v>109</v>
      </c>
      <c r="H75" t="s">
        <v>386</v>
      </c>
      <c r="I75" t="s">
        <v>109</v>
      </c>
    </row>
    <row r="76">
      <c r="A76" t="s">
        <v>340</v>
      </c>
      <c r="B76" t="s">
        <v>382</v>
      </c>
      <c r="C76" t="s">
        <v>391</v>
      </c>
      <c r="D76" t="s">
        <v>464</v>
      </c>
      <c r="E76" t="s">
        <v>389</v>
      </c>
      <c r="F76" t="s">
        <v>72</v>
      </c>
      <c r="G76" t="s">
        <v>109</v>
      </c>
      <c r="H76" t="s">
        <v>465</v>
      </c>
      <c r="I76" t="s">
        <v>109</v>
      </c>
    </row>
    <row r="77">
      <c r="A77" t="s">
        <v>340</v>
      </c>
      <c r="B77" t="s">
        <v>382</v>
      </c>
      <c r="C77" t="s">
        <v>394</v>
      </c>
      <c r="D77" t="s">
        <v>466</v>
      </c>
      <c r="E77" t="s">
        <v>396</v>
      </c>
      <c r="F77" t="s">
        <v>406</v>
      </c>
      <c r="G77" t="s">
        <v>109</v>
      </c>
      <c r="H77" t="s">
        <v>386</v>
      </c>
      <c r="I77" t="s">
        <v>109</v>
      </c>
    </row>
    <row r="78">
      <c r="A78" t="s">
        <v>340</v>
      </c>
      <c r="B78" t="s">
        <v>382</v>
      </c>
      <c r="C78" t="s">
        <v>398</v>
      </c>
      <c r="D78" t="s">
        <v>467</v>
      </c>
      <c r="E78" t="s">
        <v>396</v>
      </c>
      <c r="F78" t="s">
        <v>419</v>
      </c>
      <c r="G78" t="s">
        <v>109</v>
      </c>
      <c r="H78" t="s">
        <v>468</v>
      </c>
      <c r="I78" t="s">
        <v>109</v>
      </c>
    </row>
    <row r="79">
      <c r="A79" t="s">
        <v>340</v>
      </c>
      <c r="B79" t="s">
        <v>382</v>
      </c>
      <c r="C79" t="s">
        <v>401</v>
      </c>
      <c r="D79" t="s">
        <v>469</v>
      </c>
      <c r="E79" t="s">
        <v>396</v>
      </c>
      <c r="F79" t="s">
        <v>171</v>
      </c>
      <c r="G79" t="s">
        <v>109</v>
      </c>
      <c r="H79" t="s">
        <v>420</v>
      </c>
      <c r="I79" t="s">
        <v>109</v>
      </c>
    </row>
    <row r="80">
      <c r="A80" t="s">
        <v>340</v>
      </c>
      <c r="B80" t="s">
        <v>382</v>
      </c>
      <c r="C80" t="s">
        <v>404</v>
      </c>
      <c r="D80" t="s">
        <v>470</v>
      </c>
      <c r="E80" t="s">
        <v>396</v>
      </c>
      <c r="F80" t="s">
        <v>471</v>
      </c>
      <c r="G80" t="s">
        <v>109</v>
      </c>
      <c r="H80" t="s">
        <v>386</v>
      </c>
      <c r="I80" t="s">
        <v>109</v>
      </c>
    </row>
    <row r="81">
      <c r="A81" t="s">
        <v>340</v>
      </c>
      <c r="B81" t="s">
        <v>382</v>
      </c>
      <c r="C81" t="s">
        <v>407</v>
      </c>
      <c r="D81" t="s">
        <v>472</v>
      </c>
      <c r="E81" t="s">
        <v>396</v>
      </c>
      <c r="F81" t="s">
        <v>473</v>
      </c>
      <c r="G81" t="s">
        <v>109</v>
      </c>
      <c r="H81" t="s">
        <v>386</v>
      </c>
      <c r="I81" t="s">
        <v>109</v>
      </c>
    </row>
    <row r="82">
      <c r="A82" t="s">
        <v>340</v>
      </c>
      <c r="B82" t="s">
        <v>382</v>
      </c>
      <c r="C82" t="s">
        <v>409</v>
      </c>
      <c r="D82" t="s">
        <v>474</v>
      </c>
      <c r="E82" t="s">
        <v>396</v>
      </c>
      <c r="F82" t="s">
        <v>433</v>
      </c>
      <c r="G82" t="s">
        <v>109</v>
      </c>
      <c r="H82" t="s">
        <v>458</v>
      </c>
      <c r="I82" t="s">
        <v>109</v>
      </c>
    </row>
    <row r="83">
      <c r="A83" t="s">
        <v>340</v>
      </c>
      <c r="B83" t="s">
        <v>382</v>
      </c>
      <c r="C83" t="s">
        <v>412</v>
      </c>
      <c r="D83" t="s">
        <v>475</v>
      </c>
      <c r="E83" t="s">
        <v>396</v>
      </c>
      <c r="F83" t="s">
        <v>198</v>
      </c>
      <c r="G83" t="s">
        <v>109</v>
      </c>
      <c r="H83" t="s">
        <v>476</v>
      </c>
      <c r="I83" t="s">
        <v>109</v>
      </c>
    </row>
    <row r="84">
      <c r="A84" t="s">
        <v>340</v>
      </c>
      <c r="B84" t="s">
        <v>382</v>
      </c>
      <c r="C84" t="s">
        <v>415</v>
      </c>
      <c r="D84" t="s">
        <v>477</v>
      </c>
      <c r="E84" t="s">
        <v>478</v>
      </c>
      <c r="F84" t="s">
        <v>198</v>
      </c>
      <c r="G84" t="s">
        <v>109</v>
      </c>
      <c r="H84" t="s">
        <v>479</v>
      </c>
      <c r="I84" t="s">
        <v>109</v>
      </c>
    </row>
    <row r="85">
      <c r="A85" t="s">
        <v>340</v>
      </c>
      <c r="B85" t="s">
        <v>417</v>
      </c>
      <c r="C85" t="s">
        <v>319</v>
      </c>
      <c r="D85" t="s">
        <v>480</v>
      </c>
      <c r="E85" t="s">
        <v>384</v>
      </c>
      <c r="F85" t="s">
        <v>198</v>
      </c>
      <c r="G85" t="s">
        <v>481</v>
      </c>
      <c r="H85" t="s">
        <v>482</v>
      </c>
      <c r="I85" t="s">
        <v>109</v>
      </c>
    </row>
    <row r="86">
      <c r="A86" t="s">
        <v>340</v>
      </c>
      <c r="B86" t="s">
        <v>417</v>
      </c>
      <c r="C86" t="s">
        <v>387</v>
      </c>
      <c r="D86" t="s">
        <v>483</v>
      </c>
      <c r="E86" t="s">
        <v>389</v>
      </c>
      <c r="F86" t="s">
        <v>484</v>
      </c>
      <c r="G86" t="s">
        <v>485</v>
      </c>
      <c r="H86" t="s">
        <v>386</v>
      </c>
      <c r="I86" t="s">
        <v>109</v>
      </c>
    </row>
    <row r="87">
      <c r="A87" t="s">
        <v>340</v>
      </c>
      <c r="B87" t="s">
        <v>417</v>
      </c>
      <c r="C87" t="s">
        <v>391</v>
      </c>
      <c r="D87" t="s">
        <v>486</v>
      </c>
      <c r="E87" t="s">
        <v>389</v>
      </c>
      <c r="F87" t="s">
        <v>198</v>
      </c>
      <c r="G87" t="s">
        <v>481</v>
      </c>
      <c r="H87" t="s">
        <v>482</v>
      </c>
      <c r="I87" t="s">
        <v>109</v>
      </c>
    </row>
    <row r="88">
      <c r="A88" t="s">
        <v>340</v>
      </c>
      <c r="B88" t="s">
        <v>417</v>
      </c>
      <c r="C88" t="s">
        <v>394</v>
      </c>
      <c r="D88" t="s">
        <v>487</v>
      </c>
      <c r="E88" t="s">
        <v>396</v>
      </c>
      <c r="F88" t="s">
        <v>374</v>
      </c>
      <c r="G88" t="s">
        <v>374</v>
      </c>
      <c r="H88" t="s">
        <v>386</v>
      </c>
      <c r="I88" t="s">
        <v>109</v>
      </c>
    </row>
    <row r="89">
      <c r="A89" t="s">
        <v>340</v>
      </c>
      <c r="B89" t="s">
        <v>417</v>
      </c>
      <c r="C89" t="s">
        <v>398</v>
      </c>
      <c r="D89" t="s">
        <v>488</v>
      </c>
      <c r="E89" t="s">
        <v>396</v>
      </c>
      <c r="F89" t="s">
        <v>460</v>
      </c>
      <c r="G89" t="s">
        <v>122</v>
      </c>
      <c r="H89" t="s">
        <v>482</v>
      </c>
      <c r="I89" t="s">
        <v>109</v>
      </c>
    </row>
    <row r="90">
      <c r="A90" t="s">
        <v>340</v>
      </c>
      <c r="B90" t="s">
        <v>417</v>
      </c>
      <c r="C90" t="s">
        <v>401</v>
      </c>
      <c r="D90" t="s">
        <v>489</v>
      </c>
      <c r="E90" t="s">
        <v>396</v>
      </c>
      <c r="F90" t="s">
        <v>72</v>
      </c>
      <c r="G90" t="s">
        <v>189</v>
      </c>
      <c r="H90" t="s">
        <v>490</v>
      </c>
      <c r="I90" t="s">
        <v>109</v>
      </c>
    </row>
    <row r="91">
      <c r="A91" t="s">
        <v>340</v>
      </c>
      <c r="B91" t="s">
        <v>417</v>
      </c>
      <c r="C91" t="s">
        <v>404</v>
      </c>
      <c r="D91" t="s">
        <v>491</v>
      </c>
      <c r="E91" t="s">
        <v>396</v>
      </c>
      <c r="F91" t="s">
        <v>114</v>
      </c>
      <c r="G91" t="s">
        <v>492</v>
      </c>
      <c r="H91" t="s">
        <v>386</v>
      </c>
      <c r="I91" t="s">
        <v>109</v>
      </c>
    </row>
    <row r="92">
      <c r="A92" t="s">
        <v>340</v>
      </c>
      <c r="B92" t="s">
        <v>417</v>
      </c>
      <c r="C92" t="s">
        <v>407</v>
      </c>
      <c r="D92" t="s">
        <v>493</v>
      </c>
      <c r="E92" t="s">
        <v>396</v>
      </c>
      <c r="F92" t="s">
        <v>414</v>
      </c>
      <c r="G92" t="s">
        <v>494</v>
      </c>
      <c r="H92" t="s">
        <v>386</v>
      </c>
      <c r="I92" t="s">
        <v>109</v>
      </c>
    </row>
    <row r="93">
      <c r="A93" t="s">
        <v>340</v>
      </c>
      <c r="B93" t="s">
        <v>417</v>
      </c>
      <c r="C93" t="s">
        <v>409</v>
      </c>
      <c r="D93" t="s">
        <v>495</v>
      </c>
      <c r="E93" t="s">
        <v>396</v>
      </c>
      <c r="F93" t="s">
        <v>481</v>
      </c>
      <c r="G93" t="s">
        <v>419</v>
      </c>
      <c r="H93" t="s">
        <v>490</v>
      </c>
      <c r="I93" t="s">
        <v>109</v>
      </c>
    </row>
    <row r="94">
      <c r="A94" t="s">
        <v>340</v>
      </c>
      <c r="B94" t="s">
        <v>417</v>
      </c>
      <c r="C94" t="s">
        <v>412</v>
      </c>
      <c r="D94" t="s">
        <v>496</v>
      </c>
      <c r="E94" t="s">
        <v>396</v>
      </c>
      <c r="F94" t="s">
        <v>198</v>
      </c>
      <c r="G94" t="s">
        <v>72</v>
      </c>
      <c r="H94" t="s">
        <v>482</v>
      </c>
      <c r="I94" t="s">
        <v>109</v>
      </c>
    </row>
    <row r="95">
      <c r="A95" t="s">
        <v>340</v>
      </c>
      <c r="B95" t="s">
        <v>417</v>
      </c>
      <c r="C95" t="s">
        <v>415</v>
      </c>
      <c r="D95" t="s">
        <v>497</v>
      </c>
      <c r="E95" t="s">
        <v>478</v>
      </c>
      <c r="F95" t="s">
        <v>411</v>
      </c>
      <c r="G95" t="s">
        <v>372</v>
      </c>
      <c r="H95" t="s">
        <v>86</v>
      </c>
      <c r="I95" t="s">
        <v>109</v>
      </c>
    </row>
    <row r="96">
      <c r="A96" t="s">
        <v>340</v>
      </c>
      <c r="B96" t="s">
        <v>440</v>
      </c>
      <c r="C96" t="s">
        <v>319</v>
      </c>
      <c r="D96" t="s">
        <v>498</v>
      </c>
      <c r="E96" t="s">
        <v>384</v>
      </c>
      <c r="F96" t="s">
        <v>437</v>
      </c>
      <c r="G96" t="s">
        <v>481</v>
      </c>
      <c r="H96" t="s">
        <v>465</v>
      </c>
      <c r="I96" t="s">
        <v>109</v>
      </c>
    </row>
    <row r="97">
      <c r="A97" t="s">
        <v>340</v>
      </c>
      <c r="B97" t="s">
        <v>440</v>
      </c>
      <c r="C97" t="s">
        <v>387</v>
      </c>
      <c r="D97" t="s">
        <v>499</v>
      </c>
      <c r="E97" t="s">
        <v>389</v>
      </c>
      <c r="F97" t="s">
        <v>500</v>
      </c>
      <c r="G97" t="s">
        <v>485</v>
      </c>
      <c r="H97" t="s">
        <v>386</v>
      </c>
      <c r="I97" t="s">
        <v>109</v>
      </c>
    </row>
    <row r="98">
      <c r="A98" t="s">
        <v>340</v>
      </c>
      <c r="B98" t="s">
        <v>440</v>
      </c>
      <c r="C98" t="s">
        <v>391</v>
      </c>
      <c r="D98" t="s">
        <v>501</v>
      </c>
      <c r="E98" t="s">
        <v>389</v>
      </c>
      <c r="F98" t="s">
        <v>502</v>
      </c>
      <c r="G98" t="s">
        <v>502</v>
      </c>
      <c r="H98" t="s">
        <v>386</v>
      </c>
      <c r="I98" t="s">
        <v>109</v>
      </c>
    </row>
    <row r="99">
      <c r="A99" t="s">
        <v>340</v>
      </c>
      <c r="B99" t="s">
        <v>440</v>
      </c>
      <c r="C99" t="s">
        <v>394</v>
      </c>
      <c r="D99" t="s">
        <v>503</v>
      </c>
      <c r="E99" t="s">
        <v>396</v>
      </c>
      <c r="F99" t="s">
        <v>397</v>
      </c>
      <c r="G99" t="s">
        <v>461</v>
      </c>
      <c r="H99" t="s">
        <v>386</v>
      </c>
      <c r="I99" t="s">
        <v>109</v>
      </c>
    </row>
    <row r="100">
      <c r="A100" t="s">
        <v>340</v>
      </c>
      <c r="B100" t="s">
        <v>440</v>
      </c>
      <c r="C100" t="s">
        <v>398</v>
      </c>
      <c r="D100" t="s">
        <v>504</v>
      </c>
      <c r="E100" t="s">
        <v>396</v>
      </c>
      <c r="F100" t="s">
        <v>429</v>
      </c>
      <c r="G100" t="s">
        <v>429</v>
      </c>
      <c r="H100" t="s">
        <v>386</v>
      </c>
      <c r="I100" t="s">
        <v>109</v>
      </c>
    </row>
    <row r="101">
      <c r="A101" t="s">
        <v>340</v>
      </c>
      <c r="B101" t="s">
        <v>440</v>
      </c>
      <c r="C101" t="s">
        <v>401</v>
      </c>
      <c r="D101" t="s">
        <v>505</v>
      </c>
      <c r="E101" t="s">
        <v>396</v>
      </c>
      <c r="F101" t="s">
        <v>490</v>
      </c>
      <c r="G101" t="s">
        <v>490</v>
      </c>
      <c r="H101" t="s">
        <v>386</v>
      </c>
      <c r="I101" t="s">
        <v>109</v>
      </c>
    </row>
    <row r="102">
      <c r="A102" t="s">
        <v>340</v>
      </c>
      <c r="B102" t="s">
        <v>440</v>
      </c>
      <c r="C102" t="s">
        <v>404</v>
      </c>
      <c r="D102" t="s">
        <v>506</v>
      </c>
      <c r="E102" t="s">
        <v>396</v>
      </c>
      <c r="F102" t="s">
        <v>507</v>
      </c>
      <c r="G102" t="s">
        <v>507</v>
      </c>
      <c r="H102" t="s">
        <v>386</v>
      </c>
      <c r="I102" t="s">
        <v>109</v>
      </c>
    </row>
    <row r="103">
      <c r="A103" t="s">
        <v>340</v>
      </c>
      <c r="B103" t="s">
        <v>440</v>
      </c>
      <c r="C103" t="s">
        <v>407</v>
      </c>
      <c r="D103" t="s">
        <v>508</v>
      </c>
      <c r="E103" t="s">
        <v>396</v>
      </c>
      <c r="F103" t="s">
        <v>509</v>
      </c>
      <c r="G103" t="s">
        <v>509</v>
      </c>
      <c r="H103" t="s">
        <v>386</v>
      </c>
      <c r="I103" t="s">
        <v>109</v>
      </c>
    </row>
    <row r="104">
      <c r="A104" t="s">
        <v>340</v>
      </c>
      <c r="B104" t="s">
        <v>440</v>
      </c>
      <c r="C104" t="s">
        <v>409</v>
      </c>
      <c r="D104" t="s">
        <v>510</v>
      </c>
      <c r="E104" t="s">
        <v>396</v>
      </c>
      <c r="F104" t="s">
        <v>511</v>
      </c>
      <c r="G104" t="s">
        <v>511</v>
      </c>
      <c r="H104" t="s">
        <v>386</v>
      </c>
      <c r="I104" t="s">
        <v>109</v>
      </c>
    </row>
    <row r="105">
      <c r="A105" t="s">
        <v>340</v>
      </c>
      <c r="B105" t="s">
        <v>440</v>
      </c>
      <c r="C105" t="s">
        <v>412</v>
      </c>
      <c r="D105" t="s">
        <v>512</v>
      </c>
      <c r="E105" t="s">
        <v>396</v>
      </c>
      <c r="F105" t="s">
        <v>463</v>
      </c>
      <c r="G105" t="s">
        <v>463</v>
      </c>
      <c r="H105" t="s">
        <v>386</v>
      </c>
      <c r="I105" t="s">
        <v>109</v>
      </c>
    </row>
    <row r="106">
      <c r="A106" t="s">
        <v>340</v>
      </c>
      <c r="B106" t="s">
        <v>440</v>
      </c>
      <c r="C106" t="s">
        <v>415</v>
      </c>
      <c r="D106" t="s">
        <v>513</v>
      </c>
      <c r="E106" t="s">
        <v>396</v>
      </c>
      <c r="F106" t="s">
        <v>500</v>
      </c>
      <c r="G106" t="s">
        <v>500</v>
      </c>
      <c r="H106" t="s">
        <v>386</v>
      </c>
      <c r="I106" t="s">
        <v>109</v>
      </c>
    </row>
    <row r="107">
      <c r="A107" t="s">
        <v>350</v>
      </c>
      <c r="B107" t="s">
        <v>382</v>
      </c>
      <c r="C107" t="s">
        <v>319</v>
      </c>
      <c r="D107" t="s">
        <v>514</v>
      </c>
      <c r="E107" t="s">
        <v>384</v>
      </c>
      <c r="F107" t="s">
        <v>423</v>
      </c>
      <c r="G107" t="s">
        <v>109</v>
      </c>
      <c r="H107" t="s">
        <v>386</v>
      </c>
      <c r="I107" t="s">
        <v>109</v>
      </c>
    </row>
    <row r="108">
      <c r="A108" t="s">
        <v>350</v>
      </c>
      <c r="B108" t="s">
        <v>382</v>
      </c>
      <c r="C108" t="s">
        <v>387</v>
      </c>
      <c r="D108" t="s">
        <v>515</v>
      </c>
      <c r="E108" t="s">
        <v>389</v>
      </c>
      <c r="F108" t="s">
        <v>516</v>
      </c>
      <c r="G108" t="s">
        <v>109</v>
      </c>
      <c r="H108" t="s">
        <v>386</v>
      </c>
      <c r="I108" t="s">
        <v>109</v>
      </c>
    </row>
    <row r="109">
      <c r="A109" t="s">
        <v>350</v>
      </c>
      <c r="B109" t="s">
        <v>382</v>
      </c>
      <c r="C109" t="s">
        <v>391</v>
      </c>
      <c r="D109" t="s">
        <v>517</v>
      </c>
      <c r="E109" t="s">
        <v>518</v>
      </c>
      <c r="F109" t="s">
        <v>373</v>
      </c>
      <c r="G109" t="s">
        <v>109</v>
      </c>
      <c r="H109" t="s">
        <v>386</v>
      </c>
      <c r="I109" t="s">
        <v>109</v>
      </c>
    </row>
    <row r="110">
      <c r="A110" t="s">
        <v>350</v>
      </c>
      <c r="B110" t="s">
        <v>382</v>
      </c>
      <c r="C110" t="s">
        <v>394</v>
      </c>
      <c r="D110" t="s">
        <v>519</v>
      </c>
      <c r="E110" t="s">
        <v>396</v>
      </c>
      <c r="F110" t="s">
        <v>411</v>
      </c>
      <c r="G110" t="s">
        <v>109</v>
      </c>
      <c r="H110" t="s">
        <v>419</v>
      </c>
      <c r="I110" t="s">
        <v>109</v>
      </c>
    </row>
    <row r="111">
      <c r="A111" t="s">
        <v>350</v>
      </c>
      <c r="B111" t="s">
        <v>382</v>
      </c>
      <c r="C111" t="s">
        <v>398</v>
      </c>
      <c r="D111" t="s">
        <v>520</v>
      </c>
      <c r="E111" t="s">
        <v>396</v>
      </c>
      <c r="F111" t="s">
        <v>426</v>
      </c>
      <c r="G111" t="s">
        <v>109</v>
      </c>
      <c r="H111" t="s">
        <v>386</v>
      </c>
      <c r="I111" t="s">
        <v>109</v>
      </c>
    </row>
    <row r="112">
      <c r="A112" t="s">
        <v>350</v>
      </c>
      <c r="B112" t="s">
        <v>382</v>
      </c>
      <c r="C112" t="s">
        <v>401</v>
      </c>
      <c r="D112" t="s">
        <v>521</v>
      </c>
      <c r="E112" t="s">
        <v>478</v>
      </c>
      <c r="F112" t="s">
        <v>522</v>
      </c>
      <c r="G112" t="s">
        <v>109</v>
      </c>
      <c r="H112" t="s">
        <v>386</v>
      </c>
      <c r="I112" t="s">
        <v>109</v>
      </c>
    </row>
    <row r="113">
      <c r="A113" t="s">
        <v>350</v>
      </c>
      <c r="B113" t="s">
        <v>382</v>
      </c>
      <c r="C113" t="s">
        <v>404</v>
      </c>
      <c r="D113" t="s">
        <v>523</v>
      </c>
      <c r="E113" t="s">
        <v>478</v>
      </c>
      <c r="F113" t="s">
        <v>524</v>
      </c>
      <c r="G113" t="s">
        <v>109</v>
      </c>
      <c r="H113" t="s">
        <v>386</v>
      </c>
      <c r="I113" t="s">
        <v>109</v>
      </c>
    </row>
    <row r="114">
      <c r="A114" t="s">
        <v>350</v>
      </c>
      <c r="B114" t="s">
        <v>382</v>
      </c>
      <c r="C114" t="s">
        <v>407</v>
      </c>
      <c r="D114" t="s">
        <v>525</v>
      </c>
      <c r="E114" t="s">
        <v>478</v>
      </c>
      <c r="F114" t="s">
        <v>99</v>
      </c>
      <c r="G114" t="s">
        <v>109</v>
      </c>
      <c r="H114" t="s">
        <v>386</v>
      </c>
      <c r="I114" t="s">
        <v>109</v>
      </c>
    </row>
    <row r="115">
      <c r="A115" t="s">
        <v>350</v>
      </c>
      <c r="B115" t="s">
        <v>382</v>
      </c>
      <c r="C115" t="s">
        <v>409</v>
      </c>
      <c r="D115" t="s">
        <v>526</v>
      </c>
      <c r="E115" t="s">
        <v>527</v>
      </c>
      <c r="F115" t="s">
        <v>109</v>
      </c>
      <c r="G115" t="s">
        <v>109</v>
      </c>
      <c r="H115" t="s">
        <v>109</v>
      </c>
      <c r="I115" t="s">
        <v>528</v>
      </c>
    </row>
    <row r="116">
      <c r="A116" t="s">
        <v>350</v>
      </c>
      <c r="B116" t="s">
        <v>382</v>
      </c>
      <c r="C116" t="s">
        <v>412</v>
      </c>
      <c r="D116" t="s">
        <v>526</v>
      </c>
      <c r="E116" t="s">
        <v>527</v>
      </c>
      <c r="F116" t="s">
        <v>109</v>
      </c>
      <c r="G116" t="s">
        <v>109</v>
      </c>
      <c r="H116" t="s">
        <v>109</v>
      </c>
      <c r="I116" t="s">
        <v>529</v>
      </c>
    </row>
    <row r="117">
      <c r="A117" t="s">
        <v>350</v>
      </c>
      <c r="B117" t="s">
        <v>382</v>
      </c>
      <c r="C117" t="s">
        <v>415</v>
      </c>
      <c r="D117" t="s">
        <v>526</v>
      </c>
      <c r="E117" t="s">
        <v>527</v>
      </c>
      <c r="F117" t="s">
        <v>109</v>
      </c>
      <c r="G117" t="s">
        <v>109</v>
      </c>
      <c r="H117" t="s">
        <v>109</v>
      </c>
      <c r="I117" t="s">
        <v>530</v>
      </c>
    </row>
    <row r="118">
      <c r="A118" t="s">
        <v>350</v>
      </c>
      <c r="B118" t="s">
        <v>417</v>
      </c>
      <c r="C118" t="s">
        <v>319</v>
      </c>
      <c r="D118" t="s">
        <v>531</v>
      </c>
      <c r="E118" t="s">
        <v>384</v>
      </c>
      <c r="F118" t="s">
        <v>532</v>
      </c>
      <c r="G118" t="s">
        <v>386</v>
      </c>
      <c r="H118" t="s">
        <v>386</v>
      </c>
      <c r="I118" t="s">
        <v>109</v>
      </c>
    </row>
    <row r="119">
      <c r="A119" t="s">
        <v>350</v>
      </c>
      <c r="B119" t="s">
        <v>417</v>
      </c>
      <c r="C119" t="s">
        <v>387</v>
      </c>
      <c r="D119" t="s">
        <v>533</v>
      </c>
      <c r="E119" t="s">
        <v>389</v>
      </c>
      <c r="F119" t="s">
        <v>458</v>
      </c>
      <c r="G119" t="s">
        <v>386</v>
      </c>
      <c r="H119" t="s">
        <v>386</v>
      </c>
      <c r="I119" t="s">
        <v>109</v>
      </c>
    </row>
    <row r="120">
      <c r="A120" t="s">
        <v>350</v>
      </c>
      <c r="B120" t="s">
        <v>417</v>
      </c>
      <c r="C120" t="s">
        <v>391</v>
      </c>
      <c r="D120" t="s">
        <v>534</v>
      </c>
      <c r="E120" t="s">
        <v>518</v>
      </c>
      <c r="F120" t="s">
        <v>122</v>
      </c>
      <c r="G120" t="s">
        <v>426</v>
      </c>
      <c r="H120" t="s">
        <v>465</v>
      </c>
      <c r="I120" t="s">
        <v>109</v>
      </c>
    </row>
    <row r="121">
      <c r="A121" t="s">
        <v>350</v>
      </c>
      <c r="B121" t="s">
        <v>417</v>
      </c>
      <c r="C121" t="s">
        <v>394</v>
      </c>
      <c r="D121" t="s">
        <v>535</v>
      </c>
      <c r="E121" t="s">
        <v>396</v>
      </c>
      <c r="F121" t="s">
        <v>536</v>
      </c>
      <c r="G121" t="s">
        <v>537</v>
      </c>
      <c r="H121" t="s">
        <v>460</v>
      </c>
      <c r="I121" t="s">
        <v>109</v>
      </c>
    </row>
    <row r="122">
      <c r="A122" t="s">
        <v>350</v>
      </c>
      <c r="B122" t="s">
        <v>417</v>
      </c>
      <c r="C122" t="s">
        <v>398</v>
      </c>
      <c r="D122" t="s">
        <v>538</v>
      </c>
      <c r="E122" t="s">
        <v>396</v>
      </c>
      <c r="F122" t="s">
        <v>446</v>
      </c>
      <c r="G122" t="s">
        <v>171</v>
      </c>
      <c r="H122" t="s">
        <v>465</v>
      </c>
      <c r="I122" t="s">
        <v>109</v>
      </c>
    </row>
    <row r="123">
      <c r="A123" t="s">
        <v>350</v>
      </c>
      <c r="B123" t="s">
        <v>417</v>
      </c>
      <c r="C123" t="s">
        <v>401</v>
      </c>
      <c r="D123" t="s">
        <v>539</v>
      </c>
      <c r="E123" t="s">
        <v>478</v>
      </c>
      <c r="F123" t="s">
        <v>107</v>
      </c>
      <c r="G123" t="s">
        <v>393</v>
      </c>
      <c r="H123" t="s">
        <v>540</v>
      </c>
      <c r="I123" t="s">
        <v>109</v>
      </c>
    </row>
    <row r="124">
      <c r="A124" t="s">
        <v>350</v>
      </c>
      <c r="B124" t="s">
        <v>417</v>
      </c>
      <c r="C124" t="s">
        <v>404</v>
      </c>
      <c r="D124" t="s">
        <v>541</v>
      </c>
      <c r="E124" t="s">
        <v>478</v>
      </c>
      <c r="F124" t="s">
        <v>207</v>
      </c>
      <c r="G124" t="s">
        <v>390</v>
      </c>
      <c r="H124" t="s">
        <v>386</v>
      </c>
      <c r="I124" t="s">
        <v>109</v>
      </c>
    </row>
    <row r="125">
      <c r="A125" t="s">
        <v>350</v>
      </c>
      <c r="B125" t="s">
        <v>417</v>
      </c>
      <c r="C125" t="s">
        <v>407</v>
      </c>
      <c r="D125" t="s">
        <v>541</v>
      </c>
      <c r="E125" t="s">
        <v>478</v>
      </c>
      <c r="F125" t="s">
        <v>207</v>
      </c>
      <c r="G125" t="s">
        <v>386</v>
      </c>
      <c r="H125" t="s">
        <v>386</v>
      </c>
      <c r="I125" t="s">
        <v>109</v>
      </c>
    </row>
    <row r="126">
      <c r="A126" t="s">
        <v>350</v>
      </c>
      <c r="B126" t="s">
        <v>417</v>
      </c>
      <c r="C126" t="s">
        <v>409</v>
      </c>
      <c r="D126" t="s">
        <v>542</v>
      </c>
      <c r="E126" t="s">
        <v>527</v>
      </c>
      <c r="F126" t="s">
        <v>109</v>
      </c>
      <c r="G126" t="s">
        <v>109</v>
      </c>
      <c r="H126" t="s">
        <v>109</v>
      </c>
      <c r="I126" t="s">
        <v>528</v>
      </c>
    </row>
    <row r="127">
      <c r="A127" t="s">
        <v>350</v>
      </c>
      <c r="B127" t="s">
        <v>417</v>
      </c>
      <c r="C127" t="s">
        <v>412</v>
      </c>
      <c r="D127" t="s">
        <v>542</v>
      </c>
      <c r="E127" t="s">
        <v>527</v>
      </c>
      <c r="F127" t="s">
        <v>109</v>
      </c>
      <c r="G127" t="s">
        <v>109</v>
      </c>
      <c r="H127" t="s">
        <v>109</v>
      </c>
      <c r="I127" t="s">
        <v>529</v>
      </c>
    </row>
    <row r="128">
      <c r="A128" t="s">
        <v>350</v>
      </c>
      <c r="B128" t="s">
        <v>417</v>
      </c>
      <c r="C128" t="s">
        <v>415</v>
      </c>
      <c r="D128" t="s">
        <v>542</v>
      </c>
      <c r="E128" t="s">
        <v>527</v>
      </c>
      <c r="F128" t="s">
        <v>109</v>
      </c>
      <c r="G128" t="s">
        <v>109</v>
      </c>
      <c r="H128" t="s">
        <v>109</v>
      </c>
      <c r="I128" t="s">
        <v>530</v>
      </c>
    </row>
    <row r="129">
      <c r="A129" t="s">
        <v>350</v>
      </c>
      <c r="B129" t="s">
        <v>440</v>
      </c>
      <c r="C129" t="s">
        <v>319</v>
      </c>
      <c r="D129" t="s">
        <v>543</v>
      </c>
      <c r="E129" t="s">
        <v>384</v>
      </c>
      <c r="F129" t="s">
        <v>544</v>
      </c>
      <c r="G129" t="s">
        <v>386</v>
      </c>
      <c r="H129" t="s">
        <v>386</v>
      </c>
      <c r="I129" t="s">
        <v>109</v>
      </c>
    </row>
    <row r="130">
      <c r="A130" t="s">
        <v>350</v>
      </c>
      <c r="B130" t="s">
        <v>440</v>
      </c>
      <c r="C130" t="s">
        <v>387</v>
      </c>
      <c r="D130" t="s">
        <v>545</v>
      </c>
      <c r="E130" t="s">
        <v>389</v>
      </c>
      <c r="F130" t="s">
        <v>546</v>
      </c>
      <c r="G130" t="s">
        <v>386</v>
      </c>
      <c r="H130" t="s">
        <v>386</v>
      </c>
      <c r="I130" t="s">
        <v>109</v>
      </c>
    </row>
    <row r="131">
      <c r="A131" t="s">
        <v>350</v>
      </c>
      <c r="B131" t="s">
        <v>440</v>
      </c>
      <c r="C131" t="s">
        <v>391</v>
      </c>
      <c r="D131" t="s">
        <v>547</v>
      </c>
      <c r="E131" t="s">
        <v>518</v>
      </c>
      <c r="F131" t="s">
        <v>516</v>
      </c>
      <c r="G131" t="s">
        <v>516</v>
      </c>
      <c r="H131" t="s">
        <v>386</v>
      </c>
      <c r="I131" t="s">
        <v>109</v>
      </c>
    </row>
    <row r="132">
      <c r="A132" t="s">
        <v>350</v>
      </c>
      <c r="B132" t="s">
        <v>440</v>
      </c>
      <c r="C132" t="s">
        <v>394</v>
      </c>
      <c r="D132" t="s">
        <v>548</v>
      </c>
      <c r="E132" t="s">
        <v>396</v>
      </c>
      <c r="F132" t="s">
        <v>482</v>
      </c>
      <c r="G132" t="s">
        <v>482</v>
      </c>
      <c r="H132" t="s">
        <v>386</v>
      </c>
      <c r="I132" t="s">
        <v>109</v>
      </c>
    </row>
    <row r="133">
      <c r="A133" t="s">
        <v>350</v>
      </c>
      <c r="B133" t="s">
        <v>440</v>
      </c>
      <c r="C133" t="s">
        <v>398</v>
      </c>
      <c r="D133" t="s">
        <v>549</v>
      </c>
      <c r="E133" t="s">
        <v>396</v>
      </c>
      <c r="F133" t="s">
        <v>550</v>
      </c>
      <c r="G133" t="s">
        <v>550</v>
      </c>
      <c r="H133" t="s">
        <v>386</v>
      </c>
      <c r="I133" t="s">
        <v>109</v>
      </c>
    </row>
    <row r="134">
      <c r="A134" t="s">
        <v>350</v>
      </c>
      <c r="B134" t="s">
        <v>440</v>
      </c>
      <c r="C134" t="s">
        <v>401</v>
      </c>
      <c r="D134" t="s">
        <v>551</v>
      </c>
      <c r="E134" t="s">
        <v>396</v>
      </c>
      <c r="F134" t="s">
        <v>473</v>
      </c>
      <c r="G134" t="s">
        <v>473</v>
      </c>
      <c r="H134" t="s">
        <v>386</v>
      </c>
      <c r="I134" t="s">
        <v>109</v>
      </c>
    </row>
    <row r="135">
      <c r="A135" t="s">
        <v>350</v>
      </c>
      <c r="B135" t="s">
        <v>440</v>
      </c>
      <c r="C135" t="s">
        <v>404</v>
      </c>
      <c r="D135" t="s">
        <v>552</v>
      </c>
      <c r="E135" t="s">
        <v>396</v>
      </c>
      <c r="F135" t="s">
        <v>490</v>
      </c>
      <c r="G135" t="s">
        <v>390</v>
      </c>
      <c r="H135" t="s">
        <v>386</v>
      </c>
      <c r="I135" t="s">
        <v>109</v>
      </c>
    </row>
    <row r="136">
      <c r="A136" t="s">
        <v>350</v>
      </c>
      <c r="B136" t="s">
        <v>440</v>
      </c>
      <c r="C136" t="s">
        <v>407</v>
      </c>
      <c r="D136" t="s">
        <v>553</v>
      </c>
      <c r="E136" t="s">
        <v>396</v>
      </c>
      <c r="F136" t="s">
        <v>444</v>
      </c>
      <c r="G136" t="s">
        <v>386</v>
      </c>
      <c r="H136" t="s">
        <v>386</v>
      </c>
      <c r="I136" t="s">
        <v>109</v>
      </c>
    </row>
    <row r="137">
      <c r="A137" t="s">
        <v>350</v>
      </c>
      <c r="B137" t="s">
        <v>440</v>
      </c>
      <c r="C137" t="s">
        <v>409</v>
      </c>
      <c r="D137" t="s">
        <v>554</v>
      </c>
      <c r="E137" t="s">
        <v>527</v>
      </c>
      <c r="F137" t="s">
        <v>109</v>
      </c>
      <c r="G137" t="s">
        <v>109</v>
      </c>
      <c r="H137" t="s">
        <v>109</v>
      </c>
      <c r="I137" t="s">
        <v>528</v>
      </c>
    </row>
    <row r="138">
      <c r="A138" t="s">
        <v>350</v>
      </c>
      <c r="B138" t="s">
        <v>440</v>
      </c>
      <c r="C138" t="s">
        <v>412</v>
      </c>
      <c r="D138" t="s">
        <v>554</v>
      </c>
      <c r="E138" t="s">
        <v>527</v>
      </c>
      <c r="F138" t="s">
        <v>109</v>
      </c>
      <c r="G138" t="s">
        <v>109</v>
      </c>
      <c r="H138" t="s">
        <v>109</v>
      </c>
      <c r="I138" t="s">
        <v>529</v>
      </c>
    </row>
    <row r="139">
      <c r="A139" t="s">
        <v>350</v>
      </c>
      <c r="B139" t="s">
        <v>440</v>
      </c>
      <c r="C139" t="s">
        <v>415</v>
      </c>
      <c r="D139" t="s">
        <v>554</v>
      </c>
      <c r="E139" t="s">
        <v>527</v>
      </c>
      <c r="F139" t="s">
        <v>109</v>
      </c>
      <c r="G139" t="s">
        <v>109</v>
      </c>
      <c r="H139" t="s">
        <v>109</v>
      </c>
      <c r="I139" t="s">
        <v>530</v>
      </c>
    </row>
    <row r="141">
      <c r="A141" s="1" t="s">
        <v>555</v>
      </c>
    </row>
    <row r="142">
      <c r="A142" t="s">
        <v>312</v>
      </c>
      <c r="B142" t="s">
        <v>556</v>
      </c>
      <c r="C142" t="s">
        <v>313</v>
      </c>
      <c r="D142" t="s">
        <v>314</v>
      </c>
      <c r="E142" t="s">
        <v>557</v>
      </c>
      <c r="F142" t="s">
        <v>558</v>
      </c>
      <c r="G142" t="s">
        <v>559</v>
      </c>
      <c r="H142" t="s">
        <v>560</v>
      </c>
      <c r="I142" t="s">
        <v>42</v>
      </c>
      <c r="J142" t="s">
        <v>561</v>
      </c>
      <c r="K142" t="s">
        <v>41</v>
      </c>
      <c r="L142" t="s">
        <v>562</v>
      </c>
      <c r="M142" t="s">
        <v>1</v>
      </c>
    </row>
    <row r="143">
      <c r="A143" t="s">
        <v>30</v>
      </c>
      <c r="B143" t="s">
        <v>394</v>
      </c>
      <c r="C143" t="n">
        <v>204</v>
      </c>
      <c r="D143" t="n">
        <v>123</v>
      </c>
      <c r="E143" s="13" t="n">
        <v>12.7450980392157</v>
      </c>
      <c r="F143" s="13" t="n">
        <v>77.4509803921569</v>
      </c>
      <c r="G143" t="n">
        <v>132</v>
      </c>
      <c r="H143" t="n">
        <v>0</v>
      </c>
      <c r="I143" t="s">
        <v>563</v>
      </c>
      <c r="J143" s="11" t="n">
        <v>82.9714285714286</v>
      </c>
      <c r="K143" t="s">
        <v>50</v>
      </c>
      <c r="L143" t="s">
        <v>50</v>
      </c>
      <c r="M143" t="s">
        <v>109</v>
      </c>
    </row>
    <row r="144">
      <c r="A144" t="s">
        <v>30</v>
      </c>
      <c r="B144" t="s">
        <v>398</v>
      </c>
      <c r="C144" t="n">
        <v>204</v>
      </c>
      <c r="D144" t="n">
        <v>123</v>
      </c>
      <c r="E144" s="13" t="n">
        <v>36.2745098039216</v>
      </c>
      <c r="F144" s="13" t="n">
        <v>94.6078431372549</v>
      </c>
      <c r="G144" t="n">
        <v>119</v>
      </c>
      <c r="H144" t="n">
        <v>0</v>
      </c>
      <c r="I144" t="s">
        <v>563</v>
      </c>
      <c r="J144" s="11" t="n">
        <v>74.1413612565445</v>
      </c>
      <c r="K144" t="s">
        <v>50</v>
      </c>
      <c r="L144" t="s">
        <v>50</v>
      </c>
      <c r="M144" t="s">
        <v>109</v>
      </c>
    </row>
    <row r="145">
      <c r="A145" t="s">
        <v>30</v>
      </c>
      <c r="B145" t="s">
        <v>401</v>
      </c>
      <c r="C145" t="n">
        <v>204</v>
      </c>
      <c r="D145" t="n">
        <v>123</v>
      </c>
      <c r="E145" s="13" t="n">
        <v>57.3529411764706</v>
      </c>
      <c r="F145" s="13" t="n">
        <v>98.5294117647059</v>
      </c>
      <c r="G145" t="n">
        <v>84</v>
      </c>
      <c r="H145" t="n">
        <v>0</v>
      </c>
      <c r="I145" t="s">
        <v>563</v>
      </c>
      <c r="J145" s="11" t="n">
        <v>53.4545454545455</v>
      </c>
      <c r="K145" t="s">
        <v>50</v>
      </c>
      <c r="L145" t="s">
        <v>50</v>
      </c>
      <c r="M145" t="s">
        <v>109</v>
      </c>
    </row>
    <row r="146">
      <c r="A146" t="s">
        <v>30</v>
      </c>
      <c r="B146" t="s">
        <v>404</v>
      </c>
      <c r="C146" t="n">
        <v>204</v>
      </c>
      <c r="D146" t="n">
        <v>123</v>
      </c>
      <c r="E146" s="13" t="n">
        <v>71.078431372549</v>
      </c>
      <c r="F146" s="13" t="n">
        <v>99.5098039215686</v>
      </c>
      <c r="G146" t="n">
        <v>58</v>
      </c>
      <c r="H146" t="n">
        <v>0</v>
      </c>
      <c r="I146" t="s">
        <v>563</v>
      </c>
      <c r="J146" s="11" t="n">
        <v>40.0476190476191</v>
      </c>
      <c r="K146" t="s">
        <v>50</v>
      </c>
      <c r="L146" t="s">
        <v>50</v>
      </c>
      <c r="M146" t="s">
        <v>109</v>
      </c>
    </row>
    <row r="147">
      <c r="A147" t="s">
        <v>30</v>
      </c>
      <c r="B147" t="s">
        <v>407</v>
      </c>
      <c r="C147" t="n">
        <v>204</v>
      </c>
      <c r="D147" t="n">
        <v>123</v>
      </c>
      <c r="E147" s="13" t="n">
        <v>80.8823529411765</v>
      </c>
      <c r="F147" s="13" t="n">
        <v>99.5098039215686</v>
      </c>
      <c r="G147" t="n">
        <v>38</v>
      </c>
      <c r="H147" t="n">
        <v>0</v>
      </c>
      <c r="I147" t="s">
        <v>563</v>
      </c>
      <c r="J147" s="11" t="n">
        <v>26.7407407407407</v>
      </c>
      <c r="K147" t="s">
        <v>50</v>
      </c>
      <c r="L147" t="s">
        <v>50</v>
      </c>
      <c r="M147" t="s">
        <v>109</v>
      </c>
    </row>
    <row r="148">
      <c r="A148" t="s">
        <v>30</v>
      </c>
      <c r="B148" t="s">
        <v>409</v>
      </c>
      <c r="C148" t="n">
        <v>204</v>
      </c>
      <c r="D148" t="n">
        <v>123</v>
      </c>
      <c r="E148" s="13" t="n">
        <v>87.7450980392157</v>
      </c>
      <c r="F148" s="13" t="n">
        <v>100</v>
      </c>
      <c r="G148" t="n">
        <v>25</v>
      </c>
      <c r="H148" t="n">
        <v>0</v>
      </c>
      <c r="I148" t="s">
        <v>563</v>
      </c>
      <c r="J148" s="11" t="n">
        <v>16.025641025641</v>
      </c>
      <c r="K148" t="s">
        <v>50</v>
      </c>
      <c r="L148" t="s">
        <v>50</v>
      </c>
      <c r="M148" t="s">
        <v>109</v>
      </c>
    </row>
    <row r="149">
      <c r="A149" t="s">
        <v>30</v>
      </c>
      <c r="B149" t="s">
        <v>412</v>
      </c>
      <c r="C149" t="n">
        <v>204</v>
      </c>
      <c r="D149" t="n">
        <v>123</v>
      </c>
      <c r="E149" s="13" t="n">
        <v>92.6470588235294</v>
      </c>
      <c r="F149" s="13" t="n">
        <v>100</v>
      </c>
      <c r="G149" t="n">
        <v>15</v>
      </c>
      <c r="H149" t="n">
        <v>0</v>
      </c>
      <c r="I149" t="s">
        <v>564</v>
      </c>
      <c r="J149" s="11"/>
      <c r="K149" t="s">
        <v>50</v>
      </c>
      <c r="L149" t="s">
        <v>50</v>
      </c>
      <c r="M149" t="s">
        <v>109</v>
      </c>
    </row>
    <row r="150">
      <c r="A150" t="s">
        <v>30</v>
      </c>
      <c r="B150" t="s">
        <v>415</v>
      </c>
      <c r="C150" t="n">
        <v>204</v>
      </c>
      <c r="D150" t="n">
        <v>123</v>
      </c>
      <c r="E150" s="13" t="n">
        <v>95.0980392156863</v>
      </c>
      <c r="F150" s="13" t="n">
        <v>100</v>
      </c>
      <c r="G150" t="n">
        <v>10</v>
      </c>
      <c r="H150" t="n">
        <v>0</v>
      </c>
      <c r="I150" t="s">
        <v>564</v>
      </c>
      <c r="J150" s="11"/>
      <c r="K150" t="s">
        <v>372</v>
      </c>
      <c r="L150" t="s">
        <v>372</v>
      </c>
      <c r="M150" t="s">
        <v>109</v>
      </c>
    </row>
    <row r="151">
      <c r="A151" t="s">
        <v>31</v>
      </c>
      <c r="B151" t="s">
        <v>394</v>
      </c>
      <c r="C151" t="n">
        <v>149</v>
      </c>
      <c r="D151" t="n">
        <v>89</v>
      </c>
      <c r="E151" s="13" t="n">
        <v>18.7919463087248</v>
      </c>
      <c r="F151" s="13" t="n">
        <v>89.261744966443</v>
      </c>
      <c r="G151" t="n">
        <v>105</v>
      </c>
      <c r="H151" t="n">
        <v>0</v>
      </c>
      <c r="I151" t="s">
        <v>563</v>
      </c>
      <c r="J151" s="11" t="n">
        <v>63</v>
      </c>
      <c r="K151" t="s">
        <v>50</v>
      </c>
      <c r="L151" t="s">
        <v>50</v>
      </c>
      <c r="M151" t="s">
        <v>109</v>
      </c>
    </row>
    <row r="152">
      <c r="A152" t="s">
        <v>31</v>
      </c>
      <c r="B152" t="s">
        <v>398</v>
      </c>
      <c r="C152" t="n">
        <v>149</v>
      </c>
      <c r="D152" t="n">
        <v>89</v>
      </c>
      <c r="E152" s="13" t="n">
        <v>46.9798657718121</v>
      </c>
      <c r="F152" s="13" t="n">
        <v>98.6577181208054</v>
      </c>
      <c r="G152" t="n">
        <v>77</v>
      </c>
      <c r="H152" t="n">
        <v>0</v>
      </c>
      <c r="I152" t="s">
        <v>563</v>
      </c>
      <c r="J152" s="11" t="n">
        <v>48.2032520325203</v>
      </c>
      <c r="K152" t="s">
        <v>50</v>
      </c>
      <c r="L152" t="s">
        <v>50</v>
      </c>
      <c r="M152" t="s">
        <v>109</v>
      </c>
    </row>
    <row r="153">
      <c r="A153" t="s">
        <v>31</v>
      </c>
      <c r="B153" t="s">
        <v>401</v>
      </c>
      <c r="C153" t="n">
        <v>149</v>
      </c>
      <c r="D153" t="n">
        <v>89</v>
      </c>
      <c r="E153" s="13" t="n">
        <v>67.7852348993289</v>
      </c>
      <c r="F153" s="13" t="n">
        <v>100</v>
      </c>
      <c r="G153" t="n">
        <v>48</v>
      </c>
      <c r="H153" t="n">
        <v>0</v>
      </c>
      <c r="I153" t="s">
        <v>563</v>
      </c>
      <c r="J153" s="11" t="n">
        <v>31.1351351351351</v>
      </c>
      <c r="K153" t="s">
        <v>50</v>
      </c>
      <c r="L153" t="s">
        <v>50</v>
      </c>
      <c r="M153" t="s">
        <v>109</v>
      </c>
    </row>
    <row r="154">
      <c r="A154" t="s">
        <v>31</v>
      </c>
      <c r="B154" t="s">
        <v>404</v>
      </c>
      <c r="C154" t="n">
        <v>149</v>
      </c>
      <c r="D154" t="n">
        <v>89</v>
      </c>
      <c r="E154" s="13" t="n">
        <v>79.1946308724832</v>
      </c>
      <c r="F154" s="13" t="n">
        <v>100</v>
      </c>
      <c r="G154" t="n">
        <v>31</v>
      </c>
      <c r="H154" t="n">
        <v>0</v>
      </c>
      <c r="I154" t="s">
        <v>563</v>
      </c>
      <c r="J154" s="11" t="n">
        <v>21.3555555555556</v>
      </c>
      <c r="K154" t="s">
        <v>50</v>
      </c>
      <c r="L154" t="s">
        <v>50</v>
      </c>
      <c r="M154" t="s">
        <v>109</v>
      </c>
    </row>
    <row r="155">
      <c r="A155" t="s">
        <v>31</v>
      </c>
      <c r="B155" t="s">
        <v>407</v>
      </c>
      <c r="C155" t="n">
        <v>149</v>
      </c>
      <c r="D155" t="n">
        <v>89</v>
      </c>
      <c r="E155" s="13" t="n">
        <v>89.261744966443</v>
      </c>
      <c r="F155" s="13" t="n">
        <v>100</v>
      </c>
      <c r="G155" t="n">
        <v>16</v>
      </c>
      <c r="H155" t="n">
        <v>0</v>
      </c>
      <c r="I155" t="s">
        <v>564</v>
      </c>
      <c r="J155" s="11"/>
      <c r="K155" t="s">
        <v>50</v>
      </c>
      <c r="L155" t="s">
        <v>50</v>
      </c>
      <c r="M155" t="s">
        <v>109</v>
      </c>
    </row>
    <row r="156">
      <c r="A156" t="s">
        <v>31</v>
      </c>
      <c r="B156" t="s">
        <v>409</v>
      </c>
      <c r="C156" t="n">
        <v>149</v>
      </c>
      <c r="D156" t="n">
        <v>89</v>
      </c>
      <c r="E156" s="13" t="n">
        <v>97.3154362416107</v>
      </c>
      <c r="F156" s="13" t="n">
        <v>100</v>
      </c>
      <c r="G156" t="n">
        <v>4</v>
      </c>
      <c r="H156" t="n">
        <v>0</v>
      </c>
      <c r="I156" t="s">
        <v>565</v>
      </c>
      <c r="J156" s="11"/>
      <c r="K156" t="s">
        <v>189</v>
      </c>
      <c r="L156" t="s">
        <v>189</v>
      </c>
      <c r="M156" t="s">
        <v>109</v>
      </c>
    </row>
    <row r="157">
      <c r="A157" t="s">
        <v>31</v>
      </c>
      <c r="B157" t="s">
        <v>412</v>
      </c>
      <c r="C157" t="n">
        <v>149</v>
      </c>
      <c r="D157" t="n">
        <v>89</v>
      </c>
      <c r="E157" s="13" t="n">
        <v>100</v>
      </c>
      <c r="F157" s="13" t="n">
        <v>100</v>
      </c>
      <c r="G157" t="n">
        <v>0</v>
      </c>
      <c r="H157" t="n">
        <v>0</v>
      </c>
      <c r="I157" t="s">
        <v>527</v>
      </c>
      <c r="J157" s="11"/>
      <c r="K157" t="s">
        <v>109</v>
      </c>
      <c r="L157" t="s">
        <v>109</v>
      </c>
      <c r="M157" t="s">
        <v>566</v>
      </c>
    </row>
    <row r="158">
      <c r="A158" t="s">
        <v>31</v>
      </c>
      <c r="B158" t="s">
        <v>415</v>
      </c>
      <c r="C158" t="n">
        <v>149</v>
      </c>
      <c r="D158" t="n">
        <v>89</v>
      </c>
      <c r="E158" s="13" t="n">
        <v>100</v>
      </c>
      <c r="F158" s="13" t="n">
        <v>100</v>
      </c>
      <c r="G158" t="n">
        <v>0</v>
      </c>
      <c r="H158" t="n">
        <v>0</v>
      </c>
      <c r="I158" t="s">
        <v>527</v>
      </c>
      <c r="J158" s="11"/>
      <c r="K158" t="s">
        <v>109</v>
      </c>
      <c r="L158" t="s">
        <v>109</v>
      </c>
      <c r="M158" t="s">
        <v>566</v>
      </c>
    </row>
    <row r="159">
      <c r="A159" t="s">
        <v>32</v>
      </c>
      <c r="B159" t="s">
        <v>394</v>
      </c>
      <c r="C159" t="n">
        <v>133</v>
      </c>
      <c r="D159" t="n">
        <v>79</v>
      </c>
      <c r="E159" s="13" t="n">
        <v>20.3007518796992</v>
      </c>
      <c r="F159" s="13" t="n">
        <v>81.9548872180451</v>
      </c>
      <c r="G159" t="n">
        <v>84</v>
      </c>
      <c r="H159" t="n">
        <v>2</v>
      </c>
      <c r="I159" t="s">
        <v>563</v>
      </c>
      <c r="J159" s="11" t="n">
        <v>49.4411764705882</v>
      </c>
      <c r="K159" t="s">
        <v>50</v>
      </c>
      <c r="L159" t="s">
        <v>50</v>
      </c>
      <c r="M159" t="s">
        <v>109</v>
      </c>
    </row>
    <row r="160">
      <c r="A160" t="s">
        <v>32</v>
      </c>
      <c r="B160" t="s">
        <v>398</v>
      </c>
      <c r="C160" t="n">
        <v>133</v>
      </c>
      <c r="D160" t="n">
        <v>79</v>
      </c>
      <c r="E160" s="13" t="n">
        <v>44.3609022556391</v>
      </c>
      <c r="F160" s="13" t="n">
        <v>93.984962406015</v>
      </c>
      <c r="G160" t="n">
        <v>66</v>
      </c>
      <c r="H160" t="n">
        <v>0</v>
      </c>
      <c r="I160" t="s">
        <v>563</v>
      </c>
      <c r="J160" s="11" t="n">
        <v>41.0943396226415</v>
      </c>
      <c r="K160" t="s">
        <v>50</v>
      </c>
      <c r="L160" t="s">
        <v>50</v>
      </c>
      <c r="M160" t="s">
        <v>109</v>
      </c>
    </row>
    <row r="161">
      <c r="A161" t="s">
        <v>32</v>
      </c>
      <c r="B161" t="s">
        <v>401</v>
      </c>
      <c r="C161" t="n">
        <v>133</v>
      </c>
      <c r="D161" t="n">
        <v>79</v>
      </c>
      <c r="E161" s="13" t="n">
        <v>60.9022556390977</v>
      </c>
      <c r="F161" s="13" t="n">
        <v>97.7443609022556</v>
      </c>
      <c r="G161" t="n">
        <v>49</v>
      </c>
      <c r="H161" t="n">
        <v>0</v>
      </c>
      <c r="I161" t="s">
        <v>563</v>
      </c>
      <c r="J161" s="11" t="n">
        <v>32.0133333333333</v>
      </c>
      <c r="K161" t="s">
        <v>50</v>
      </c>
      <c r="L161" t="s">
        <v>50</v>
      </c>
      <c r="M161" t="s">
        <v>109</v>
      </c>
    </row>
    <row r="162">
      <c r="A162" t="s">
        <v>32</v>
      </c>
      <c r="B162" t="s">
        <v>404</v>
      </c>
      <c r="C162" t="n">
        <v>133</v>
      </c>
      <c r="D162" t="n">
        <v>79</v>
      </c>
      <c r="E162" s="13" t="n">
        <v>72.1804511278195</v>
      </c>
      <c r="F162" s="13" t="n">
        <v>98.4962406015038</v>
      </c>
      <c r="G162" t="n">
        <v>35</v>
      </c>
      <c r="H162" t="n">
        <v>0</v>
      </c>
      <c r="I162" t="s">
        <v>563</v>
      </c>
      <c r="J162" s="11" t="n">
        <v>23.1132075471698</v>
      </c>
      <c r="K162" t="s">
        <v>50</v>
      </c>
      <c r="L162" t="s">
        <v>50</v>
      </c>
      <c r="M162" t="s">
        <v>109</v>
      </c>
    </row>
    <row r="163">
      <c r="A163" t="s">
        <v>32</v>
      </c>
      <c r="B163" t="s">
        <v>407</v>
      </c>
      <c r="C163" t="n">
        <v>133</v>
      </c>
      <c r="D163" t="n">
        <v>79</v>
      </c>
      <c r="E163" s="13" t="n">
        <v>81.9548872180451</v>
      </c>
      <c r="F163" s="13" t="n">
        <v>99.2481203007519</v>
      </c>
      <c r="G163" t="n">
        <v>23</v>
      </c>
      <c r="H163" t="n">
        <v>0</v>
      </c>
      <c r="I163" t="s">
        <v>564</v>
      </c>
      <c r="J163" s="11"/>
      <c r="K163" t="s">
        <v>50</v>
      </c>
      <c r="L163" t="s">
        <v>50</v>
      </c>
      <c r="M163" t="s">
        <v>109</v>
      </c>
    </row>
    <row r="164">
      <c r="A164" t="s">
        <v>32</v>
      </c>
      <c r="B164" t="s">
        <v>409</v>
      </c>
      <c r="C164" t="n">
        <v>133</v>
      </c>
      <c r="D164" t="n">
        <v>79</v>
      </c>
      <c r="E164" s="13" t="n">
        <v>86.4661654135338</v>
      </c>
      <c r="F164" s="13" t="n">
        <v>100</v>
      </c>
      <c r="G164" t="n">
        <v>18</v>
      </c>
      <c r="H164" t="n">
        <v>0</v>
      </c>
      <c r="I164" t="s">
        <v>564</v>
      </c>
      <c r="J164" s="11"/>
      <c r="K164" t="s">
        <v>50</v>
      </c>
      <c r="L164" t="s">
        <v>50</v>
      </c>
      <c r="M164" t="s">
        <v>109</v>
      </c>
    </row>
    <row r="165">
      <c r="A165" t="s">
        <v>32</v>
      </c>
      <c r="B165" t="s">
        <v>412</v>
      </c>
      <c r="C165" t="n">
        <v>133</v>
      </c>
      <c r="D165" t="n">
        <v>79</v>
      </c>
      <c r="E165" s="13" t="n">
        <v>90.2255639097744</v>
      </c>
      <c r="F165" s="13" t="n">
        <v>100</v>
      </c>
      <c r="G165" t="n">
        <v>13</v>
      </c>
      <c r="H165" t="n">
        <v>0</v>
      </c>
      <c r="I165" t="s">
        <v>564</v>
      </c>
      <c r="J165" s="11"/>
      <c r="K165" t="s">
        <v>567</v>
      </c>
      <c r="L165" t="s">
        <v>568</v>
      </c>
      <c r="M165" t="s">
        <v>109</v>
      </c>
    </row>
    <row r="166">
      <c r="A166" t="s">
        <v>32</v>
      </c>
      <c r="B166" t="s">
        <v>415</v>
      </c>
      <c r="C166" t="n">
        <v>133</v>
      </c>
      <c r="D166" t="n">
        <v>79</v>
      </c>
      <c r="E166" s="13" t="n">
        <v>94.7368421052632</v>
      </c>
      <c r="F166" s="13" t="n">
        <v>100</v>
      </c>
      <c r="G166" t="n">
        <v>7</v>
      </c>
      <c r="H166" t="n">
        <v>0</v>
      </c>
      <c r="I166" t="s">
        <v>564</v>
      </c>
      <c r="J166" s="11"/>
      <c r="K166" t="s">
        <v>481</v>
      </c>
      <c r="L166" t="s">
        <v>481</v>
      </c>
      <c r="M166" t="s">
        <v>109</v>
      </c>
    </row>
    <row r="168">
      <c r="A168" s="1" t="s">
        <v>569</v>
      </c>
    </row>
    <row r="169">
      <c r="A169" t="s">
        <v>311</v>
      </c>
      <c r="B169" t="s">
        <v>312</v>
      </c>
      <c r="C169" t="s">
        <v>302</v>
      </c>
      <c r="D169" t="s">
        <v>313</v>
      </c>
      <c r="E169" t="s">
        <v>315</v>
      </c>
      <c r="F169" t="s">
        <v>316</v>
      </c>
      <c r="G169" t="s">
        <v>319</v>
      </c>
    </row>
    <row r="170">
      <c r="A170" t="s">
        <v>330</v>
      </c>
      <c r="B170" t="s">
        <v>30</v>
      </c>
      <c r="C170" t="s">
        <v>307</v>
      </c>
      <c r="D170" t="n">
        <v>113</v>
      </c>
      <c r="E170" s="11" t="n">
        <v>-0.444256449233809</v>
      </c>
      <c r="F170" s="11" t="n">
        <v>-0.00365628276718667</v>
      </c>
      <c r="G170" t="s">
        <v>570</v>
      </c>
    </row>
    <row r="171">
      <c r="A171" t="s">
        <v>330</v>
      </c>
      <c r="B171" t="s">
        <v>30</v>
      </c>
      <c r="C171" t="s">
        <v>308</v>
      </c>
      <c r="D171" t="n">
        <v>113</v>
      </c>
      <c r="E171" s="11" t="n">
        <v>-0.454191883133946</v>
      </c>
      <c r="F171" s="11" t="n">
        <v>0.000863734839152004</v>
      </c>
      <c r="G171" t="s">
        <v>331</v>
      </c>
    </row>
    <row r="172">
      <c r="A172" t="s">
        <v>330</v>
      </c>
      <c r="B172" t="s">
        <v>31</v>
      </c>
      <c r="C172" t="s">
        <v>307</v>
      </c>
      <c r="D172" t="n">
        <v>81</v>
      </c>
      <c r="E172" s="11" t="n">
        <v>-0.307314500999247</v>
      </c>
      <c r="F172" s="11" t="n">
        <v>0.0345902249954245</v>
      </c>
      <c r="G172" t="s">
        <v>571</v>
      </c>
    </row>
    <row r="173">
      <c r="A173" t="s">
        <v>330</v>
      </c>
      <c r="B173" t="s">
        <v>31</v>
      </c>
      <c r="C173" t="s">
        <v>308</v>
      </c>
      <c r="D173" t="n">
        <v>82</v>
      </c>
      <c r="E173" s="11" t="n">
        <v>-0.297330739979047</v>
      </c>
      <c r="F173" s="11" t="n">
        <v>-0.00987637245789813</v>
      </c>
      <c r="G173" t="s">
        <v>572</v>
      </c>
    </row>
    <row r="174">
      <c r="A174" t="s">
        <v>330</v>
      </c>
      <c r="B174" t="s">
        <v>32</v>
      </c>
      <c r="C174" t="s">
        <v>307</v>
      </c>
      <c r="D174" t="n">
        <v>73</v>
      </c>
      <c r="E174" s="11" t="n">
        <v>-0.415864515182009</v>
      </c>
      <c r="F174" s="11" t="n">
        <v>0.0347856677807322</v>
      </c>
      <c r="G174" t="s">
        <v>573</v>
      </c>
    </row>
    <row r="175">
      <c r="A175" t="s">
        <v>330</v>
      </c>
      <c r="B175" t="s">
        <v>32</v>
      </c>
      <c r="C175" t="s">
        <v>308</v>
      </c>
      <c r="D175" t="n">
        <v>69</v>
      </c>
      <c r="E175" s="11" t="n">
        <v>-0.239336966945373</v>
      </c>
      <c r="F175" s="11" t="n">
        <v>-0.0365233123016426</v>
      </c>
      <c r="G175" t="s">
        <v>574</v>
      </c>
    </row>
    <row r="176">
      <c r="A176" t="s">
        <v>340</v>
      </c>
      <c r="B176" t="s">
        <v>30</v>
      </c>
      <c r="C176" t="s">
        <v>307</v>
      </c>
      <c r="D176" t="n">
        <v>103</v>
      </c>
      <c r="E176" s="11" t="n">
        <v>0.434836825637256</v>
      </c>
      <c r="F176" s="11" t="n">
        <v>0.0370495306077591</v>
      </c>
      <c r="G176" t="s">
        <v>575</v>
      </c>
    </row>
    <row r="177">
      <c r="A177" t="s">
        <v>340</v>
      </c>
      <c r="B177" t="s">
        <v>30</v>
      </c>
      <c r="C177" t="s">
        <v>308</v>
      </c>
      <c r="D177" t="n">
        <v>101</v>
      </c>
      <c r="E177" s="11" t="n">
        <v>0.443911399965421</v>
      </c>
      <c r="F177" s="11" t="n">
        <v>-0.0410041813648108</v>
      </c>
      <c r="G177" t="s">
        <v>576</v>
      </c>
    </row>
    <row r="178">
      <c r="A178" t="s">
        <v>340</v>
      </c>
      <c r="B178" t="s">
        <v>31</v>
      </c>
      <c r="C178" t="s">
        <v>307</v>
      </c>
      <c r="D178" t="n">
        <v>74</v>
      </c>
      <c r="E178" s="11" t="n">
        <v>0.258979828213572</v>
      </c>
      <c r="F178" s="11" t="n">
        <v>0.00915247267375806</v>
      </c>
      <c r="G178" t="s">
        <v>577</v>
      </c>
    </row>
    <row r="179">
      <c r="A179" t="s">
        <v>340</v>
      </c>
      <c r="B179" t="s">
        <v>31</v>
      </c>
      <c r="C179" t="s">
        <v>308</v>
      </c>
      <c r="D179" t="n">
        <v>75</v>
      </c>
      <c r="E179" s="11" t="n">
        <v>0.224972674556581</v>
      </c>
      <c r="F179" s="11" t="n">
        <v>-0.0114539981978664</v>
      </c>
      <c r="G179" t="s">
        <v>578</v>
      </c>
    </row>
    <row r="180">
      <c r="A180" t="s">
        <v>340</v>
      </c>
      <c r="B180" t="s">
        <v>32</v>
      </c>
      <c r="C180" t="s">
        <v>307</v>
      </c>
      <c r="D180" t="n">
        <v>69</v>
      </c>
      <c r="E180" s="11" t="n">
        <v>0.362557538368392</v>
      </c>
      <c r="F180" s="11" t="n">
        <v>0.028844598561279</v>
      </c>
      <c r="G180" t="s">
        <v>579</v>
      </c>
    </row>
    <row r="181">
      <c r="A181" t="s">
        <v>340</v>
      </c>
      <c r="B181" t="s">
        <v>32</v>
      </c>
      <c r="C181" t="s">
        <v>308</v>
      </c>
      <c r="D181" t="n">
        <v>64</v>
      </c>
      <c r="E181" s="11" t="n">
        <v>0.192351723615966</v>
      </c>
      <c r="F181" s="11" t="n">
        <v>-0.0446325316946643</v>
      </c>
      <c r="G181" t="s">
        <v>580</v>
      </c>
    </row>
    <row r="182">
      <c r="A182" t="s">
        <v>350</v>
      </c>
      <c r="B182" t="s">
        <v>30</v>
      </c>
      <c r="C182" t="s">
        <v>307</v>
      </c>
      <c r="D182" t="n">
        <v>103</v>
      </c>
      <c r="E182" s="11" t="n">
        <v>-0.0389435352411281</v>
      </c>
      <c r="F182" s="11" t="n">
        <v>0.0215893461821627</v>
      </c>
      <c r="G182" t="s">
        <v>581</v>
      </c>
    </row>
    <row r="183">
      <c r="A183" t="s">
        <v>350</v>
      </c>
      <c r="B183" t="s">
        <v>30</v>
      </c>
      <c r="C183" t="s">
        <v>308</v>
      </c>
      <c r="D183" t="n">
        <v>101</v>
      </c>
      <c r="E183" s="11" t="n">
        <v>-0.0468574952375635</v>
      </c>
      <c r="F183" s="11" t="n">
        <v>-0.0267788689779247</v>
      </c>
      <c r="G183" t="s">
        <v>582</v>
      </c>
    </row>
    <row r="184">
      <c r="A184" t="s">
        <v>350</v>
      </c>
      <c r="B184" t="s">
        <v>31</v>
      </c>
      <c r="C184" t="s">
        <v>307</v>
      </c>
      <c r="D184" t="n">
        <v>74</v>
      </c>
      <c r="E184" s="11" t="n">
        <v>0.00287151008001373</v>
      </c>
      <c r="F184" s="11" t="n">
        <v>0.0200936614706188</v>
      </c>
      <c r="G184" t="s">
        <v>583</v>
      </c>
    </row>
    <row r="185">
      <c r="A185" t="s">
        <v>350</v>
      </c>
      <c r="B185" t="s">
        <v>31</v>
      </c>
      <c r="C185" t="s">
        <v>308</v>
      </c>
      <c r="D185" t="n">
        <v>75</v>
      </c>
      <c r="E185" s="11" t="n">
        <v>-0.0273466862733097</v>
      </c>
      <c r="F185" s="11" t="n">
        <v>-0.00659038563062949</v>
      </c>
      <c r="G185" t="s">
        <v>584</v>
      </c>
    </row>
    <row r="186">
      <c r="A186" t="s">
        <v>350</v>
      </c>
      <c r="B186" t="s">
        <v>32</v>
      </c>
      <c r="C186" t="s">
        <v>307</v>
      </c>
      <c r="D186" t="n">
        <v>69</v>
      </c>
      <c r="E186" s="11" t="n">
        <v>-0.0497112080078223</v>
      </c>
      <c r="F186" s="11" t="n">
        <v>0.0141862986200146</v>
      </c>
      <c r="G186" t="s">
        <v>585</v>
      </c>
    </row>
    <row r="187">
      <c r="A187" t="s">
        <v>350</v>
      </c>
      <c r="B187" t="s">
        <v>32</v>
      </c>
      <c r="C187" t="s">
        <v>308</v>
      </c>
      <c r="D187" t="n">
        <v>64</v>
      </c>
      <c r="E187" s="11" t="n">
        <v>-0.0520991491605259</v>
      </c>
      <c r="F187" s="11" t="n">
        <v>-0.0152296423689601</v>
      </c>
      <c r="G187" t="s">
        <v>586</v>
      </c>
    </row>
    <row r="189">
      <c r="A189" s="1" t="s">
        <v>587</v>
      </c>
    </row>
    <row r="190">
      <c r="A190" t="s">
        <v>311</v>
      </c>
      <c r="B190" t="s">
        <v>312</v>
      </c>
      <c r="C190" t="s">
        <v>588</v>
      </c>
      <c r="D190" t="s">
        <v>589</v>
      </c>
      <c r="E190" t="s">
        <v>590</v>
      </c>
      <c r="F190" t="s">
        <v>591</v>
      </c>
    </row>
    <row r="191">
      <c r="A191" t="s">
        <v>330</v>
      </c>
      <c r="B191" t="s">
        <v>30</v>
      </c>
      <c r="C191" t="s">
        <v>592</v>
      </c>
      <c r="D191" t="n">
        <v>1</v>
      </c>
      <c r="E191" s="11" t="n">
        <v>1.37901881881176</v>
      </c>
      <c r="F191" s="11" t="n">
        <v>-1.0774075818199</v>
      </c>
    </row>
    <row r="192">
      <c r="A192" t="s">
        <v>330</v>
      </c>
      <c r="B192" t="s">
        <v>30</v>
      </c>
      <c r="C192" t="s">
        <v>592</v>
      </c>
      <c r="D192" t="n">
        <v>2</v>
      </c>
      <c r="E192" s="11" t="n">
        <v>0.6101049646137</v>
      </c>
      <c r="F192" s="11" t="n">
        <v>-1.3703181864639</v>
      </c>
    </row>
    <row r="193">
      <c r="A193" t="s">
        <v>330</v>
      </c>
      <c r="B193" t="s">
        <v>30</v>
      </c>
      <c r="C193" t="s">
        <v>592</v>
      </c>
      <c r="D193" t="n">
        <v>3</v>
      </c>
      <c r="E193" s="11" t="n">
        <v>-1.32251681765806</v>
      </c>
      <c r="F193" s="11" t="n">
        <v>-1.82028823734363</v>
      </c>
    </row>
    <row r="194">
      <c r="A194" t="s">
        <v>330</v>
      </c>
      <c r="B194" t="s">
        <v>30</v>
      </c>
      <c r="C194" t="s">
        <v>592</v>
      </c>
      <c r="D194" t="n">
        <v>4</v>
      </c>
      <c r="E194" s="11" t="n">
        <v>-2.11430839676829</v>
      </c>
      <c r="F194" s="11" t="n">
        <v>-0.769545322482755</v>
      </c>
    </row>
    <row r="195">
      <c r="A195" t="s">
        <v>330</v>
      </c>
      <c r="B195" t="s">
        <v>30</v>
      </c>
      <c r="C195" t="s">
        <v>592</v>
      </c>
      <c r="D195" t="n">
        <v>5</v>
      </c>
      <c r="E195" s="11" t="n">
        <v>-2.20083210165106</v>
      </c>
      <c r="F195" s="11" t="n">
        <v>-0.467801304339958</v>
      </c>
    </row>
    <row r="196">
      <c r="A196" t="s">
        <v>330</v>
      </c>
      <c r="B196" t="s">
        <v>30</v>
      </c>
      <c r="C196" t="s">
        <v>592</v>
      </c>
      <c r="D196" t="n">
        <v>6</v>
      </c>
      <c r="E196" s="11" t="n">
        <v>-2.42573931568999</v>
      </c>
      <c r="F196" s="11" t="n">
        <v>0.604804738999169</v>
      </c>
    </row>
    <row r="197">
      <c r="A197" t="s">
        <v>330</v>
      </c>
      <c r="B197" t="s">
        <v>30</v>
      </c>
      <c r="C197" t="s">
        <v>592</v>
      </c>
      <c r="D197" t="n">
        <v>7</v>
      </c>
      <c r="E197" s="11" t="n">
        <v>-2.15801940101595</v>
      </c>
      <c r="F197" s="11" t="n">
        <v>2.08397511137699</v>
      </c>
    </row>
    <row r="198">
      <c r="A198" t="s">
        <v>330</v>
      </c>
      <c r="B198" t="s">
        <v>30</v>
      </c>
      <c r="C198" t="s">
        <v>592</v>
      </c>
      <c r="D198" t="n">
        <v>8</v>
      </c>
      <c r="E198" s="11" t="n">
        <v>-1.69306905714556</v>
      </c>
      <c r="F198" s="11" t="n">
        <v>2.16702957241849</v>
      </c>
    </row>
    <row r="199">
      <c r="A199" t="s">
        <v>330</v>
      </c>
      <c r="B199" t="s">
        <v>30</v>
      </c>
      <c r="C199" t="s">
        <v>592</v>
      </c>
      <c r="D199" t="n">
        <v>9</v>
      </c>
      <c r="E199" s="11" t="n">
        <v>0.698991129338433</v>
      </c>
      <c r="F199" s="11" t="n">
        <v>1.0362969656938</v>
      </c>
    </row>
    <row r="200">
      <c r="A200" t="s">
        <v>330</v>
      </c>
      <c r="B200" t="s">
        <v>30</v>
      </c>
      <c r="C200" t="s">
        <v>592</v>
      </c>
      <c r="D200" t="n">
        <v>10</v>
      </c>
      <c r="E200" s="11" t="n">
        <v>1.74893394728342</v>
      </c>
      <c r="F200" s="11" t="n">
        <v>0.0610741192293767</v>
      </c>
    </row>
    <row r="201">
      <c r="A201" t="s">
        <v>330</v>
      </c>
      <c r="B201" t="s">
        <v>30</v>
      </c>
      <c r="C201" t="s">
        <v>593</v>
      </c>
      <c r="D201" t="n">
        <v>1</v>
      </c>
      <c r="E201" s="11" t="n">
        <v>-0.292365297839814</v>
      </c>
      <c r="F201" s="11" t="n">
        <v>-0.0174568025275274</v>
      </c>
    </row>
    <row r="202">
      <c r="A202" t="s">
        <v>330</v>
      </c>
      <c r="B202" t="s">
        <v>30</v>
      </c>
      <c r="C202" t="s">
        <v>593</v>
      </c>
      <c r="D202" t="n">
        <v>2</v>
      </c>
      <c r="E202" s="11" t="n">
        <v>-0.300904039472577</v>
      </c>
      <c r="F202" s="11" t="n">
        <v>-0.0240596353018834</v>
      </c>
    </row>
    <row r="203">
      <c r="A203" t="s">
        <v>330</v>
      </c>
      <c r="B203" t="s">
        <v>30</v>
      </c>
      <c r="C203" t="s">
        <v>593</v>
      </c>
      <c r="D203" t="n">
        <v>3</v>
      </c>
      <c r="E203" s="11" t="n">
        <v>-0.354511844926312</v>
      </c>
      <c r="F203" s="11" t="n">
        <v>-0.0432797940126833</v>
      </c>
    </row>
    <row r="204">
      <c r="A204" t="s">
        <v>330</v>
      </c>
      <c r="B204" t="s">
        <v>30</v>
      </c>
      <c r="C204" t="s">
        <v>593</v>
      </c>
      <c r="D204" t="n">
        <v>4</v>
      </c>
      <c r="E204" s="11" t="n">
        <v>-0.361573520795799</v>
      </c>
      <c r="F204" s="11" t="n">
        <v>-0.0448171670285675</v>
      </c>
    </row>
    <row r="205">
      <c r="A205" t="s">
        <v>330</v>
      </c>
      <c r="B205" t="s">
        <v>30</v>
      </c>
      <c r="C205" t="s">
        <v>593</v>
      </c>
      <c r="D205" t="n">
        <v>5</v>
      </c>
      <c r="E205" s="11" t="n">
        <v>-0.444453507294405</v>
      </c>
      <c r="F205" s="11" t="n">
        <v>-0.0557814935087598</v>
      </c>
    </row>
    <row r="206">
      <c r="A206" t="s">
        <v>330</v>
      </c>
      <c r="B206" t="s">
        <v>30</v>
      </c>
      <c r="C206" t="s">
        <v>593</v>
      </c>
      <c r="D206" t="n">
        <v>6</v>
      </c>
      <c r="E206" s="11" t="n">
        <v>-0.522477496799273</v>
      </c>
      <c r="F206" s="11" t="n">
        <v>-0.0502081323527465</v>
      </c>
    </row>
    <row r="207">
      <c r="A207" t="s">
        <v>330</v>
      </c>
      <c r="B207" t="s">
        <v>30</v>
      </c>
      <c r="C207" t="s">
        <v>593</v>
      </c>
      <c r="D207" t="n">
        <v>7</v>
      </c>
      <c r="E207" s="11" t="n">
        <v>-0.552334421967581</v>
      </c>
      <c r="F207" s="11" t="n">
        <v>-0.0443999480328784</v>
      </c>
    </row>
    <row r="208">
      <c r="A208" t="s">
        <v>330</v>
      </c>
      <c r="B208" t="s">
        <v>30</v>
      </c>
      <c r="C208" t="s">
        <v>593</v>
      </c>
      <c r="D208" t="n">
        <v>8</v>
      </c>
      <c r="E208" s="11" t="n">
        <v>-0.579051947964459</v>
      </c>
      <c r="F208" s="11" t="n">
        <v>-0.0319568178008838</v>
      </c>
    </row>
    <row r="209">
      <c r="A209" t="s">
        <v>330</v>
      </c>
      <c r="B209" t="s">
        <v>30</v>
      </c>
      <c r="C209" t="s">
        <v>593</v>
      </c>
      <c r="D209" t="n">
        <v>9</v>
      </c>
      <c r="E209" s="11" t="n">
        <v>-0.598786561007579</v>
      </c>
      <c r="F209" s="11" t="n">
        <v>-0.0220066135315992</v>
      </c>
    </row>
    <row r="210">
      <c r="A210" t="s">
        <v>330</v>
      </c>
      <c r="B210" t="s">
        <v>30</v>
      </c>
      <c r="C210" t="s">
        <v>593</v>
      </c>
      <c r="D210" t="n">
        <v>10</v>
      </c>
      <c r="E210" s="11" t="n">
        <v>-0.606597631514917</v>
      </c>
      <c r="F210" s="11" t="n">
        <v>-0.00105917200900068</v>
      </c>
    </row>
    <row r="211">
      <c r="A211" t="s">
        <v>330</v>
      </c>
      <c r="B211" t="s">
        <v>30</v>
      </c>
      <c r="C211" t="s">
        <v>593</v>
      </c>
      <c r="D211" t="n">
        <v>11</v>
      </c>
      <c r="E211" s="11" t="n">
        <v>-0.604687998935773</v>
      </c>
      <c r="F211" s="11" t="n">
        <v>0.0166902563968511</v>
      </c>
    </row>
    <row r="212">
      <c r="A212" t="s">
        <v>330</v>
      </c>
      <c r="B212" t="s">
        <v>30</v>
      </c>
      <c r="C212" t="s">
        <v>593</v>
      </c>
      <c r="D212" t="n">
        <v>12</v>
      </c>
      <c r="E212" s="11" t="n">
        <v>-0.57310549672665</v>
      </c>
      <c r="F212" s="11" t="n">
        <v>0.0371909891767541</v>
      </c>
    </row>
    <row r="213">
      <c r="A213" t="s">
        <v>330</v>
      </c>
      <c r="B213" t="s">
        <v>30</v>
      </c>
      <c r="C213" t="s">
        <v>593</v>
      </c>
      <c r="D213" t="n">
        <v>13</v>
      </c>
      <c r="E213" s="11" t="n">
        <v>-0.554477491914064</v>
      </c>
      <c r="F213" s="11" t="n">
        <v>0.0424292450943286</v>
      </c>
    </row>
    <row r="214">
      <c r="A214" t="s">
        <v>330</v>
      </c>
      <c r="B214" t="s">
        <v>30</v>
      </c>
      <c r="C214" t="s">
        <v>593</v>
      </c>
      <c r="D214" t="n">
        <v>14</v>
      </c>
      <c r="E214" s="11" t="n">
        <v>-0.528665429412693</v>
      </c>
      <c r="F214" s="11" t="n">
        <v>0.0470751631588772</v>
      </c>
    </row>
    <row r="215">
      <c r="A215" t="s">
        <v>330</v>
      </c>
      <c r="B215" t="s">
        <v>30</v>
      </c>
      <c r="C215" t="s">
        <v>593</v>
      </c>
      <c r="D215" t="n">
        <v>15</v>
      </c>
      <c r="E215" s="11" t="n">
        <v>-0.503417849771487</v>
      </c>
      <c r="F215" s="11" t="n">
        <v>0.0502817358380057</v>
      </c>
    </row>
    <row r="216">
      <c r="A216" t="s">
        <v>330</v>
      </c>
      <c r="B216" t="s">
        <v>30</v>
      </c>
      <c r="C216" t="s">
        <v>593</v>
      </c>
      <c r="D216" t="n">
        <v>16</v>
      </c>
      <c r="E216" s="11" t="n">
        <v>-0.421030004127735</v>
      </c>
      <c r="F216" s="11" t="n">
        <v>0.0534752772198934</v>
      </c>
    </row>
    <row r="217">
      <c r="A217" t="s">
        <v>330</v>
      </c>
      <c r="B217" t="s">
        <v>30</v>
      </c>
      <c r="C217" t="s">
        <v>593</v>
      </c>
      <c r="D217" t="n">
        <v>17</v>
      </c>
      <c r="E217" s="11" t="n">
        <v>-0.370654284291307</v>
      </c>
      <c r="F217" s="11" t="n">
        <v>0.0464987211095194</v>
      </c>
    </row>
    <row r="218">
      <c r="A218" t="s">
        <v>330</v>
      </c>
      <c r="B218" t="s">
        <v>30</v>
      </c>
      <c r="C218" t="s">
        <v>593</v>
      </c>
      <c r="D218" t="n">
        <v>18</v>
      </c>
      <c r="E218" s="11" t="n">
        <v>-0.346961108244021</v>
      </c>
      <c r="F218" s="11" t="n">
        <v>0.0403064043917476</v>
      </c>
    </row>
    <row r="219">
      <c r="A219" t="s">
        <v>330</v>
      </c>
      <c r="B219" t="s">
        <v>30</v>
      </c>
      <c r="C219" t="s">
        <v>593</v>
      </c>
      <c r="D219" t="n">
        <v>19</v>
      </c>
      <c r="E219" s="11" t="n">
        <v>-0.333564233353733</v>
      </c>
      <c r="F219" s="11" t="n">
        <v>0.036330677866637</v>
      </c>
    </row>
    <row r="220">
      <c r="A220" t="s">
        <v>330</v>
      </c>
      <c r="B220" t="s">
        <v>30</v>
      </c>
      <c r="C220" t="s">
        <v>593</v>
      </c>
      <c r="D220" t="n">
        <v>20</v>
      </c>
      <c r="E220" s="11" t="n">
        <v>-0.308599943260453</v>
      </c>
      <c r="F220" s="11" t="n">
        <v>0.0254084835048061</v>
      </c>
    </row>
    <row r="221">
      <c r="A221" t="s">
        <v>330</v>
      </c>
      <c r="B221" t="s">
        <v>30</v>
      </c>
      <c r="C221" t="s">
        <v>593</v>
      </c>
      <c r="D221" t="n">
        <v>21</v>
      </c>
      <c r="E221" s="11" t="n">
        <v>-0.293101601195438</v>
      </c>
      <c r="F221" s="11" t="n">
        <v>0.0078110365233509</v>
      </c>
    </row>
    <row r="222">
      <c r="A222" t="s">
        <v>330</v>
      </c>
      <c r="B222" t="s">
        <v>31</v>
      </c>
      <c r="C222" t="s">
        <v>592</v>
      </c>
      <c r="D222" t="n">
        <v>1</v>
      </c>
      <c r="E222" s="11" t="n">
        <v>1.14193182205325</v>
      </c>
      <c r="F222" s="11" t="n">
        <v>-0.50842080384475</v>
      </c>
    </row>
    <row r="223">
      <c r="A223" t="s">
        <v>330</v>
      </c>
      <c r="B223" t="s">
        <v>31</v>
      </c>
      <c r="C223" t="s">
        <v>592</v>
      </c>
      <c r="D223" t="n">
        <v>2</v>
      </c>
      <c r="E223" s="11" t="n">
        <v>0.342020143325669</v>
      </c>
      <c r="F223" s="11" t="n">
        <v>-0.939692620785908</v>
      </c>
    </row>
    <row r="224">
      <c r="A224" t="s">
        <v>330</v>
      </c>
      <c r="B224" t="s">
        <v>31</v>
      </c>
      <c r="C224" t="s">
        <v>592</v>
      </c>
      <c r="D224" t="n">
        <v>3</v>
      </c>
      <c r="E224" s="11" t="n">
        <v>-0.0348994967025008</v>
      </c>
      <c r="F224" s="11" t="n">
        <v>-0.999390827019096</v>
      </c>
    </row>
    <row r="225">
      <c r="A225" t="s">
        <v>330</v>
      </c>
      <c r="B225" t="s">
        <v>31</v>
      </c>
      <c r="C225" t="s">
        <v>592</v>
      </c>
      <c r="D225" t="n">
        <v>4</v>
      </c>
      <c r="E225" s="11" t="n">
        <v>-0.899174750423314</v>
      </c>
      <c r="F225" s="11" t="n">
        <v>-0.868322963073747</v>
      </c>
    </row>
    <row r="226">
      <c r="A226" t="s">
        <v>330</v>
      </c>
      <c r="B226" t="s">
        <v>31</v>
      </c>
      <c r="C226" t="s">
        <v>592</v>
      </c>
      <c r="D226" t="n">
        <v>5</v>
      </c>
      <c r="E226" s="11" t="n">
        <v>-1.69801752098299</v>
      </c>
      <c r="F226" s="11" t="n">
        <v>-0.423363317299419</v>
      </c>
    </row>
    <row r="227">
      <c r="A227" t="s">
        <v>330</v>
      </c>
      <c r="B227" t="s">
        <v>31</v>
      </c>
      <c r="C227" t="s">
        <v>592</v>
      </c>
      <c r="D227" t="n">
        <v>6</v>
      </c>
      <c r="E227" s="11" t="n">
        <v>-1.71175830128416</v>
      </c>
      <c r="F227" s="11" t="n">
        <v>-0.363845458931079</v>
      </c>
    </row>
    <row r="228">
      <c r="A228" t="s">
        <v>330</v>
      </c>
      <c r="B228" t="s">
        <v>31</v>
      </c>
      <c r="C228" t="s">
        <v>592</v>
      </c>
      <c r="D228" t="n">
        <v>7</v>
      </c>
      <c r="E228" s="11" t="n">
        <v>-1.73296912029775</v>
      </c>
      <c r="F228" s="11" t="n">
        <v>-0.243552926680115</v>
      </c>
    </row>
    <row r="229">
      <c r="A229" t="s">
        <v>330</v>
      </c>
      <c r="B229" t="s">
        <v>31</v>
      </c>
      <c r="C229" t="s">
        <v>592</v>
      </c>
      <c r="D229" t="n">
        <v>8</v>
      </c>
      <c r="E229" s="11" t="n">
        <v>-1.42658477444273</v>
      </c>
      <c r="F229" s="11" t="n">
        <v>0.463525491562421</v>
      </c>
    </row>
    <row r="230">
      <c r="A230" t="s">
        <v>330</v>
      </c>
      <c r="B230" t="s">
        <v>31</v>
      </c>
      <c r="C230" t="s">
        <v>592</v>
      </c>
      <c r="D230" t="n">
        <v>9</v>
      </c>
      <c r="E230" s="11" t="n">
        <v>-1.29903810567666</v>
      </c>
      <c r="F230" s="11" t="n">
        <v>0.75</v>
      </c>
    </row>
    <row r="231">
      <c r="A231" t="s">
        <v>330</v>
      </c>
      <c r="B231" t="s">
        <v>31</v>
      </c>
      <c r="C231" t="s">
        <v>592</v>
      </c>
      <c r="D231" t="n">
        <v>10</v>
      </c>
      <c r="E231" s="11" t="n">
        <v>-1.14906666467847</v>
      </c>
      <c r="F231" s="11" t="n">
        <v>0.964181414529809</v>
      </c>
    </row>
    <row r="232">
      <c r="A232" t="s">
        <v>330</v>
      </c>
      <c r="B232" t="s">
        <v>31</v>
      </c>
      <c r="C232" t="s">
        <v>592</v>
      </c>
      <c r="D232" t="n">
        <v>11</v>
      </c>
      <c r="E232" s="11" t="n">
        <v>-0.88167787843871</v>
      </c>
      <c r="F232" s="11" t="n">
        <v>1.21352549156242</v>
      </c>
    </row>
    <row r="233">
      <c r="A233" t="s">
        <v>330</v>
      </c>
      <c r="B233" t="s">
        <v>31</v>
      </c>
      <c r="C233" t="s">
        <v>592</v>
      </c>
      <c r="D233" t="n">
        <v>12</v>
      </c>
      <c r="E233" s="11" t="n">
        <v>0.130660579084567</v>
      </c>
      <c r="F233" s="11" t="n">
        <v>1.24315236921034</v>
      </c>
    </row>
    <row r="234">
      <c r="A234" t="s">
        <v>330</v>
      </c>
      <c r="B234" t="s">
        <v>31</v>
      </c>
      <c r="C234" t="s">
        <v>592</v>
      </c>
      <c r="D234" t="n">
        <v>13</v>
      </c>
      <c r="E234" s="11" t="n">
        <v>1.0362969656938</v>
      </c>
      <c r="F234" s="11" t="n">
        <v>0.698991129338433</v>
      </c>
    </row>
    <row r="235">
      <c r="A235" t="s">
        <v>330</v>
      </c>
      <c r="B235" t="s">
        <v>31</v>
      </c>
      <c r="C235" t="s">
        <v>592</v>
      </c>
      <c r="D235" t="n">
        <v>14</v>
      </c>
      <c r="E235" s="11" t="n">
        <v>1.2015771199229</v>
      </c>
      <c r="F235" s="11" t="n">
        <v>0.344546694771249</v>
      </c>
    </row>
    <row r="236">
      <c r="A236" t="s">
        <v>330</v>
      </c>
      <c r="B236" t="s">
        <v>31</v>
      </c>
      <c r="C236" t="s">
        <v>593</v>
      </c>
      <c r="D236" t="n">
        <v>1</v>
      </c>
      <c r="E236" s="11" t="n">
        <v>-0.127345643133006</v>
      </c>
      <c r="F236" s="11" t="n">
        <v>0.0134767319708526</v>
      </c>
    </row>
    <row r="237">
      <c r="A237" t="s">
        <v>330</v>
      </c>
      <c r="B237" t="s">
        <v>31</v>
      </c>
      <c r="C237" t="s">
        <v>593</v>
      </c>
      <c r="D237" t="n">
        <v>2</v>
      </c>
      <c r="E237" s="11" t="n">
        <v>-0.127813360024352</v>
      </c>
      <c r="F237" s="11" t="n">
        <v>-0.000276469172351587</v>
      </c>
    </row>
    <row r="238">
      <c r="A238" t="s">
        <v>330</v>
      </c>
      <c r="B238" t="s">
        <v>31</v>
      </c>
      <c r="C238" t="s">
        <v>593</v>
      </c>
      <c r="D238" t="n">
        <v>3</v>
      </c>
      <c r="E238" s="11" t="n">
        <v>-0.132586521080826</v>
      </c>
      <c r="F238" s="11" t="n">
        <v>-0.00459317888040013</v>
      </c>
    </row>
    <row r="239">
      <c r="A239" t="s">
        <v>330</v>
      </c>
      <c r="B239" t="s">
        <v>31</v>
      </c>
      <c r="C239" t="s">
        <v>593</v>
      </c>
      <c r="D239" t="n">
        <v>4</v>
      </c>
      <c r="E239" s="11" t="n">
        <v>-0.165810862276121</v>
      </c>
      <c r="F239" s="11" t="n">
        <v>-0.0186625438306136</v>
      </c>
    </row>
    <row r="240">
      <c r="A240" t="s">
        <v>330</v>
      </c>
      <c r="B240" t="s">
        <v>31</v>
      </c>
      <c r="C240" t="s">
        <v>593</v>
      </c>
      <c r="D240" t="n">
        <v>5</v>
      </c>
      <c r="E240" s="11" t="n">
        <v>-0.205843193880991</v>
      </c>
      <c r="F240" s="11" t="n">
        <v>-0.033269962897946</v>
      </c>
    </row>
    <row r="241">
      <c r="A241" t="s">
        <v>330</v>
      </c>
      <c r="B241" t="s">
        <v>31</v>
      </c>
      <c r="C241" t="s">
        <v>593</v>
      </c>
      <c r="D241" t="n">
        <v>6</v>
      </c>
      <c r="E241" s="11" t="n">
        <v>-0.265449215390725</v>
      </c>
      <c r="F241" s="11" t="n">
        <v>-0.0411246175535686</v>
      </c>
    </row>
    <row r="242">
      <c r="A242" t="s">
        <v>330</v>
      </c>
      <c r="B242" t="s">
        <v>31</v>
      </c>
      <c r="C242" t="s">
        <v>593</v>
      </c>
      <c r="D242" t="n">
        <v>7</v>
      </c>
      <c r="E242" s="11" t="n">
        <v>-0.36575699194625</v>
      </c>
      <c r="F242" s="11" t="n">
        <v>-0.0339625693961572</v>
      </c>
    </row>
    <row r="243">
      <c r="A243" t="s">
        <v>330</v>
      </c>
      <c r="B243" t="s">
        <v>31</v>
      </c>
      <c r="C243" t="s">
        <v>593</v>
      </c>
      <c r="D243" t="n">
        <v>8</v>
      </c>
      <c r="E243" s="11" t="n">
        <v>-0.446078146931909</v>
      </c>
      <c r="F243" s="11" t="n">
        <v>-0.0145298560793724</v>
      </c>
    </row>
    <row r="244">
      <c r="A244" t="s">
        <v>330</v>
      </c>
      <c r="B244" t="s">
        <v>31</v>
      </c>
      <c r="C244" t="s">
        <v>593</v>
      </c>
      <c r="D244" t="n">
        <v>9</v>
      </c>
      <c r="E244" s="11" t="n">
        <v>-0.474284435290395</v>
      </c>
      <c r="F244" s="11" t="n">
        <v>0.00265415400330335</v>
      </c>
    </row>
    <row r="245">
      <c r="A245" t="s">
        <v>330</v>
      </c>
      <c r="B245" t="s">
        <v>31</v>
      </c>
      <c r="C245" t="s">
        <v>593</v>
      </c>
      <c r="D245" t="n">
        <v>10</v>
      </c>
      <c r="E245" s="11" t="n">
        <v>-0.477953549656011</v>
      </c>
      <c r="F245" s="11" t="n">
        <v>0.0226081991197779</v>
      </c>
    </row>
    <row r="246">
      <c r="A246" t="s">
        <v>330</v>
      </c>
      <c r="B246" t="s">
        <v>31</v>
      </c>
      <c r="C246" t="s">
        <v>593</v>
      </c>
      <c r="D246" t="n">
        <v>11</v>
      </c>
      <c r="E246" s="11" t="n">
        <v>-0.452546211448458</v>
      </c>
      <c r="F246" s="11" t="n">
        <v>0.0385912449316514</v>
      </c>
    </row>
    <row r="247">
      <c r="A247" t="s">
        <v>330</v>
      </c>
      <c r="B247" t="s">
        <v>31</v>
      </c>
      <c r="C247" t="s">
        <v>593</v>
      </c>
      <c r="D247" t="n">
        <v>12</v>
      </c>
      <c r="E247" s="11" t="n">
        <v>-0.419188855494258</v>
      </c>
      <c r="F247" s="11" t="n">
        <v>0.0485463060762582</v>
      </c>
    </row>
    <row r="248">
      <c r="A248" t="s">
        <v>330</v>
      </c>
      <c r="B248" t="s">
        <v>31</v>
      </c>
      <c r="C248" t="s">
        <v>593</v>
      </c>
      <c r="D248" t="n">
        <v>13</v>
      </c>
      <c r="E248" s="11" t="n">
        <v>-0.378645436891948</v>
      </c>
      <c r="F248" s="11" t="n">
        <v>0.0605441621132405</v>
      </c>
    </row>
    <row r="249">
      <c r="A249" t="s">
        <v>330</v>
      </c>
      <c r="B249" t="s">
        <v>31</v>
      </c>
      <c r="C249" t="s">
        <v>593</v>
      </c>
      <c r="D249" t="n">
        <v>14</v>
      </c>
      <c r="E249" s="11" t="n">
        <v>-0.348240526384114</v>
      </c>
      <c r="F249" s="11" t="n">
        <v>0.0661100937717609</v>
      </c>
    </row>
    <row r="250">
      <c r="A250" t="s">
        <v>330</v>
      </c>
      <c r="B250" t="s">
        <v>31</v>
      </c>
      <c r="C250" t="s">
        <v>593</v>
      </c>
      <c r="D250" t="n">
        <v>15</v>
      </c>
      <c r="E250" s="11" t="n">
        <v>-0.249337942927069</v>
      </c>
      <c r="F250" s="11" t="n">
        <v>0.0641495898252007</v>
      </c>
    </row>
    <row r="251">
      <c r="A251" t="s">
        <v>330</v>
      </c>
      <c r="B251" t="s">
        <v>31</v>
      </c>
      <c r="C251" t="s">
        <v>593</v>
      </c>
      <c r="D251" t="n">
        <v>16</v>
      </c>
      <c r="E251" s="11" t="n">
        <v>-0.164204875486641</v>
      </c>
      <c r="F251" s="11" t="n">
        <v>0.0422853477737112</v>
      </c>
    </row>
    <row r="252">
      <c r="A252" t="s">
        <v>330</v>
      </c>
      <c r="B252" t="s">
        <v>31</v>
      </c>
      <c r="C252" t="s">
        <v>593</v>
      </c>
      <c r="D252" t="n">
        <v>17</v>
      </c>
      <c r="E252" s="11" t="n">
        <v>-0.145398419044472</v>
      </c>
      <c r="F252" s="11" t="n">
        <v>0.0293459051633365</v>
      </c>
    </row>
    <row r="253">
      <c r="A253" t="s">
        <v>330</v>
      </c>
      <c r="B253" t="s">
        <v>32</v>
      </c>
      <c r="C253" t="s">
        <v>592</v>
      </c>
      <c r="D253" t="n">
        <v>1</v>
      </c>
      <c r="E253" s="11" t="n">
        <v>2.16283881586122</v>
      </c>
      <c r="F253" s="11" t="n">
        <v>-0.620184050588248</v>
      </c>
    </row>
    <row r="254">
      <c r="A254" t="s">
        <v>330</v>
      </c>
      <c r="B254" t="s">
        <v>32</v>
      </c>
      <c r="C254" t="s">
        <v>592</v>
      </c>
      <c r="D254" t="n">
        <v>2</v>
      </c>
      <c r="E254" s="11" t="n">
        <v>-1.125</v>
      </c>
      <c r="F254" s="11" t="n">
        <v>-1.94855715851499</v>
      </c>
    </row>
    <row r="255">
      <c r="A255" t="s">
        <v>330</v>
      </c>
      <c r="B255" t="s">
        <v>32</v>
      </c>
      <c r="C255" t="s">
        <v>592</v>
      </c>
      <c r="D255" t="n">
        <v>3</v>
      </c>
      <c r="E255" s="11" t="n">
        <v>-1.73664592614749</v>
      </c>
      <c r="F255" s="11" t="n">
        <v>-1.79834950084663</v>
      </c>
    </row>
    <row r="256">
      <c r="A256" t="s">
        <v>330</v>
      </c>
      <c r="B256" t="s">
        <v>32</v>
      </c>
      <c r="C256" t="s">
        <v>592</v>
      </c>
      <c r="D256" t="n">
        <v>4</v>
      </c>
      <c r="E256" s="11" t="n">
        <v>-3.24208316334443</v>
      </c>
      <c r="F256" s="11" t="n">
        <v>0.226708539668408</v>
      </c>
    </row>
    <row r="257">
      <c r="A257" t="s">
        <v>330</v>
      </c>
      <c r="B257" t="s">
        <v>32</v>
      </c>
      <c r="C257" t="s">
        <v>592</v>
      </c>
      <c r="D257" t="n">
        <v>5</v>
      </c>
      <c r="E257" s="11" t="n">
        <v>-2.22943447643218</v>
      </c>
      <c r="F257" s="11" t="n">
        <v>2.00739181907657</v>
      </c>
    </row>
    <row r="258">
      <c r="A258" t="s">
        <v>330</v>
      </c>
      <c r="B258" t="s">
        <v>32</v>
      </c>
      <c r="C258" t="s">
        <v>592</v>
      </c>
      <c r="D258" t="n">
        <v>6</v>
      </c>
      <c r="E258" s="11" t="n">
        <v>-1.03016813189376</v>
      </c>
      <c r="F258" s="11" t="n">
        <v>2.54975560005867</v>
      </c>
    </row>
    <row r="259">
      <c r="A259" t="s">
        <v>330</v>
      </c>
      <c r="B259" t="s">
        <v>32</v>
      </c>
      <c r="C259" t="s">
        <v>592</v>
      </c>
      <c r="D259" t="n">
        <v>7</v>
      </c>
      <c r="E259" s="11" t="n">
        <v>0.749213186831824</v>
      </c>
      <c r="F259" s="11" t="n">
        <v>1.85436770913357</v>
      </c>
    </row>
    <row r="260">
      <c r="A260" t="s">
        <v>330</v>
      </c>
      <c r="B260" t="s">
        <v>32</v>
      </c>
      <c r="C260" t="s">
        <v>592</v>
      </c>
      <c r="D260" t="n">
        <v>8</v>
      </c>
      <c r="E260" s="11" t="n">
        <v>1.37901881881176</v>
      </c>
      <c r="F260" s="11" t="n">
        <v>1.0774075818199</v>
      </c>
    </row>
    <row r="261">
      <c r="A261" t="s">
        <v>330</v>
      </c>
      <c r="B261" t="s">
        <v>32</v>
      </c>
      <c r="C261" t="s">
        <v>593</v>
      </c>
      <c r="D261" t="n">
        <v>1</v>
      </c>
      <c r="E261" s="11" t="n">
        <v>-0.115749364039882</v>
      </c>
      <c r="F261" s="11" t="n">
        <v>-0.00802642171658515</v>
      </c>
    </row>
    <row r="262">
      <c r="A262" t="s">
        <v>330</v>
      </c>
      <c r="B262" t="s">
        <v>32</v>
      </c>
      <c r="C262" t="s">
        <v>593</v>
      </c>
      <c r="D262" t="n">
        <v>2</v>
      </c>
      <c r="E262" s="11" t="n">
        <v>-0.113186000571252</v>
      </c>
      <c r="F262" s="11" t="n">
        <v>-0.0190759696107047</v>
      </c>
    </row>
    <row r="263">
      <c r="A263" t="s">
        <v>330</v>
      </c>
      <c r="B263" t="s">
        <v>32</v>
      </c>
      <c r="C263" t="s">
        <v>593</v>
      </c>
      <c r="D263" t="n">
        <v>3</v>
      </c>
      <c r="E263" s="11" t="n">
        <v>-0.178625036831199</v>
      </c>
      <c r="F263" s="11" t="n">
        <v>-0.0566457437939928</v>
      </c>
    </row>
    <row r="264">
      <c r="A264" t="s">
        <v>330</v>
      </c>
      <c r="B264" t="s">
        <v>32</v>
      </c>
      <c r="C264" t="s">
        <v>593</v>
      </c>
      <c r="D264" t="n">
        <v>4</v>
      </c>
      <c r="E264" s="11" t="n">
        <v>-0.203275081560553</v>
      </c>
      <c r="F264" s="11" t="n">
        <v>-0.0658473951607854</v>
      </c>
    </row>
    <row r="265">
      <c r="A265" t="s">
        <v>330</v>
      </c>
      <c r="B265" t="s">
        <v>32</v>
      </c>
      <c r="C265" t="s">
        <v>593</v>
      </c>
      <c r="D265" t="n">
        <v>5</v>
      </c>
      <c r="E265" s="11" t="n">
        <v>-0.282822967672162</v>
      </c>
      <c r="F265" s="11" t="n">
        <v>-0.0730064677001178</v>
      </c>
    </row>
    <row r="266">
      <c r="A266" t="s">
        <v>330</v>
      </c>
      <c r="B266" t="s">
        <v>32</v>
      </c>
      <c r="C266" t="s">
        <v>593</v>
      </c>
      <c r="D266" t="n">
        <v>6</v>
      </c>
      <c r="E266" s="11" t="n">
        <v>-0.313992736996832</v>
      </c>
      <c r="F266" s="11" t="n">
        <v>-0.0753768196714372</v>
      </c>
    </row>
    <row r="267">
      <c r="A267" t="s">
        <v>330</v>
      </c>
      <c r="B267" t="s">
        <v>32</v>
      </c>
      <c r="C267" t="s">
        <v>593</v>
      </c>
      <c r="D267" t="n">
        <v>7</v>
      </c>
      <c r="E267" s="11" t="n">
        <v>-0.392825703468559</v>
      </c>
      <c r="F267" s="11" t="n">
        <v>-0.0679325226703116</v>
      </c>
    </row>
    <row r="268">
      <c r="A268" t="s">
        <v>330</v>
      </c>
      <c r="B268" t="s">
        <v>32</v>
      </c>
      <c r="C268" t="s">
        <v>593</v>
      </c>
      <c r="D268" t="n">
        <v>8</v>
      </c>
      <c r="E268" s="11" t="n">
        <v>-0.47117022547842</v>
      </c>
      <c r="F268" s="11" t="n">
        <v>-0.0572031727506689</v>
      </c>
    </row>
    <row r="269">
      <c r="A269" t="s">
        <v>330</v>
      </c>
      <c r="B269" t="s">
        <v>32</v>
      </c>
      <c r="C269" t="s">
        <v>593</v>
      </c>
      <c r="D269" t="n">
        <v>9</v>
      </c>
      <c r="E269" s="11" t="n">
        <v>-0.495143020526335</v>
      </c>
      <c r="F269" s="11" t="n">
        <v>-0.0367978545879512</v>
      </c>
    </row>
    <row r="270">
      <c r="A270" t="s">
        <v>330</v>
      </c>
      <c r="B270" t="s">
        <v>32</v>
      </c>
      <c r="C270" t="s">
        <v>593</v>
      </c>
      <c r="D270" t="n">
        <v>10</v>
      </c>
      <c r="E270" s="11" t="n">
        <v>-0.539606159317002</v>
      </c>
      <c r="F270" s="11" t="n">
        <v>0.00169405838388086</v>
      </c>
    </row>
    <row r="271">
      <c r="A271" t="s">
        <v>330</v>
      </c>
      <c r="B271" t="s">
        <v>32</v>
      </c>
      <c r="C271" t="s">
        <v>593</v>
      </c>
      <c r="D271" t="n">
        <v>11</v>
      </c>
      <c r="E271" s="11" t="n">
        <v>-0.516908404696831</v>
      </c>
      <c r="F271" s="11" t="n">
        <v>0.0356920700124047</v>
      </c>
    </row>
    <row r="272">
      <c r="A272" t="s">
        <v>330</v>
      </c>
      <c r="B272" t="s">
        <v>32</v>
      </c>
      <c r="C272" t="s">
        <v>593</v>
      </c>
      <c r="D272" t="n">
        <v>12</v>
      </c>
      <c r="E272" s="11" t="n">
        <v>-0.506115793359049</v>
      </c>
      <c r="F272" s="11" t="n">
        <v>0.0406641014921226</v>
      </c>
    </row>
    <row r="273">
      <c r="A273" t="s">
        <v>330</v>
      </c>
      <c r="B273" t="s">
        <v>32</v>
      </c>
      <c r="C273" t="s">
        <v>593</v>
      </c>
      <c r="D273" t="n">
        <v>13</v>
      </c>
      <c r="E273" s="11" t="n">
        <v>-0.446058920921847</v>
      </c>
      <c r="F273" s="11" t="n">
        <v>0.062545892073434</v>
      </c>
    </row>
    <row r="274">
      <c r="A274" t="s">
        <v>330</v>
      </c>
      <c r="B274" t="s">
        <v>32</v>
      </c>
      <c r="C274" t="s">
        <v>593</v>
      </c>
      <c r="D274" t="n">
        <v>14</v>
      </c>
      <c r="E274" s="11" t="n">
        <v>-0.403897225540956</v>
      </c>
      <c r="F274" s="11" t="n">
        <v>0.0697132443486326</v>
      </c>
    </row>
    <row r="275">
      <c r="A275" t="s">
        <v>330</v>
      </c>
      <c r="B275" t="s">
        <v>32</v>
      </c>
      <c r="C275" t="s">
        <v>593</v>
      </c>
      <c r="D275" t="n">
        <v>15</v>
      </c>
      <c r="E275" s="11" t="n">
        <v>-0.377227099206764</v>
      </c>
      <c r="F275" s="11" t="n">
        <v>0.0733009680229988</v>
      </c>
    </row>
    <row r="276">
      <c r="A276" t="s">
        <v>330</v>
      </c>
      <c r="B276" t="s">
        <v>32</v>
      </c>
      <c r="C276" t="s">
        <v>593</v>
      </c>
      <c r="D276" t="n">
        <v>16</v>
      </c>
      <c r="E276" s="11" t="n">
        <v>-0.341803362459622</v>
      </c>
      <c r="F276" s="11" t="n">
        <v>0.0730345386131306</v>
      </c>
    </row>
    <row r="277">
      <c r="A277" t="s">
        <v>330</v>
      </c>
      <c r="B277" t="s">
        <v>32</v>
      </c>
      <c r="C277" t="s">
        <v>593</v>
      </c>
      <c r="D277" t="n">
        <v>17</v>
      </c>
      <c r="E277" s="11" t="n">
        <v>-0.225422909048475</v>
      </c>
      <c r="F277" s="11" t="n">
        <v>0.0655716444839473</v>
      </c>
    </row>
    <row r="278">
      <c r="A278" t="s">
        <v>330</v>
      </c>
      <c r="B278" t="s">
        <v>32</v>
      </c>
      <c r="C278" t="s">
        <v>593</v>
      </c>
      <c r="D278" t="n">
        <v>18</v>
      </c>
      <c r="E278" s="11" t="n">
        <v>-0.159200407737441</v>
      </c>
      <c r="F278" s="11" t="n">
        <v>0.0349748455399692</v>
      </c>
    </row>
    <row r="279">
      <c r="A279" t="s">
        <v>340</v>
      </c>
      <c r="B279" t="s">
        <v>30</v>
      </c>
      <c r="C279" t="s">
        <v>592</v>
      </c>
      <c r="D279" t="n">
        <v>1</v>
      </c>
      <c r="E279" s="11" t="n">
        <v>2.3772049744105</v>
      </c>
      <c r="F279" s="11" t="n">
        <v>-1.63457808822739</v>
      </c>
    </row>
    <row r="280">
      <c r="A280" t="s">
        <v>340</v>
      </c>
      <c r="B280" t="s">
        <v>30</v>
      </c>
      <c r="C280" t="s">
        <v>592</v>
      </c>
      <c r="D280" t="n">
        <v>2</v>
      </c>
      <c r="E280" s="11" t="n">
        <v>1.01786860882461</v>
      </c>
      <c r="F280" s="11" t="n">
        <v>-1.79642519929459</v>
      </c>
    </row>
    <row r="281">
      <c r="A281" t="s">
        <v>340</v>
      </c>
      <c r="B281" t="s">
        <v>30</v>
      </c>
      <c r="C281" t="s">
        <v>592</v>
      </c>
      <c r="D281" t="n">
        <v>3</v>
      </c>
      <c r="E281" s="11" t="n">
        <v>-1.52054758287277</v>
      </c>
      <c r="F281" s="11" t="n">
        <v>-0.162758279998327</v>
      </c>
    </row>
    <row r="282">
      <c r="A282" t="s">
        <v>340</v>
      </c>
      <c r="B282" t="s">
        <v>30</v>
      </c>
      <c r="C282" t="s">
        <v>592</v>
      </c>
      <c r="D282" t="n">
        <v>4</v>
      </c>
      <c r="E282" s="11" t="n">
        <v>-0.6101049646137</v>
      </c>
      <c r="F282" s="11" t="n">
        <v>1.3703181864639</v>
      </c>
    </row>
    <row r="283">
      <c r="A283" t="s">
        <v>340</v>
      </c>
      <c r="B283" t="s">
        <v>30</v>
      </c>
      <c r="C283" t="s">
        <v>592</v>
      </c>
      <c r="D283" t="n">
        <v>5</v>
      </c>
      <c r="E283" s="11" t="n">
        <v>0.852957143946371</v>
      </c>
      <c r="F283" s="11" t="n">
        <v>1.81660799675889</v>
      </c>
    </row>
    <row r="284">
      <c r="A284" t="s">
        <v>340</v>
      </c>
      <c r="B284" t="s">
        <v>30</v>
      </c>
      <c r="C284" t="s">
        <v>592</v>
      </c>
      <c r="D284" t="n">
        <v>6</v>
      </c>
      <c r="E284" s="11" t="n">
        <v>1.0731258050931</v>
      </c>
      <c r="F284" s="11" t="n">
        <v>1.83772735577966</v>
      </c>
    </row>
    <row r="285">
      <c r="A285" t="s">
        <v>340</v>
      </c>
      <c r="B285" t="s">
        <v>30</v>
      </c>
      <c r="C285" t="s">
        <v>592</v>
      </c>
      <c r="D285" t="n">
        <v>7</v>
      </c>
      <c r="E285" s="11" t="n">
        <v>2.56370541991787</v>
      </c>
      <c r="F285" s="11" t="n">
        <v>0.550359749088215</v>
      </c>
    </row>
    <row r="286">
      <c r="A286" t="s">
        <v>340</v>
      </c>
      <c r="B286" t="s">
        <v>30</v>
      </c>
      <c r="C286" t="s">
        <v>593</v>
      </c>
      <c r="D286" t="n">
        <v>1</v>
      </c>
      <c r="E286" s="11" t="n">
        <v>0.596139096141341</v>
      </c>
      <c r="F286" s="11" t="n">
        <v>-0.00255376684508054</v>
      </c>
    </row>
    <row r="287">
      <c r="A287" t="s">
        <v>340</v>
      </c>
      <c r="B287" t="s">
        <v>30</v>
      </c>
      <c r="C287" t="s">
        <v>593</v>
      </c>
      <c r="D287" t="n">
        <v>2</v>
      </c>
      <c r="E287" s="11" t="n">
        <v>0.594026614751978</v>
      </c>
      <c r="F287" s="11" t="n">
        <v>-0.0118423806610552</v>
      </c>
    </row>
    <row r="288">
      <c r="A288" t="s">
        <v>340</v>
      </c>
      <c r="B288" t="s">
        <v>30</v>
      </c>
      <c r="C288" t="s">
        <v>593</v>
      </c>
      <c r="D288" t="n">
        <v>3</v>
      </c>
      <c r="E288" s="11" t="n">
        <v>0.58471213199589</v>
      </c>
      <c r="F288" s="11" t="n">
        <v>-0.0234025732536541</v>
      </c>
    </row>
    <row r="289">
      <c r="A289" t="s">
        <v>340</v>
      </c>
      <c r="B289" t="s">
        <v>30</v>
      </c>
      <c r="C289" t="s">
        <v>593</v>
      </c>
      <c r="D289" t="n">
        <v>4</v>
      </c>
      <c r="E289" s="11" t="n">
        <v>0.542790979997448</v>
      </c>
      <c r="F289" s="11" t="n">
        <v>-0.0400005874018896</v>
      </c>
    </row>
    <row r="290">
      <c r="A290" t="s">
        <v>340</v>
      </c>
      <c r="B290" t="s">
        <v>30</v>
      </c>
      <c r="C290" t="s">
        <v>593</v>
      </c>
      <c r="D290" t="n">
        <v>5</v>
      </c>
      <c r="E290" s="11" t="n">
        <v>0.506982982269256</v>
      </c>
      <c r="F290" s="11" t="n">
        <v>-0.046467775810933</v>
      </c>
    </row>
    <row r="291">
      <c r="A291" t="s">
        <v>340</v>
      </c>
      <c r="B291" t="s">
        <v>30</v>
      </c>
      <c r="C291" t="s">
        <v>593</v>
      </c>
      <c r="D291" t="n">
        <v>6</v>
      </c>
      <c r="E291" s="11" t="n">
        <v>0.455878996545624</v>
      </c>
      <c r="F291" s="11" t="n">
        <v>-0.0520407775409432</v>
      </c>
    </row>
    <row r="292">
      <c r="A292" t="s">
        <v>340</v>
      </c>
      <c r="B292" t="s">
        <v>30</v>
      </c>
      <c r="C292" t="s">
        <v>593</v>
      </c>
      <c r="D292" t="n">
        <v>7</v>
      </c>
      <c r="E292" s="11" t="n">
        <v>0.441790276380598</v>
      </c>
      <c r="F292" s="11" t="n">
        <v>-0.0513336894276964</v>
      </c>
    </row>
    <row r="293">
      <c r="A293" t="s">
        <v>340</v>
      </c>
      <c r="B293" t="s">
        <v>30</v>
      </c>
      <c r="C293" t="s">
        <v>593</v>
      </c>
      <c r="D293" t="n">
        <v>8</v>
      </c>
      <c r="E293" s="11" t="n">
        <v>0.393666561866038</v>
      </c>
      <c r="F293" s="11" t="n">
        <v>-0.048262282179047</v>
      </c>
    </row>
    <row r="294">
      <c r="A294" t="s">
        <v>340</v>
      </c>
      <c r="B294" t="s">
        <v>30</v>
      </c>
      <c r="C294" t="s">
        <v>593</v>
      </c>
      <c r="D294" t="n">
        <v>9</v>
      </c>
      <c r="E294" s="11" t="n">
        <v>0.368361952374526</v>
      </c>
      <c r="F294" s="11" t="n">
        <v>-0.0459742264632843</v>
      </c>
    </row>
    <row r="295">
      <c r="A295" t="s">
        <v>340</v>
      </c>
      <c r="B295" t="s">
        <v>30</v>
      </c>
      <c r="C295" t="s">
        <v>593</v>
      </c>
      <c r="D295" t="n">
        <v>10</v>
      </c>
      <c r="E295" s="11" t="n">
        <v>0.311571011896158</v>
      </c>
      <c r="F295" s="11" t="n">
        <v>-0.0315864005267635</v>
      </c>
    </row>
    <row r="296">
      <c r="A296" t="s">
        <v>340</v>
      </c>
      <c r="B296" t="s">
        <v>30</v>
      </c>
      <c r="C296" t="s">
        <v>593</v>
      </c>
      <c r="D296" t="n">
        <v>11</v>
      </c>
      <c r="E296" s="11" t="n">
        <v>0.301673388003631</v>
      </c>
      <c r="F296" s="11" t="n">
        <v>-0.025168952514427</v>
      </c>
    </row>
    <row r="297">
      <c r="A297" t="s">
        <v>340</v>
      </c>
      <c r="B297" t="s">
        <v>30</v>
      </c>
      <c r="C297" t="s">
        <v>593</v>
      </c>
      <c r="D297" t="n">
        <v>12</v>
      </c>
      <c r="E297" s="11" t="n">
        <v>0.296344042671111</v>
      </c>
      <c r="F297" s="11" t="n">
        <v>-0.0111507821680223</v>
      </c>
    </row>
    <row r="298">
      <c r="A298" t="s">
        <v>340</v>
      </c>
      <c r="B298" t="s">
        <v>30</v>
      </c>
      <c r="C298" t="s">
        <v>593</v>
      </c>
      <c r="D298" t="n">
        <v>13</v>
      </c>
      <c r="E298" s="11" t="n">
        <v>0.288878436930208</v>
      </c>
      <c r="F298" s="11" t="n">
        <v>0.0125047048435183</v>
      </c>
    </row>
    <row r="299">
      <c r="A299" t="s">
        <v>340</v>
      </c>
      <c r="B299" t="s">
        <v>30</v>
      </c>
      <c r="C299" t="s">
        <v>593</v>
      </c>
      <c r="D299" t="n">
        <v>14</v>
      </c>
      <c r="E299" s="11" t="n">
        <v>0.291200412401176</v>
      </c>
      <c r="F299" s="11" t="n">
        <v>0.0188330489718344</v>
      </c>
    </row>
    <row r="300">
      <c r="A300" t="s">
        <v>340</v>
      </c>
      <c r="B300" t="s">
        <v>30</v>
      </c>
      <c r="C300" t="s">
        <v>593</v>
      </c>
      <c r="D300" t="n">
        <v>15</v>
      </c>
      <c r="E300" s="11" t="n">
        <v>0.315541313022305</v>
      </c>
      <c r="F300" s="11" t="n">
        <v>0.0300066335181202</v>
      </c>
    </row>
    <row r="301">
      <c r="A301" t="s">
        <v>340</v>
      </c>
      <c r="B301" t="s">
        <v>30</v>
      </c>
      <c r="C301" t="s">
        <v>593</v>
      </c>
      <c r="D301" t="n">
        <v>16</v>
      </c>
      <c r="E301" s="11" t="n">
        <v>0.330463469854972</v>
      </c>
      <c r="F301" s="11" t="n">
        <v>0.0367898903243626</v>
      </c>
    </row>
    <row r="302">
      <c r="A302" t="s">
        <v>340</v>
      </c>
      <c r="B302" t="s">
        <v>30</v>
      </c>
      <c r="C302" t="s">
        <v>593</v>
      </c>
      <c r="D302" t="n">
        <v>17</v>
      </c>
      <c r="E302" s="11" t="n">
        <v>0.378874214009144</v>
      </c>
      <c r="F302" s="11" t="n">
        <v>0.0482048756531655</v>
      </c>
    </row>
    <row r="303">
      <c r="A303" t="s">
        <v>340</v>
      </c>
      <c r="B303" t="s">
        <v>30</v>
      </c>
      <c r="C303" t="s">
        <v>593</v>
      </c>
      <c r="D303" t="n">
        <v>18</v>
      </c>
      <c r="E303" s="11" t="n">
        <v>0.416749192307261</v>
      </c>
      <c r="F303" s="11" t="n">
        <v>0.0502385762129744</v>
      </c>
    </row>
    <row r="304">
      <c r="A304" t="s">
        <v>340</v>
      </c>
      <c r="B304" t="s">
        <v>30</v>
      </c>
      <c r="C304" t="s">
        <v>593</v>
      </c>
      <c r="D304" t="n">
        <v>19</v>
      </c>
      <c r="E304" s="11" t="n">
        <v>0.470994004984305</v>
      </c>
      <c r="F304" s="11" t="n">
        <v>0.0488653708471729</v>
      </c>
    </row>
    <row r="305">
      <c r="A305" t="s">
        <v>340</v>
      </c>
      <c r="B305" t="s">
        <v>30</v>
      </c>
      <c r="C305" t="s">
        <v>593</v>
      </c>
      <c r="D305" t="n">
        <v>20</v>
      </c>
      <c r="E305" s="11" t="n">
        <v>0.489826748123329</v>
      </c>
      <c r="F305" s="11" t="n">
        <v>0.046866152184477</v>
      </c>
    </row>
    <row r="306">
      <c r="A306" t="s">
        <v>340</v>
      </c>
      <c r="B306" t="s">
        <v>30</v>
      </c>
      <c r="C306" t="s">
        <v>593</v>
      </c>
      <c r="D306" t="n">
        <v>21</v>
      </c>
      <c r="E306" s="11" t="n">
        <v>0.535256033502817</v>
      </c>
      <c r="F306" s="11" t="n">
        <v>0.037043764646092</v>
      </c>
    </row>
    <row r="307">
      <c r="A307" t="s">
        <v>340</v>
      </c>
      <c r="B307" t="s">
        <v>30</v>
      </c>
      <c r="C307" t="s">
        <v>593</v>
      </c>
      <c r="D307" t="n">
        <v>22</v>
      </c>
      <c r="E307" s="11" t="n">
        <v>0.563596820778586</v>
      </c>
      <c r="F307" s="11" t="n">
        <v>0.0255921431098286</v>
      </c>
    </row>
    <row r="308">
      <c r="A308" t="s">
        <v>340</v>
      </c>
      <c r="B308" t="s">
        <v>31</v>
      </c>
      <c r="C308" t="s">
        <v>592</v>
      </c>
      <c r="D308" t="n">
        <v>1</v>
      </c>
      <c r="E308" s="11" t="n">
        <v>1.04237478086035</v>
      </c>
      <c r="F308" s="11" t="n">
        <v>-1.02201438078267</v>
      </c>
    </row>
    <row r="309">
      <c r="A309" t="s">
        <v>340</v>
      </c>
      <c r="B309" t="s">
        <v>31</v>
      </c>
      <c r="C309" t="s">
        <v>592</v>
      </c>
      <c r="D309" t="n">
        <v>2</v>
      </c>
      <c r="E309" s="11" t="n">
        <v>-0.165517569077118</v>
      </c>
      <c r="F309" s="11" t="n">
        <v>-1.24193513629763</v>
      </c>
    </row>
    <row r="310">
      <c r="A310" t="s">
        <v>340</v>
      </c>
      <c r="B310" t="s">
        <v>31</v>
      </c>
      <c r="C310" t="s">
        <v>592</v>
      </c>
      <c r="D310" t="n">
        <v>3</v>
      </c>
      <c r="E310" s="11" t="n">
        <v>-1.19931861233848</v>
      </c>
      <c r="F310" s="11" t="n">
        <v>-0.352975559825579</v>
      </c>
    </row>
    <row r="311">
      <c r="A311" t="s">
        <v>340</v>
      </c>
      <c r="B311" t="s">
        <v>31</v>
      </c>
      <c r="C311" t="s">
        <v>592</v>
      </c>
      <c r="D311" t="n">
        <v>4</v>
      </c>
      <c r="E311" s="11" t="n">
        <v>-1.2015771199229</v>
      </c>
      <c r="F311" s="11" t="n">
        <v>-0.344546694771249</v>
      </c>
    </row>
    <row r="312">
      <c r="A312" t="s">
        <v>340</v>
      </c>
      <c r="B312" t="s">
        <v>31</v>
      </c>
      <c r="C312" t="s">
        <v>592</v>
      </c>
      <c r="D312" t="n">
        <v>5</v>
      </c>
      <c r="E312" s="11" t="n">
        <v>-1.36264244602523</v>
      </c>
      <c r="F312" s="11" t="n">
        <v>1.26332352686447</v>
      </c>
    </row>
    <row r="313">
      <c r="A313" t="s">
        <v>340</v>
      </c>
      <c r="B313" t="s">
        <v>31</v>
      </c>
      <c r="C313" t="s">
        <v>592</v>
      </c>
      <c r="D313" t="n">
        <v>6</v>
      </c>
      <c r="E313" s="11" t="n">
        <v>0.936680235832775</v>
      </c>
      <c r="F313" s="11" t="n">
        <v>1.17055294030645</v>
      </c>
    </row>
    <row r="314">
      <c r="A314" t="s">
        <v>340</v>
      </c>
      <c r="B314" t="s">
        <v>31</v>
      </c>
      <c r="C314" t="s">
        <v>592</v>
      </c>
      <c r="D314" t="n">
        <v>7</v>
      </c>
      <c r="E314" s="11" t="n">
        <v>1.89159325136882</v>
      </c>
      <c r="F314" s="11" t="n">
        <v>0.537510051545829</v>
      </c>
    </row>
    <row r="315">
      <c r="A315" t="s">
        <v>340</v>
      </c>
      <c r="B315" t="s">
        <v>31</v>
      </c>
      <c r="C315" t="s">
        <v>592</v>
      </c>
      <c r="D315" t="n">
        <v>8</v>
      </c>
      <c r="E315" s="11" t="n">
        <v>1.98159959413982</v>
      </c>
      <c r="F315" s="11" t="n">
        <v>0.217420810863202</v>
      </c>
    </row>
    <row r="316">
      <c r="A316" t="s">
        <v>340</v>
      </c>
      <c r="B316" t="s">
        <v>31</v>
      </c>
      <c r="C316" t="s">
        <v>593</v>
      </c>
      <c r="D316" t="n">
        <v>1</v>
      </c>
      <c r="E316" s="11" t="n">
        <v>0.405276739050097</v>
      </c>
      <c r="F316" s="11" t="n">
        <v>-0.00835673652270155</v>
      </c>
    </row>
    <row r="317">
      <c r="A317" t="s">
        <v>340</v>
      </c>
      <c r="B317" t="s">
        <v>31</v>
      </c>
      <c r="C317" t="s">
        <v>593</v>
      </c>
      <c r="D317" t="n">
        <v>2</v>
      </c>
      <c r="E317" s="11" t="n">
        <v>0.405049288273427</v>
      </c>
      <c r="F317" s="11" t="n">
        <v>-0.012448713773771</v>
      </c>
    </row>
    <row r="318">
      <c r="A318" t="s">
        <v>340</v>
      </c>
      <c r="B318" t="s">
        <v>31</v>
      </c>
      <c r="C318" t="s">
        <v>593</v>
      </c>
      <c r="D318" t="n">
        <v>3</v>
      </c>
      <c r="E318" s="11" t="n">
        <v>0.341455819179964</v>
      </c>
      <c r="F318" s="11" t="n">
        <v>-0.0433078896159248</v>
      </c>
    </row>
    <row r="319">
      <c r="A319" t="s">
        <v>340</v>
      </c>
      <c r="B319" t="s">
        <v>31</v>
      </c>
      <c r="C319" t="s">
        <v>593</v>
      </c>
      <c r="D319" t="n">
        <v>4</v>
      </c>
      <c r="E319" s="11" t="n">
        <v>0.330195662532415</v>
      </c>
      <c r="F319" s="11" t="n">
        <v>-0.0478826092326527</v>
      </c>
    </row>
    <row r="320">
      <c r="A320" t="s">
        <v>340</v>
      </c>
      <c r="B320" t="s">
        <v>31</v>
      </c>
      <c r="C320" t="s">
        <v>593</v>
      </c>
      <c r="D320" t="n">
        <v>5</v>
      </c>
      <c r="E320" s="11" t="n">
        <v>0.308707365525541</v>
      </c>
      <c r="F320" s="11" t="n">
        <v>-0.052488449635247</v>
      </c>
    </row>
    <row r="321">
      <c r="A321" t="s">
        <v>340</v>
      </c>
      <c r="B321" t="s">
        <v>31</v>
      </c>
      <c r="C321" t="s">
        <v>593</v>
      </c>
      <c r="D321" t="n">
        <v>6</v>
      </c>
      <c r="E321" s="11" t="n">
        <v>0.28031151802316</v>
      </c>
      <c r="F321" s="11" t="n">
        <v>-0.0581585460999736</v>
      </c>
    </row>
    <row r="322">
      <c r="A322" t="s">
        <v>340</v>
      </c>
      <c r="B322" t="s">
        <v>31</v>
      </c>
      <c r="C322" t="s">
        <v>593</v>
      </c>
      <c r="D322" t="n">
        <v>7</v>
      </c>
      <c r="E322" s="11" t="n">
        <v>0.240338969693806</v>
      </c>
      <c r="F322" s="11" t="n">
        <v>-0.0600116771861176</v>
      </c>
    </row>
    <row r="323">
      <c r="A323" t="s">
        <v>340</v>
      </c>
      <c r="B323" t="s">
        <v>31</v>
      </c>
      <c r="C323" t="s">
        <v>593</v>
      </c>
      <c r="D323" t="n">
        <v>8</v>
      </c>
      <c r="E323" s="11" t="n">
        <v>0.143537529185118</v>
      </c>
      <c r="F323" s="11" t="n">
        <v>-0.0481253668184539</v>
      </c>
    </row>
    <row r="324">
      <c r="A324" t="s">
        <v>340</v>
      </c>
      <c r="B324" t="s">
        <v>31</v>
      </c>
      <c r="C324" t="s">
        <v>593</v>
      </c>
      <c r="D324" t="n">
        <v>9</v>
      </c>
      <c r="E324" s="11" t="n">
        <v>0.136442234007311</v>
      </c>
      <c r="F324" s="11" t="n">
        <v>-0.0452162960080912</v>
      </c>
    </row>
    <row r="325">
      <c r="A325" t="s">
        <v>340</v>
      </c>
      <c r="B325" t="s">
        <v>31</v>
      </c>
      <c r="C325" t="s">
        <v>593</v>
      </c>
      <c r="D325" t="n">
        <v>10</v>
      </c>
      <c r="E325" s="11" t="n">
        <v>0.100651243459558</v>
      </c>
      <c r="F325" s="11" t="n">
        <v>-0.0299035165366168</v>
      </c>
    </row>
    <row r="326">
      <c r="A326" t="s">
        <v>340</v>
      </c>
      <c r="B326" t="s">
        <v>31</v>
      </c>
      <c r="C326" t="s">
        <v>593</v>
      </c>
      <c r="D326" t="n">
        <v>11</v>
      </c>
      <c r="E326" s="11" t="n">
        <v>0.0856476937437729</v>
      </c>
      <c r="F326" s="11" t="n">
        <v>-0.0193556205781524</v>
      </c>
    </row>
    <row r="327">
      <c r="A327" t="s">
        <v>340</v>
      </c>
      <c r="B327" t="s">
        <v>31</v>
      </c>
      <c r="C327" t="s">
        <v>593</v>
      </c>
      <c r="D327" t="n">
        <v>12</v>
      </c>
      <c r="E327" s="11" t="n">
        <v>0.0711084940954346</v>
      </c>
      <c r="F327" s="11" t="n">
        <v>0.0017684342238902</v>
      </c>
    </row>
    <row r="328">
      <c r="A328" t="s">
        <v>340</v>
      </c>
      <c r="B328" t="s">
        <v>31</v>
      </c>
      <c r="C328" t="s">
        <v>593</v>
      </c>
      <c r="D328" t="n">
        <v>13</v>
      </c>
      <c r="E328" s="11" t="n">
        <v>0.0887318592443701</v>
      </c>
      <c r="F328" s="11" t="n">
        <v>0.0207069715035603</v>
      </c>
    </row>
    <row r="329">
      <c r="A329" t="s">
        <v>340</v>
      </c>
      <c r="B329" t="s">
        <v>31</v>
      </c>
      <c r="C329" t="s">
        <v>593</v>
      </c>
      <c r="D329" t="n">
        <v>14</v>
      </c>
      <c r="E329" s="11" t="n">
        <v>0.138125703331086</v>
      </c>
      <c r="F329" s="11" t="n">
        <v>0.0432225961051071</v>
      </c>
    </row>
    <row r="330">
      <c r="A330" t="s">
        <v>340</v>
      </c>
      <c r="B330" t="s">
        <v>31</v>
      </c>
      <c r="C330" t="s">
        <v>593</v>
      </c>
      <c r="D330" t="n">
        <v>15</v>
      </c>
      <c r="E330" s="11" t="n">
        <v>0.198697380078059</v>
      </c>
      <c r="F330" s="11" t="n">
        <v>0.0585935777303038</v>
      </c>
    </row>
    <row r="331">
      <c r="A331" t="s">
        <v>340</v>
      </c>
      <c r="B331" t="s">
        <v>31</v>
      </c>
      <c r="C331" t="s">
        <v>593</v>
      </c>
      <c r="D331" t="n">
        <v>16</v>
      </c>
      <c r="E331" s="11" t="n">
        <v>0.259289353030893</v>
      </c>
      <c r="F331" s="11" t="n">
        <v>0.0584819612391503</v>
      </c>
    </row>
    <row r="332">
      <c r="A332" t="s">
        <v>340</v>
      </c>
      <c r="B332" t="s">
        <v>31</v>
      </c>
      <c r="C332" t="s">
        <v>593</v>
      </c>
      <c r="D332" t="n">
        <v>17</v>
      </c>
      <c r="E332" s="11" t="n">
        <v>0.308810453909739</v>
      </c>
      <c r="F332" s="11" t="n">
        <v>0.0502750587981572</v>
      </c>
    </row>
    <row r="333">
      <c r="A333" t="s">
        <v>340</v>
      </c>
      <c r="B333" t="s">
        <v>31</v>
      </c>
      <c r="C333" t="s">
        <v>593</v>
      </c>
      <c r="D333" t="n">
        <v>18</v>
      </c>
      <c r="E333" s="11" t="n">
        <v>0.330312503155611</v>
      </c>
      <c r="F333" s="11" t="n">
        <v>0.046579091255422</v>
      </c>
    </row>
    <row r="334">
      <c r="A334" t="s">
        <v>340</v>
      </c>
      <c r="B334" t="s">
        <v>31</v>
      </c>
      <c r="C334" t="s">
        <v>593</v>
      </c>
      <c r="D334" t="n">
        <v>19</v>
      </c>
      <c r="E334" s="11" t="n">
        <v>0.36624076094113</v>
      </c>
      <c r="F334" s="11" t="n">
        <v>0.0346535072362741</v>
      </c>
    </row>
    <row r="335">
      <c r="A335" t="s">
        <v>340</v>
      </c>
      <c r="B335" t="s">
        <v>31</v>
      </c>
      <c r="C335" t="s">
        <v>593</v>
      </c>
      <c r="D335" t="n">
        <v>20</v>
      </c>
      <c r="E335" s="11" t="n">
        <v>0.401472914052099</v>
      </c>
      <c r="F335" s="11" t="n">
        <v>0.015816485819273</v>
      </c>
    </row>
    <row r="336">
      <c r="A336" t="s">
        <v>340</v>
      </c>
      <c r="B336" t="s">
        <v>31</v>
      </c>
      <c r="C336" t="s">
        <v>593</v>
      </c>
      <c r="D336" t="n">
        <v>21</v>
      </c>
      <c r="E336" s="11" t="n">
        <v>0.405604085628625</v>
      </c>
      <c r="F336" s="11" t="n">
        <v>-0.000757423549077257</v>
      </c>
    </row>
    <row r="337">
      <c r="A337" t="s">
        <v>340</v>
      </c>
      <c r="B337" t="s">
        <v>32</v>
      </c>
      <c r="C337" t="s">
        <v>592</v>
      </c>
      <c r="D337" t="n">
        <v>1</v>
      </c>
      <c r="E337" s="11" t="n">
        <v>2.40329380813831</v>
      </c>
      <c r="F337" s="11" t="n">
        <v>-1.47026489850096</v>
      </c>
    </row>
    <row r="338">
      <c r="A338" t="s">
        <v>340</v>
      </c>
      <c r="B338" t="s">
        <v>32</v>
      </c>
      <c r="C338" t="s">
        <v>592</v>
      </c>
      <c r="D338" t="n">
        <v>2</v>
      </c>
      <c r="E338" s="11" t="n">
        <v>2.26431271330426</v>
      </c>
      <c r="F338" s="11" t="n">
        <v>-1.50860979394663</v>
      </c>
    </row>
    <row r="339">
      <c r="A339" t="s">
        <v>340</v>
      </c>
      <c r="B339" t="s">
        <v>32</v>
      </c>
      <c r="C339" t="s">
        <v>592</v>
      </c>
      <c r="D339" t="n">
        <v>3</v>
      </c>
      <c r="E339" s="11" t="n">
        <v>-1.38524925894913</v>
      </c>
      <c r="F339" s="11" t="n">
        <v>-1.45692826095869</v>
      </c>
    </row>
    <row r="340">
      <c r="A340" t="s">
        <v>340</v>
      </c>
      <c r="B340" t="s">
        <v>32</v>
      </c>
      <c r="C340" t="s">
        <v>592</v>
      </c>
      <c r="D340" t="n">
        <v>4</v>
      </c>
      <c r="E340" s="11" t="n">
        <v>-2.02588175194764</v>
      </c>
      <c r="F340" s="11" t="n">
        <v>-0.079310652735269</v>
      </c>
    </row>
    <row r="341">
      <c r="A341" t="s">
        <v>340</v>
      </c>
      <c r="B341" t="s">
        <v>32</v>
      </c>
      <c r="C341" t="s">
        <v>592</v>
      </c>
      <c r="D341" t="n">
        <v>5</v>
      </c>
      <c r="E341" s="11" t="n">
        <v>-1.9463324649151</v>
      </c>
      <c r="F341" s="11" t="n">
        <v>0.495184050588245</v>
      </c>
    </row>
    <row r="342">
      <c r="A342" t="s">
        <v>340</v>
      </c>
      <c r="B342" t="s">
        <v>32</v>
      </c>
      <c r="C342" t="s">
        <v>592</v>
      </c>
      <c r="D342" t="n">
        <v>6</v>
      </c>
      <c r="E342" s="11" t="n">
        <v>0.696439939817505</v>
      </c>
      <c r="F342" s="11" t="n">
        <v>1.72328256197082</v>
      </c>
    </row>
    <row r="343">
      <c r="A343" t="s">
        <v>340</v>
      </c>
      <c r="B343" t="s">
        <v>32</v>
      </c>
      <c r="C343" t="s">
        <v>592</v>
      </c>
      <c r="D343" t="n">
        <v>7</v>
      </c>
      <c r="E343" s="11" t="n">
        <v>1.80072001878824</v>
      </c>
      <c r="F343" s="11" t="n">
        <v>1.34091573734859</v>
      </c>
    </row>
    <row r="344">
      <c r="A344" t="s">
        <v>340</v>
      </c>
      <c r="B344" t="s">
        <v>32</v>
      </c>
      <c r="C344" t="s">
        <v>592</v>
      </c>
      <c r="D344" t="n">
        <v>8</v>
      </c>
      <c r="E344" s="11" t="n">
        <v>2.22171281814605</v>
      </c>
      <c r="F344" s="11" t="n">
        <v>0.0386284051644995</v>
      </c>
    </row>
    <row r="345">
      <c r="A345" t="s">
        <v>340</v>
      </c>
      <c r="B345" t="s">
        <v>32</v>
      </c>
      <c r="C345" t="s">
        <v>593</v>
      </c>
      <c r="D345" t="n">
        <v>1</v>
      </c>
      <c r="E345" s="11" t="n">
        <v>0.505254380931596</v>
      </c>
      <c r="F345" s="11" t="n">
        <v>-0.0149747843872971</v>
      </c>
    </row>
    <row r="346">
      <c r="A346" t="s">
        <v>340</v>
      </c>
      <c r="B346" t="s">
        <v>32</v>
      </c>
      <c r="C346" t="s">
        <v>593</v>
      </c>
      <c r="D346" t="n">
        <v>2</v>
      </c>
      <c r="E346" s="11" t="n">
        <v>0.497552483474137</v>
      </c>
      <c r="F346" s="11" t="n">
        <v>-0.0466644751827978</v>
      </c>
    </row>
    <row r="347">
      <c r="A347" t="s">
        <v>340</v>
      </c>
      <c r="B347" t="s">
        <v>32</v>
      </c>
      <c r="C347" t="s">
        <v>593</v>
      </c>
      <c r="D347" t="n">
        <v>3</v>
      </c>
      <c r="E347" s="11" t="n">
        <v>0.459435140151144</v>
      </c>
      <c r="F347" s="11" t="n">
        <v>-0.0587024606715723</v>
      </c>
    </row>
    <row r="348">
      <c r="A348" t="s">
        <v>340</v>
      </c>
      <c r="B348" t="s">
        <v>32</v>
      </c>
      <c r="C348" t="s">
        <v>593</v>
      </c>
      <c r="D348" t="n">
        <v>4</v>
      </c>
      <c r="E348" s="11" t="n">
        <v>0.413733941558505</v>
      </c>
      <c r="F348" s="11" t="n">
        <v>-0.0713398847642397</v>
      </c>
    </row>
    <row r="349">
      <c r="A349" t="s">
        <v>340</v>
      </c>
      <c r="B349" t="s">
        <v>32</v>
      </c>
      <c r="C349" t="s">
        <v>593</v>
      </c>
      <c r="D349" t="n">
        <v>5</v>
      </c>
      <c r="E349" s="11" t="n">
        <v>0.272998470783281</v>
      </c>
      <c r="F349" s="11" t="n">
        <v>-0.0900943609549763</v>
      </c>
    </row>
    <row r="350">
      <c r="A350" t="s">
        <v>340</v>
      </c>
      <c r="B350" t="s">
        <v>32</v>
      </c>
      <c r="C350" t="s">
        <v>593</v>
      </c>
      <c r="D350" t="n">
        <v>6</v>
      </c>
      <c r="E350" s="11" t="n">
        <v>0.188311441701325</v>
      </c>
      <c r="F350" s="11" t="n">
        <v>-0.0742906852161659</v>
      </c>
    </row>
    <row r="351">
      <c r="A351" t="s">
        <v>340</v>
      </c>
      <c r="B351" t="s">
        <v>32</v>
      </c>
      <c r="C351" t="s">
        <v>593</v>
      </c>
      <c r="D351" t="n">
        <v>7</v>
      </c>
      <c r="E351" s="11" t="n">
        <v>0.0956444251590473</v>
      </c>
      <c r="F351" s="11" t="n">
        <v>-0.0457126511070849</v>
      </c>
    </row>
    <row r="352">
      <c r="A352" t="s">
        <v>340</v>
      </c>
      <c r="B352" t="s">
        <v>32</v>
      </c>
      <c r="C352" t="s">
        <v>593</v>
      </c>
      <c r="D352" t="n">
        <v>8</v>
      </c>
      <c r="E352" s="11" t="n">
        <v>0.0676331134583742</v>
      </c>
      <c r="F352" s="11" t="n">
        <v>-0.0331489472103322</v>
      </c>
    </row>
    <row r="353">
      <c r="A353" t="s">
        <v>340</v>
      </c>
      <c r="B353" t="s">
        <v>32</v>
      </c>
      <c r="C353" t="s">
        <v>593</v>
      </c>
      <c r="D353" t="n">
        <v>9</v>
      </c>
      <c r="E353" s="11" t="n">
        <v>0.0496002041665836</v>
      </c>
      <c r="F353" s="11" t="n">
        <v>-0.0130557349367491</v>
      </c>
    </row>
    <row r="354">
      <c r="A354" t="s">
        <v>340</v>
      </c>
      <c r="B354" t="s">
        <v>32</v>
      </c>
      <c r="C354" t="s">
        <v>593</v>
      </c>
      <c r="D354" t="n">
        <v>10</v>
      </c>
      <c r="E354" s="11" t="n">
        <v>0.0450658734940584</v>
      </c>
      <c r="F354" s="11" t="n">
        <v>0.00114699810156109</v>
      </c>
    </row>
    <row r="355">
      <c r="A355" t="s">
        <v>340</v>
      </c>
      <c r="B355" t="s">
        <v>32</v>
      </c>
      <c r="C355" t="s">
        <v>593</v>
      </c>
      <c r="D355" t="n">
        <v>11</v>
      </c>
      <c r="E355" s="11" t="n">
        <v>0.0736564613141652</v>
      </c>
      <c r="F355" s="11" t="n">
        <v>0.0424616875366753</v>
      </c>
    </row>
    <row r="356">
      <c r="A356" t="s">
        <v>340</v>
      </c>
      <c r="B356" t="s">
        <v>32</v>
      </c>
      <c r="C356" t="s">
        <v>593</v>
      </c>
      <c r="D356" t="n">
        <v>12</v>
      </c>
      <c r="E356" s="11" t="n">
        <v>0.172767908264439</v>
      </c>
      <c r="F356" s="11" t="n">
        <v>0.0598150556268623</v>
      </c>
    </row>
    <row r="357">
      <c r="A357" t="s">
        <v>340</v>
      </c>
      <c r="B357" t="s">
        <v>32</v>
      </c>
      <c r="C357" t="s">
        <v>593</v>
      </c>
      <c r="D357" t="n">
        <v>13</v>
      </c>
      <c r="E357" s="11" t="n">
        <v>0.238144246193122</v>
      </c>
      <c r="F357" s="11" t="n">
        <v>0.0688543801923202</v>
      </c>
    </row>
    <row r="358">
      <c r="A358" t="s">
        <v>340</v>
      </c>
      <c r="B358" t="s">
        <v>32</v>
      </c>
      <c r="C358" t="s">
        <v>593</v>
      </c>
      <c r="D358" t="n">
        <v>14</v>
      </c>
      <c r="E358" s="11" t="n">
        <v>0.308701481350515</v>
      </c>
      <c r="F358" s="11" t="n">
        <v>0.0673944712676334</v>
      </c>
    </row>
    <row r="359">
      <c r="A359" t="s">
        <v>340</v>
      </c>
      <c r="B359" t="s">
        <v>32</v>
      </c>
      <c r="C359" t="s">
        <v>593</v>
      </c>
      <c r="D359" t="n">
        <v>15</v>
      </c>
      <c r="E359" s="11" t="n">
        <v>0.34145092705275</v>
      </c>
      <c r="F359" s="11" t="n">
        <v>0.0657253521383098</v>
      </c>
    </row>
    <row r="360">
      <c r="A360" t="s">
        <v>340</v>
      </c>
      <c r="B360" t="s">
        <v>32</v>
      </c>
      <c r="C360" t="s">
        <v>593</v>
      </c>
      <c r="D360" t="n">
        <v>16</v>
      </c>
      <c r="E360" s="11" t="n">
        <v>0.405178937382596</v>
      </c>
      <c r="F360" s="11" t="n">
        <v>0.055321530579131</v>
      </c>
    </row>
    <row r="361">
      <c r="A361" t="s">
        <v>340</v>
      </c>
      <c r="B361" t="s">
        <v>32</v>
      </c>
      <c r="C361" t="s">
        <v>593</v>
      </c>
      <c r="D361" t="n">
        <v>17</v>
      </c>
      <c r="E361" s="11" t="n">
        <v>0.444027775189139</v>
      </c>
      <c r="F361" s="11" t="n">
        <v>0.0450580748251225</v>
      </c>
    </row>
    <row r="362">
      <c r="A362" t="s">
        <v>340</v>
      </c>
      <c r="B362" t="s">
        <v>32</v>
      </c>
      <c r="C362" t="s">
        <v>593</v>
      </c>
      <c r="D362" t="n">
        <v>18</v>
      </c>
      <c r="E362" s="11" t="n">
        <v>0.495200430737177</v>
      </c>
      <c r="F362" s="11" t="n">
        <v>0.0229915691206349</v>
      </c>
    </row>
    <row r="363">
      <c r="A363" t="s">
        <v>340</v>
      </c>
      <c r="B363" t="s">
        <v>32</v>
      </c>
      <c r="C363" t="s">
        <v>593</v>
      </c>
      <c r="D363" t="n">
        <v>19</v>
      </c>
      <c r="E363" s="11" t="n">
        <v>0.501154553293135</v>
      </c>
      <c r="F363" s="11" t="n">
        <v>0.00701718658960772</v>
      </c>
    </row>
    <row r="364">
      <c r="A364" t="s">
        <v>350</v>
      </c>
      <c r="B364" t="s">
        <v>30</v>
      </c>
      <c r="C364" t="s">
        <v>592</v>
      </c>
      <c r="D364" t="n">
        <v>1</v>
      </c>
      <c r="E364" s="11" t="n">
        <v>0.4567727288213</v>
      </c>
      <c r="F364" s="11" t="n">
        <v>-0.2033683215379</v>
      </c>
    </row>
    <row r="365">
      <c r="A365" t="s">
        <v>350</v>
      </c>
      <c r="B365" t="s">
        <v>30</v>
      </c>
      <c r="C365" t="s">
        <v>592</v>
      </c>
      <c r="D365" t="n">
        <v>2</v>
      </c>
      <c r="E365" s="11" t="n">
        <v>0.375</v>
      </c>
      <c r="F365" s="11" t="n">
        <v>-0.649519052838329</v>
      </c>
    </row>
    <row r="366">
      <c r="A366" t="s">
        <v>350</v>
      </c>
      <c r="B366" t="s">
        <v>30</v>
      </c>
      <c r="C366" t="s">
        <v>592</v>
      </c>
      <c r="D366" t="n">
        <v>3</v>
      </c>
      <c r="E366" s="11" t="n">
        <v>-0.0783963474507407</v>
      </c>
      <c r="F366" s="11" t="n">
        <v>-0.745891421526205</v>
      </c>
    </row>
    <row r="367">
      <c r="A367" t="s">
        <v>350</v>
      </c>
      <c r="B367" t="s">
        <v>30</v>
      </c>
      <c r="C367" t="s">
        <v>592</v>
      </c>
      <c r="D367" t="n">
        <v>4</v>
      </c>
      <c r="E367" s="11" t="n">
        <v>-0.749543120264322</v>
      </c>
      <c r="F367" s="11" t="n">
        <v>-0.0261746225268759</v>
      </c>
    </row>
    <row r="368">
      <c r="A368" t="s">
        <v>350</v>
      </c>
      <c r="B368" t="s">
        <v>30</v>
      </c>
      <c r="C368" t="s">
        <v>592</v>
      </c>
      <c r="D368" t="n">
        <v>5</v>
      </c>
      <c r="E368" s="11" t="n">
        <v>-0.334565303179429</v>
      </c>
      <c r="F368" s="11" t="n">
        <v>0.371572412738697</v>
      </c>
    </row>
    <row r="369">
      <c r="A369" t="s">
        <v>350</v>
      </c>
      <c r="B369" t="s">
        <v>30</v>
      </c>
      <c r="C369" t="s">
        <v>592</v>
      </c>
      <c r="D369" t="n">
        <v>6</v>
      </c>
      <c r="E369" s="11" t="n">
        <v>0.104379825720049</v>
      </c>
      <c r="F369" s="11" t="n">
        <v>0.742701051556178</v>
      </c>
    </row>
    <row r="370">
      <c r="A370" t="s">
        <v>350</v>
      </c>
      <c r="B370" t="s">
        <v>30</v>
      </c>
      <c r="C370" t="s">
        <v>592</v>
      </c>
      <c r="D370" t="n">
        <v>7</v>
      </c>
      <c r="E370" s="11" t="n">
        <v>0.424024048078213</v>
      </c>
      <c r="F370" s="11" t="n">
        <v>0.264959632116602</v>
      </c>
    </row>
    <row r="371">
      <c r="A371" t="s">
        <v>350</v>
      </c>
      <c r="B371" t="s">
        <v>30</v>
      </c>
      <c r="C371" t="s">
        <v>593</v>
      </c>
      <c r="D371" t="n">
        <v>1</v>
      </c>
      <c r="E371" s="11" t="n">
        <v>0.00133128185154727</v>
      </c>
      <c r="F371" s="11" t="n">
        <v>-0.0106907892300813</v>
      </c>
    </row>
    <row r="372">
      <c r="A372" t="s">
        <v>350</v>
      </c>
      <c r="B372" t="s">
        <v>30</v>
      </c>
      <c r="C372" t="s">
        <v>593</v>
      </c>
      <c r="D372" t="n">
        <v>2</v>
      </c>
      <c r="E372" s="11" t="n">
        <v>-0.0028360209110584</v>
      </c>
      <c r="F372" s="11" t="n">
        <v>-0.0272384348408229</v>
      </c>
    </row>
    <row r="373">
      <c r="A373" t="s">
        <v>350</v>
      </c>
      <c r="B373" t="s">
        <v>30</v>
      </c>
      <c r="C373" t="s">
        <v>593</v>
      </c>
      <c r="D373" t="n">
        <v>3</v>
      </c>
      <c r="E373" s="11" t="n">
        <v>-0.0285259607389226</v>
      </c>
      <c r="F373" s="11" t="n">
        <v>-0.038104046767682</v>
      </c>
    </row>
    <row r="374">
      <c r="A374" t="s">
        <v>350</v>
      </c>
      <c r="B374" t="s">
        <v>30</v>
      </c>
      <c r="C374" t="s">
        <v>593</v>
      </c>
      <c r="D374" t="n">
        <v>4</v>
      </c>
      <c r="E374" s="11" t="n">
        <v>-0.0448412386755281</v>
      </c>
      <c r="F374" s="11" t="n">
        <v>-0.038547567477403</v>
      </c>
    </row>
    <row r="375">
      <c r="A375" t="s">
        <v>350</v>
      </c>
      <c r="B375" t="s">
        <v>30</v>
      </c>
      <c r="C375" t="s">
        <v>593</v>
      </c>
      <c r="D375" t="n">
        <v>5</v>
      </c>
      <c r="E375" s="11" t="n">
        <v>-0.0587101243293627</v>
      </c>
      <c r="F375" s="11" t="n">
        <v>-0.0324434261548483</v>
      </c>
    </row>
    <row r="376">
      <c r="A376" t="s">
        <v>350</v>
      </c>
      <c r="B376" t="s">
        <v>30</v>
      </c>
      <c r="C376" t="s">
        <v>593</v>
      </c>
      <c r="D376" t="n">
        <v>6</v>
      </c>
      <c r="E376" s="11" t="n">
        <v>-0.0764756314402544</v>
      </c>
      <c r="F376" s="11" t="n">
        <v>-0.023264126137415</v>
      </c>
    </row>
    <row r="377">
      <c r="A377" t="s">
        <v>350</v>
      </c>
      <c r="B377" t="s">
        <v>30</v>
      </c>
      <c r="C377" t="s">
        <v>593</v>
      </c>
      <c r="D377" t="n">
        <v>7</v>
      </c>
      <c r="E377" s="11" t="n">
        <v>-0.0875183452266993</v>
      </c>
      <c r="F377" s="11" t="n">
        <v>-0.006472179309915</v>
      </c>
    </row>
    <row r="378">
      <c r="A378" t="s">
        <v>350</v>
      </c>
      <c r="B378" t="s">
        <v>30</v>
      </c>
      <c r="C378" t="s">
        <v>593</v>
      </c>
      <c r="D378" t="n">
        <v>8</v>
      </c>
      <c r="E378" s="11" t="n">
        <v>-0.0897327833283827</v>
      </c>
      <c r="F378" s="11" t="n">
        <v>0.00561602071819871</v>
      </c>
    </row>
    <row r="379">
      <c r="A379" t="s">
        <v>350</v>
      </c>
      <c r="B379" t="s">
        <v>30</v>
      </c>
      <c r="C379" t="s">
        <v>593</v>
      </c>
      <c r="D379" t="n">
        <v>9</v>
      </c>
      <c r="E379" s="11" t="n">
        <v>-0.0866378517358374</v>
      </c>
      <c r="F379" s="11" t="n">
        <v>0.0167362353298749</v>
      </c>
    </row>
    <row r="380">
      <c r="A380" t="s">
        <v>350</v>
      </c>
      <c r="B380" t="s">
        <v>30</v>
      </c>
      <c r="C380" t="s">
        <v>593</v>
      </c>
      <c r="D380" t="n">
        <v>10</v>
      </c>
      <c r="E380" s="11" t="n">
        <v>-0.0860283806112462</v>
      </c>
      <c r="F380" s="11" t="n">
        <v>0.01816725273044</v>
      </c>
    </row>
    <row r="381">
      <c r="A381" t="s">
        <v>350</v>
      </c>
      <c r="B381" t="s">
        <v>30</v>
      </c>
      <c r="C381" t="s">
        <v>593</v>
      </c>
      <c r="D381" t="n">
        <v>11</v>
      </c>
      <c r="E381" s="11" t="n">
        <v>-0.0773007067257197</v>
      </c>
      <c r="F381" s="11" t="n">
        <v>0.0257069825903956</v>
      </c>
    </row>
    <row r="382">
      <c r="A382" t="s">
        <v>350</v>
      </c>
      <c r="B382" t="s">
        <v>30</v>
      </c>
      <c r="C382" t="s">
        <v>593</v>
      </c>
      <c r="D382" t="n">
        <v>12</v>
      </c>
      <c r="E382" s="11" t="n">
        <v>-0.0730503249947598</v>
      </c>
      <c r="F382" s="11" t="n">
        <v>0.0281343930301848</v>
      </c>
    </row>
    <row r="383">
      <c r="A383" t="s">
        <v>350</v>
      </c>
      <c r="B383" t="s">
        <v>30</v>
      </c>
      <c r="C383" t="s">
        <v>593</v>
      </c>
      <c r="D383" t="n">
        <v>13</v>
      </c>
      <c r="E383" s="11" t="n">
        <v>-0.0570739863943631</v>
      </c>
      <c r="F383" s="11" t="n">
        <v>0.0338005259717659</v>
      </c>
    </row>
    <row r="384">
      <c r="A384" t="s">
        <v>350</v>
      </c>
      <c r="B384" t="s">
        <v>30</v>
      </c>
      <c r="C384" t="s">
        <v>593</v>
      </c>
      <c r="D384" t="n">
        <v>14</v>
      </c>
      <c r="E384" s="11" t="n">
        <v>-0.0409186715036151</v>
      </c>
      <c r="F384" s="11" t="n">
        <v>0.0352107575464934</v>
      </c>
    </row>
    <row r="385">
      <c r="A385" t="s">
        <v>350</v>
      </c>
      <c r="B385" t="s">
        <v>30</v>
      </c>
      <c r="C385" t="s">
        <v>593</v>
      </c>
      <c r="D385" t="n">
        <v>15</v>
      </c>
      <c r="E385" s="11" t="n">
        <v>-0.0150960283317239</v>
      </c>
      <c r="F385" s="11" t="n">
        <v>0.0245568947775629</v>
      </c>
    </row>
    <row r="386">
      <c r="A386" t="s">
        <v>350</v>
      </c>
      <c r="B386" t="s">
        <v>30</v>
      </c>
      <c r="C386" t="s">
        <v>593</v>
      </c>
      <c r="D386" t="n">
        <v>16</v>
      </c>
      <c r="E386" s="11" t="n">
        <v>-0.00223045373403414</v>
      </c>
      <c r="F386" s="11" t="n">
        <v>0.00884198138923288</v>
      </c>
    </row>
    <row r="387">
      <c r="A387" t="s">
        <v>350</v>
      </c>
      <c r="B387" t="s">
        <v>30</v>
      </c>
      <c r="C387" t="s">
        <v>593</v>
      </c>
      <c r="D387" t="n">
        <v>17</v>
      </c>
      <c r="E387" s="11" t="n">
        <v>-0.00129498618230387</v>
      </c>
      <c r="F387" s="11" t="n">
        <v>0.00733333907958013</v>
      </c>
    </row>
    <row r="388">
      <c r="A388" t="s">
        <v>350</v>
      </c>
      <c r="B388" t="s">
        <v>30</v>
      </c>
      <c r="C388" t="s">
        <v>593</v>
      </c>
      <c r="D388" t="n">
        <v>18</v>
      </c>
      <c r="E388" s="11" t="n">
        <v>-0.000303770901091031</v>
      </c>
      <c r="F388" s="11" t="n">
        <v>0.00318987198895566</v>
      </c>
    </row>
    <row r="389">
      <c r="A389" t="s">
        <v>350</v>
      </c>
      <c r="B389" t="s">
        <v>31</v>
      </c>
      <c r="C389" t="s">
        <v>592</v>
      </c>
      <c r="D389" t="n">
        <v>1</v>
      </c>
      <c r="E389" s="11" t="n">
        <v>0.497260947684137</v>
      </c>
      <c r="F389" s="11" t="n">
        <v>0.0522642316338267</v>
      </c>
    </row>
    <row r="390">
      <c r="A390" t="s">
        <v>350</v>
      </c>
      <c r="B390" t="s">
        <v>31</v>
      </c>
      <c r="C390" t="s">
        <v>592</v>
      </c>
      <c r="D390" t="n">
        <v>2</v>
      </c>
      <c r="E390" s="11" t="n">
        <v>0.485147863137998</v>
      </c>
      <c r="F390" s="11" t="n">
        <v>-0.120960947799834</v>
      </c>
    </row>
    <row r="391">
      <c r="A391" t="s">
        <v>350</v>
      </c>
      <c r="B391" t="s">
        <v>31</v>
      </c>
      <c r="C391" t="s">
        <v>592</v>
      </c>
      <c r="D391" t="n">
        <v>3</v>
      </c>
      <c r="E391" s="11" t="n">
        <v>0.383022221559489</v>
      </c>
      <c r="F391" s="11" t="n">
        <v>-0.32139380484327</v>
      </c>
    </row>
    <row r="392">
      <c r="A392" t="s">
        <v>350</v>
      </c>
      <c r="B392" t="s">
        <v>31</v>
      </c>
      <c r="C392" t="s">
        <v>592</v>
      </c>
      <c r="D392" t="n">
        <v>4</v>
      </c>
      <c r="E392" s="11" t="n">
        <v>0.130236133250197</v>
      </c>
      <c r="F392" s="11" t="n">
        <v>-0.738605814759156</v>
      </c>
    </row>
    <row r="393">
      <c r="A393" t="s">
        <v>350</v>
      </c>
      <c r="B393" t="s">
        <v>31</v>
      </c>
      <c r="C393" t="s">
        <v>592</v>
      </c>
      <c r="D393" t="n">
        <v>5</v>
      </c>
      <c r="E393" s="11" t="n">
        <v>-0.359669900169326</v>
      </c>
      <c r="F393" s="11" t="n">
        <v>-0.347329185229499</v>
      </c>
    </row>
    <row r="394">
      <c r="A394" t="s">
        <v>350</v>
      </c>
      <c r="B394" t="s">
        <v>31</v>
      </c>
      <c r="C394" t="s">
        <v>592</v>
      </c>
      <c r="D394" t="n">
        <v>6</v>
      </c>
      <c r="E394" s="11" t="n">
        <v>-0.495134034370785</v>
      </c>
      <c r="F394" s="11" t="n">
        <v>-0.0695865504800329</v>
      </c>
    </row>
    <row r="395">
      <c r="A395" t="s">
        <v>350</v>
      </c>
      <c r="B395" t="s">
        <v>31</v>
      </c>
      <c r="C395" t="s">
        <v>592</v>
      </c>
      <c r="D395" t="n">
        <v>7</v>
      </c>
      <c r="E395" s="11" t="n">
        <v>-0.499695413509548</v>
      </c>
      <c r="F395" s="11" t="n">
        <v>-0.0174497483512506</v>
      </c>
    </row>
    <row r="396">
      <c r="A396" t="s">
        <v>350</v>
      </c>
      <c r="B396" t="s">
        <v>31</v>
      </c>
      <c r="C396" t="s">
        <v>592</v>
      </c>
      <c r="D396" t="n">
        <v>8</v>
      </c>
      <c r="E396" s="11" t="n">
        <v>-0.328778360091808</v>
      </c>
      <c r="F396" s="11" t="n">
        <v>0.674095534724375</v>
      </c>
    </row>
    <row r="397">
      <c r="A397" t="s">
        <v>350</v>
      </c>
      <c r="B397" t="s">
        <v>31</v>
      </c>
      <c r="C397" t="s">
        <v>592</v>
      </c>
      <c r="D397" t="n">
        <v>9</v>
      </c>
      <c r="E397" s="11" t="n">
        <v>0.154508497187474</v>
      </c>
      <c r="F397" s="11" t="n">
        <v>0.475528258147577</v>
      </c>
    </row>
    <row r="398">
      <c r="A398" t="s">
        <v>350</v>
      </c>
      <c r="B398" t="s">
        <v>31</v>
      </c>
      <c r="C398" t="s">
        <v>592</v>
      </c>
      <c r="D398" t="n">
        <v>10</v>
      </c>
      <c r="E398" s="11" t="n">
        <v>0.293892626146237</v>
      </c>
      <c r="F398" s="11" t="n">
        <v>0.404508497187474</v>
      </c>
    </row>
    <row r="399">
      <c r="A399" t="s">
        <v>350</v>
      </c>
      <c r="B399" t="s">
        <v>31</v>
      </c>
      <c r="C399" t="s">
        <v>592</v>
      </c>
      <c r="D399" t="n">
        <v>11</v>
      </c>
      <c r="E399" s="11" t="n">
        <v>0.32139380484327</v>
      </c>
      <c r="F399" s="11" t="n">
        <v>0.383022221559489</v>
      </c>
    </row>
    <row r="400">
      <c r="A400" t="s">
        <v>350</v>
      </c>
      <c r="B400" t="s">
        <v>31</v>
      </c>
      <c r="C400" t="s">
        <v>592</v>
      </c>
      <c r="D400" t="n">
        <v>12</v>
      </c>
      <c r="E400" s="11" t="n">
        <v>0.404508497187474</v>
      </c>
      <c r="F400" s="11" t="n">
        <v>0.293892626146237</v>
      </c>
    </row>
    <row r="401">
      <c r="A401" t="s">
        <v>350</v>
      </c>
      <c r="B401" t="s">
        <v>31</v>
      </c>
      <c r="C401" t="s">
        <v>592</v>
      </c>
      <c r="D401" t="n">
        <v>13</v>
      </c>
      <c r="E401" s="11" t="n">
        <v>0.433012701892219</v>
      </c>
      <c r="F401" s="11" t="n">
        <v>0.25</v>
      </c>
    </row>
    <row r="402">
      <c r="A402" t="s">
        <v>350</v>
      </c>
      <c r="B402" t="s">
        <v>31</v>
      </c>
      <c r="C402" t="s">
        <v>592</v>
      </c>
      <c r="D402" t="n">
        <v>14</v>
      </c>
      <c r="E402" s="11" t="n">
        <v>0.489073800366903</v>
      </c>
      <c r="F402" s="11" t="n">
        <v>0.10395584540888</v>
      </c>
    </row>
    <row r="403">
      <c r="A403" t="s">
        <v>350</v>
      </c>
      <c r="B403" t="s">
        <v>31</v>
      </c>
      <c r="C403" t="s">
        <v>593</v>
      </c>
      <c r="D403" t="n">
        <v>1</v>
      </c>
      <c r="E403" s="11" t="n">
        <v>0.0313730654259066</v>
      </c>
      <c r="F403" s="11" t="n">
        <v>0.00287219743044553</v>
      </c>
    </row>
    <row r="404">
      <c r="A404" t="s">
        <v>350</v>
      </c>
      <c r="B404" t="s">
        <v>31</v>
      </c>
      <c r="C404" t="s">
        <v>593</v>
      </c>
      <c r="D404" t="n">
        <v>2</v>
      </c>
      <c r="E404" s="11" t="n">
        <v>0.0297348222193588</v>
      </c>
      <c r="F404" s="11" t="n">
        <v>-0.0086253675744833</v>
      </c>
    </row>
    <row r="405">
      <c r="A405" t="s">
        <v>350</v>
      </c>
      <c r="B405" t="s">
        <v>31</v>
      </c>
      <c r="C405" t="s">
        <v>593</v>
      </c>
      <c r="D405" t="n">
        <v>3</v>
      </c>
      <c r="E405" s="11" t="n">
        <v>0.0289735740050667</v>
      </c>
      <c r="F405" s="11" t="n">
        <v>-0.00976360234329222</v>
      </c>
    </row>
    <row r="406">
      <c r="A406" t="s">
        <v>350</v>
      </c>
      <c r="B406" t="s">
        <v>31</v>
      </c>
      <c r="C406" t="s">
        <v>593</v>
      </c>
      <c r="D406" t="n">
        <v>4</v>
      </c>
      <c r="E406" s="11" t="n">
        <v>0.0242299954389606</v>
      </c>
      <c r="F406" s="11" t="n">
        <v>-0.0141198811506552</v>
      </c>
    </row>
    <row r="407">
      <c r="A407" t="s">
        <v>350</v>
      </c>
      <c r="B407" t="s">
        <v>31</v>
      </c>
      <c r="C407" t="s">
        <v>593</v>
      </c>
      <c r="D407" t="n">
        <v>5</v>
      </c>
      <c r="E407" s="11" t="n">
        <v>0.017246256694301</v>
      </c>
      <c r="F407" s="11" t="n">
        <v>-0.0197555365771301</v>
      </c>
    </row>
    <row r="408">
      <c r="A408" t="s">
        <v>350</v>
      </c>
      <c r="B408" t="s">
        <v>31</v>
      </c>
      <c r="C408" t="s">
        <v>593</v>
      </c>
      <c r="D408" t="n">
        <v>6</v>
      </c>
      <c r="E408" s="11" t="n">
        <v>0.0099239557242571</v>
      </c>
      <c r="F408" s="11" t="n">
        <v>-0.0237198905228147</v>
      </c>
    </row>
    <row r="409">
      <c r="A409" t="s">
        <v>350</v>
      </c>
      <c r="B409" t="s">
        <v>31</v>
      </c>
      <c r="C409" t="s">
        <v>593</v>
      </c>
      <c r="D409" t="n">
        <v>7</v>
      </c>
      <c r="E409" s="11" t="n">
        <v>-0.0263699971263872</v>
      </c>
      <c r="F409" s="11" t="n">
        <v>-0.024029057983142</v>
      </c>
    </row>
    <row r="410">
      <c r="A410" t="s">
        <v>350</v>
      </c>
      <c r="B410" t="s">
        <v>31</v>
      </c>
      <c r="C410" t="s">
        <v>593</v>
      </c>
      <c r="D410" t="n">
        <v>8</v>
      </c>
      <c r="E410" s="11" t="n">
        <v>-0.0375674051170462</v>
      </c>
      <c r="F410" s="11" t="n">
        <v>-0.0232808168777934</v>
      </c>
    </row>
    <row r="411">
      <c r="A411" t="s">
        <v>350</v>
      </c>
      <c r="B411" t="s">
        <v>31</v>
      </c>
      <c r="C411" t="s">
        <v>593</v>
      </c>
      <c r="D411" t="n">
        <v>9</v>
      </c>
      <c r="E411" s="11" t="n">
        <v>-0.0451869633056577</v>
      </c>
      <c r="F411" s="11" t="n">
        <v>-0.0189614521921375</v>
      </c>
    </row>
    <row r="412">
      <c r="A412" t="s">
        <v>350</v>
      </c>
      <c r="B412" t="s">
        <v>31</v>
      </c>
      <c r="C412" t="s">
        <v>593</v>
      </c>
      <c r="D412" t="n">
        <v>10</v>
      </c>
      <c r="E412" s="11" t="n">
        <v>-0.0561780457469185</v>
      </c>
      <c r="F412" s="11" t="n">
        <v>-0.00330819058807103</v>
      </c>
    </row>
    <row r="413">
      <c r="A413" t="s">
        <v>350</v>
      </c>
      <c r="B413" t="s">
        <v>31</v>
      </c>
      <c r="C413" t="s">
        <v>593</v>
      </c>
      <c r="D413" t="n">
        <v>11</v>
      </c>
      <c r="E413" s="11" t="n">
        <v>-0.0564586795733858</v>
      </c>
      <c r="F413" s="11" t="n">
        <v>0.000714682528275192</v>
      </c>
    </row>
    <row r="414">
      <c r="A414" t="s">
        <v>350</v>
      </c>
      <c r="B414" t="s">
        <v>31</v>
      </c>
      <c r="C414" t="s">
        <v>593</v>
      </c>
      <c r="D414" t="n">
        <v>12</v>
      </c>
      <c r="E414" s="11" t="n">
        <v>-0.0558579305052573</v>
      </c>
      <c r="F414" s="11" t="n">
        <v>0.00464810410474828</v>
      </c>
    </row>
    <row r="415">
      <c r="A415" t="s">
        <v>350</v>
      </c>
      <c r="B415" t="s">
        <v>31</v>
      </c>
      <c r="C415" t="s">
        <v>593</v>
      </c>
      <c r="D415" t="n">
        <v>13</v>
      </c>
      <c r="E415" s="11" t="n">
        <v>-0.0540245558855757</v>
      </c>
      <c r="F415" s="11" t="n">
        <v>0.0147400966660714</v>
      </c>
    </row>
    <row r="416">
      <c r="A416" t="s">
        <v>350</v>
      </c>
      <c r="B416" t="s">
        <v>31</v>
      </c>
      <c r="C416" t="s">
        <v>593</v>
      </c>
      <c r="D416" t="n">
        <v>14</v>
      </c>
      <c r="E416" s="11" t="n">
        <v>-0.0536301348749997</v>
      </c>
      <c r="F416" s="11" t="n">
        <v>0.0167907962570801</v>
      </c>
    </row>
    <row r="417">
      <c r="A417" t="s">
        <v>350</v>
      </c>
      <c r="B417" t="s">
        <v>31</v>
      </c>
      <c r="C417" t="s">
        <v>593</v>
      </c>
      <c r="D417" t="n">
        <v>15</v>
      </c>
      <c r="E417" s="11" t="n">
        <v>-0.0510698597636886</v>
      </c>
      <c r="F417" s="11" t="n">
        <v>0.0247501830560885</v>
      </c>
    </row>
    <row r="418">
      <c r="A418" t="s">
        <v>350</v>
      </c>
      <c r="B418" t="s">
        <v>31</v>
      </c>
      <c r="C418" t="s">
        <v>593</v>
      </c>
      <c r="D418" t="n">
        <v>16</v>
      </c>
      <c r="E418" s="11" t="n">
        <v>-0.0375135328949301</v>
      </c>
      <c r="F418" s="11" t="n">
        <v>0.0348977435461198</v>
      </c>
    </row>
    <row r="419">
      <c r="A419" t="s">
        <v>350</v>
      </c>
      <c r="B419" t="s">
        <v>31</v>
      </c>
      <c r="C419" t="s">
        <v>593</v>
      </c>
      <c r="D419" t="n">
        <v>17</v>
      </c>
      <c r="E419" s="11" t="n">
        <v>-0.0185078920329193</v>
      </c>
      <c r="F419" s="11" t="n">
        <v>0.038800846778215</v>
      </c>
    </row>
    <row r="420">
      <c r="A420" t="s">
        <v>350</v>
      </c>
      <c r="B420" t="s">
        <v>31</v>
      </c>
      <c r="C420" t="s">
        <v>593</v>
      </c>
      <c r="D420" t="n">
        <v>18</v>
      </c>
      <c r="E420" s="11" t="n">
        <v>-0.00124076668087707</v>
      </c>
      <c r="F420" s="11" t="n">
        <v>0.0399969660473699</v>
      </c>
    </row>
    <row r="421">
      <c r="A421" t="s">
        <v>350</v>
      </c>
      <c r="B421" t="s">
        <v>31</v>
      </c>
      <c r="C421" t="s">
        <v>593</v>
      </c>
      <c r="D421" t="n">
        <v>19</v>
      </c>
      <c r="E421" s="11" t="n">
        <v>0.00730390576130494</v>
      </c>
      <c r="F421" s="11" t="n">
        <v>0.0374957590961125</v>
      </c>
    </row>
    <row r="422">
      <c r="A422" t="s">
        <v>350</v>
      </c>
      <c r="B422" t="s">
        <v>31</v>
      </c>
      <c r="C422" t="s">
        <v>593</v>
      </c>
      <c r="D422" t="n">
        <v>20</v>
      </c>
      <c r="E422" s="11" t="n">
        <v>0.0194289373207106</v>
      </c>
      <c r="F422" s="11" t="n">
        <v>0.0319973683915302</v>
      </c>
    </row>
    <row r="423">
      <c r="A423" t="s">
        <v>350</v>
      </c>
      <c r="B423" t="s">
        <v>31</v>
      </c>
      <c r="C423" t="s">
        <v>593</v>
      </c>
      <c r="D423" t="n">
        <v>21</v>
      </c>
      <c r="E423" s="11" t="n">
        <v>0.0315779742223028</v>
      </c>
      <c r="F423" s="11" t="n">
        <v>0.0144546010946609</v>
      </c>
    </row>
    <row r="424">
      <c r="A424" t="s">
        <v>350</v>
      </c>
      <c r="B424" t="s">
        <v>32</v>
      </c>
      <c r="C424" t="s">
        <v>592</v>
      </c>
      <c r="D424" t="n">
        <v>1</v>
      </c>
      <c r="E424" s="11" t="n">
        <v>0.249847706754774</v>
      </c>
      <c r="F424" s="11" t="n">
        <v>0.00872487417562524</v>
      </c>
    </row>
    <row r="425">
      <c r="A425" t="s">
        <v>350</v>
      </c>
      <c r="B425" t="s">
        <v>32</v>
      </c>
      <c r="C425" t="s">
        <v>592</v>
      </c>
      <c r="D425" t="n">
        <v>2</v>
      </c>
      <c r="E425" s="11" t="n">
        <v>0.249847706754774</v>
      </c>
      <c r="F425" s="11" t="n">
        <v>-0.00872487417562521</v>
      </c>
    </row>
    <row r="426">
      <c r="A426" t="s">
        <v>350</v>
      </c>
      <c r="B426" t="s">
        <v>32</v>
      </c>
      <c r="C426" t="s">
        <v>592</v>
      </c>
      <c r="D426" t="n">
        <v>3</v>
      </c>
      <c r="E426" s="11" t="n">
        <v>0.248630473842068</v>
      </c>
      <c r="F426" s="11" t="n">
        <v>-0.0261321158169134</v>
      </c>
    </row>
    <row r="427">
      <c r="A427" t="s">
        <v>350</v>
      </c>
      <c r="B427" t="s">
        <v>32</v>
      </c>
      <c r="C427" t="s">
        <v>592</v>
      </c>
      <c r="D427" t="n">
        <v>4</v>
      </c>
      <c r="E427" s="11" t="n">
        <v>0.237764129073788</v>
      </c>
      <c r="F427" s="11" t="n">
        <v>-0.0772542485937369</v>
      </c>
    </row>
    <row r="428">
      <c r="A428" t="s">
        <v>350</v>
      </c>
      <c r="B428" t="s">
        <v>32</v>
      </c>
      <c r="C428" t="s">
        <v>592</v>
      </c>
      <c r="D428" t="n">
        <v>5</v>
      </c>
      <c r="E428" s="11" t="n">
        <v>0.234923155196477</v>
      </c>
      <c r="F428" s="11" t="n">
        <v>-0.0855050358314172</v>
      </c>
    </row>
    <row r="429">
      <c r="A429" t="s">
        <v>350</v>
      </c>
      <c r="B429" t="s">
        <v>32</v>
      </c>
      <c r="C429" t="s">
        <v>592</v>
      </c>
      <c r="D429" t="n">
        <v>6</v>
      </c>
      <c r="E429" s="11" t="n">
        <v>0.0695865504800327</v>
      </c>
      <c r="F429" s="11" t="n">
        <v>-0.495134034370785</v>
      </c>
    </row>
    <row r="430">
      <c r="A430" t="s">
        <v>350</v>
      </c>
      <c r="B430" t="s">
        <v>32</v>
      </c>
      <c r="C430" t="s">
        <v>592</v>
      </c>
      <c r="D430" t="n">
        <v>7</v>
      </c>
      <c r="E430" s="11" t="n">
        <v>-0.0522642316338271</v>
      </c>
      <c r="F430" s="11" t="n">
        <v>-0.497260947684137</v>
      </c>
    </row>
    <row r="431">
      <c r="A431" t="s">
        <v>350</v>
      </c>
      <c r="B431" t="s">
        <v>32</v>
      </c>
      <c r="C431" t="s">
        <v>592</v>
      </c>
      <c r="D431" t="n">
        <v>8</v>
      </c>
      <c r="E431" s="11" t="n">
        <v>-0.606762745781211</v>
      </c>
      <c r="F431" s="11" t="n">
        <v>-0.440838939219355</v>
      </c>
    </row>
    <row r="432">
      <c r="A432" t="s">
        <v>350</v>
      </c>
      <c r="B432" t="s">
        <v>32</v>
      </c>
      <c r="C432" t="s">
        <v>592</v>
      </c>
      <c r="D432" t="n">
        <v>9</v>
      </c>
      <c r="E432" s="11" t="n">
        <v>-0.704769465589431</v>
      </c>
      <c r="F432" s="11" t="n">
        <v>0.256515107494252</v>
      </c>
    </row>
    <row r="433">
      <c r="A433" t="s">
        <v>350</v>
      </c>
      <c r="B433" t="s">
        <v>32</v>
      </c>
      <c r="C433" t="s">
        <v>592</v>
      </c>
      <c r="D433" t="n">
        <v>10</v>
      </c>
      <c r="E433" s="11" t="n">
        <v>-0.636036072117319</v>
      </c>
      <c r="F433" s="11" t="n">
        <v>0.397439448174904</v>
      </c>
    </row>
    <row r="434">
      <c r="A434" t="s">
        <v>350</v>
      </c>
      <c r="B434" t="s">
        <v>32</v>
      </c>
      <c r="C434" t="s">
        <v>592</v>
      </c>
      <c r="D434" t="n">
        <v>11</v>
      </c>
      <c r="E434" s="11" t="n">
        <v>-0.30505248230685</v>
      </c>
      <c r="F434" s="11" t="n">
        <v>0.685159093231951</v>
      </c>
    </row>
    <row r="435">
      <c r="A435" t="s">
        <v>350</v>
      </c>
      <c r="B435" t="s">
        <v>32</v>
      </c>
      <c r="C435" t="s">
        <v>592</v>
      </c>
      <c r="D435" t="n">
        <v>12</v>
      </c>
      <c r="E435" s="11" t="n">
        <v>0.10395584540888</v>
      </c>
      <c r="F435" s="11" t="n">
        <v>0.489073800366903</v>
      </c>
    </row>
    <row r="436">
      <c r="A436" t="s">
        <v>350</v>
      </c>
      <c r="B436" t="s">
        <v>32</v>
      </c>
      <c r="C436" t="s">
        <v>592</v>
      </c>
      <c r="D436" t="n">
        <v>13</v>
      </c>
      <c r="E436" s="11" t="n">
        <v>0.237764129073788</v>
      </c>
      <c r="F436" s="11" t="n">
        <v>0.0772542485937368</v>
      </c>
    </row>
    <row r="437">
      <c r="A437" t="s">
        <v>350</v>
      </c>
      <c r="B437" t="s">
        <v>32</v>
      </c>
      <c r="C437" t="s">
        <v>592</v>
      </c>
      <c r="D437" t="n">
        <v>14</v>
      </c>
      <c r="E437" s="11" t="n">
        <v>0.242573931568999</v>
      </c>
      <c r="F437" s="11" t="n">
        <v>0.0604804738999169</v>
      </c>
    </row>
    <row r="438">
      <c r="A438" t="s">
        <v>350</v>
      </c>
      <c r="B438" t="s">
        <v>32</v>
      </c>
      <c r="C438" t="s">
        <v>592</v>
      </c>
      <c r="D438" t="n">
        <v>15</v>
      </c>
      <c r="E438" s="11" t="n">
        <v>0.244536900183451</v>
      </c>
      <c r="F438" s="11" t="n">
        <v>0.0519779227044398</v>
      </c>
    </row>
    <row r="439">
      <c r="A439" t="s">
        <v>350</v>
      </c>
      <c r="B439" t="s">
        <v>32</v>
      </c>
      <c r="C439" t="s">
        <v>592</v>
      </c>
      <c r="D439" t="n">
        <v>16</v>
      </c>
      <c r="E439" s="11" t="n">
        <v>0.246201938253052</v>
      </c>
      <c r="F439" s="11" t="n">
        <v>0.0434120444167326</v>
      </c>
    </row>
    <row r="440">
      <c r="A440" t="s">
        <v>350</v>
      </c>
      <c r="B440" t="s">
        <v>32</v>
      </c>
      <c r="C440" t="s">
        <v>593</v>
      </c>
      <c r="D440" t="n">
        <v>1</v>
      </c>
      <c r="E440" s="11" t="n">
        <v>-0.0127854468138619</v>
      </c>
      <c r="F440" s="11" t="n">
        <v>-0.0266866561899156</v>
      </c>
    </row>
    <row r="441">
      <c r="A441" t="s">
        <v>350</v>
      </c>
      <c r="B441" t="s">
        <v>32</v>
      </c>
      <c r="C441" t="s">
        <v>593</v>
      </c>
      <c r="D441" t="n">
        <v>2</v>
      </c>
      <c r="E441" s="11" t="n">
        <v>-0.0227173287465591</v>
      </c>
      <c r="F441" s="11" t="n">
        <v>-0.035163027793046</v>
      </c>
    </row>
    <row r="442">
      <c r="A442" t="s">
        <v>350</v>
      </c>
      <c r="B442" t="s">
        <v>32</v>
      </c>
      <c r="C442" t="s">
        <v>593</v>
      </c>
      <c r="D442" t="n">
        <v>3</v>
      </c>
      <c r="E442" s="11" t="n">
        <v>-0.030276141191969</v>
      </c>
      <c r="F442" s="11" t="n">
        <v>-0.0385684516380909</v>
      </c>
    </row>
    <row r="443">
      <c r="A443" t="s">
        <v>350</v>
      </c>
      <c r="B443" t="s">
        <v>32</v>
      </c>
      <c r="C443" t="s">
        <v>593</v>
      </c>
      <c r="D443" t="n">
        <v>4</v>
      </c>
      <c r="E443" s="11" t="n">
        <v>-0.0493888837350803</v>
      </c>
      <c r="F443" s="11" t="n">
        <v>-0.0438066406236383</v>
      </c>
    </row>
    <row r="444">
      <c r="A444" t="s">
        <v>350</v>
      </c>
      <c r="B444" t="s">
        <v>32</v>
      </c>
      <c r="C444" t="s">
        <v>593</v>
      </c>
      <c r="D444" t="n">
        <v>5</v>
      </c>
      <c r="E444" s="11" t="n">
        <v>-0.0728823396575305</v>
      </c>
      <c r="F444" s="11" t="n">
        <v>-0.044343347625943</v>
      </c>
    </row>
    <row r="445">
      <c r="A445" t="s">
        <v>350</v>
      </c>
      <c r="B445" t="s">
        <v>32</v>
      </c>
      <c r="C445" t="s">
        <v>593</v>
      </c>
      <c r="D445" t="n">
        <v>6</v>
      </c>
      <c r="E445" s="11" t="n">
        <v>-0.0900197423425004</v>
      </c>
      <c r="F445" s="11" t="n">
        <v>-0.0333168828058976</v>
      </c>
    </row>
    <row r="446">
      <c r="A446" t="s">
        <v>350</v>
      </c>
      <c r="B446" t="s">
        <v>32</v>
      </c>
      <c r="C446" t="s">
        <v>593</v>
      </c>
      <c r="D446" t="n">
        <v>7</v>
      </c>
      <c r="E446" s="11" t="n">
        <v>-0.0988403063331988</v>
      </c>
      <c r="F446" s="11" t="n">
        <v>-0.0154426178523415</v>
      </c>
    </row>
    <row r="447">
      <c r="A447" t="s">
        <v>350</v>
      </c>
      <c r="B447" t="s">
        <v>32</v>
      </c>
      <c r="C447" t="s">
        <v>593</v>
      </c>
      <c r="D447" t="n">
        <v>8</v>
      </c>
      <c r="E447" s="11" t="n">
        <v>-0.0979771969184844</v>
      </c>
      <c r="F447" s="11" t="n">
        <v>-0.00514415787021485</v>
      </c>
    </row>
    <row r="448">
      <c r="A448" t="s">
        <v>350</v>
      </c>
      <c r="B448" t="s">
        <v>32</v>
      </c>
      <c r="C448" t="s">
        <v>593</v>
      </c>
      <c r="D448" t="n">
        <v>9</v>
      </c>
      <c r="E448" s="11" t="n">
        <v>-0.0908104769723825</v>
      </c>
      <c r="F448" s="11" t="n">
        <v>0.0214503219488564</v>
      </c>
    </row>
    <row r="449">
      <c r="A449" t="s">
        <v>350</v>
      </c>
      <c r="B449" t="s">
        <v>32</v>
      </c>
      <c r="C449" t="s">
        <v>593</v>
      </c>
      <c r="D449" t="n">
        <v>10</v>
      </c>
      <c r="E449" s="11" t="n">
        <v>-0.0794925242503921</v>
      </c>
      <c r="F449" s="11" t="n">
        <v>0.0350211570746981</v>
      </c>
    </row>
    <row r="450">
      <c r="A450" t="s">
        <v>350</v>
      </c>
      <c r="B450" t="s">
        <v>32</v>
      </c>
      <c r="C450" t="s">
        <v>593</v>
      </c>
      <c r="D450" t="n">
        <v>11</v>
      </c>
      <c r="E450" s="11" t="n">
        <v>-0.0496862175342581</v>
      </c>
      <c r="F450" s="11" t="n">
        <v>0.0463467721754623</v>
      </c>
    </row>
    <row r="451">
      <c r="A451" t="s">
        <v>350</v>
      </c>
      <c r="B451" t="s">
        <v>32</v>
      </c>
      <c r="C451" t="s">
        <v>593</v>
      </c>
      <c r="D451" t="n">
        <v>12</v>
      </c>
      <c r="E451" s="11" t="n">
        <v>-0.00714328506745909</v>
      </c>
      <c r="F451" s="11" t="n">
        <v>0.0360771046954432</v>
      </c>
    </row>
    <row r="452">
      <c r="A452" t="s">
        <v>350</v>
      </c>
      <c r="B452" t="s">
        <v>32</v>
      </c>
      <c r="C452" t="s">
        <v>593</v>
      </c>
      <c r="D452" t="n">
        <v>13</v>
      </c>
      <c r="E452" s="11" t="n">
        <v>0.00200560360265614</v>
      </c>
      <c r="F452" s="11" t="n">
        <v>0.00940150637567083</v>
      </c>
    </row>
    <row r="453">
      <c r="A453" t="s">
        <v>350</v>
      </c>
      <c r="B453" t="s">
        <v>32</v>
      </c>
      <c r="C453" t="s">
        <v>593</v>
      </c>
      <c r="D453" t="n">
        <v>14</v>
      </c>
      <c r="E453" s="11" t="n">
        <v>0.00133062930956234</v>
      </c>
      <c r="F453" s="11" t="n">
        <v>-0.00160199943913422</v>
      </c>
    </row>
    <row r="455">
      <c r="A455" s="1" t="s">
        <v>594</v>
      </c>
    </row>
    <row r="456">
      <c r="A456" t="s">
        <v>1</v>
      </c>
    </row>
    <row r="457">
      <c r="A457" t="s">
        <v>595</v>
      </c>
    </row>
    <row r="458">
      <c r="A458" t="s">
        <v>596</v>
      </c>
    </row>
    <row r="459">
      <c r="A459" t="s">
        <v>597</v>
      </c>
    </row>
    <row r="460">
      <c r="A460" t="s">
        <v>598</v>
      </c>
    </row>
    <row r="461">
      <c r="A461" t="s">
        <v>599</v>
      </c>
    </row>
    <row r="462">
      <c r="A462" t="s">
        <v>600</v>
      </c>
    </row>
    <row r="463">
      <c r="A463" t="s">
        <v>601</v>
      </c>
    </row>
    <row r="464">
      <c r="A464" t="s">
        <v>602</v>
      </c>
    </row>
    <row r="465">
      <c r="A465" t="s">
        <v>603</v>
      </c>
    </row>
    <row r="466">
      <c r="A466" t="s">
        <v>604</v>
      </c>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29</v>
      </c>
      <c r="B1" t="s">
        <v>605</v>
      </c>
      <c r="C1" t="s">
        <v>606</v>
      </c>
      <c r="D1" t="s">
        <v>311</v>
      </c>
      <c r="E1" t="s">
        <v>607</v>
      </c>
      <c r="F1" t="s">
        <v>608</v>
      </c>
      <c r="G1" t="s">
        <v>590</v>
      </c>
      <c r="H1" t="s">
        <v>591</v>
      </c>
    </row>
    <row r="2">
      <c r="A2" t="s">
        <v>30</v>
      </c>
      <c r="B2" t="s">
        <v>609</v>
      </c>
      <c r="C2" t="s">
        <v>610</v>
      </c>
      <c r="D2" t="s">
        <v>611</v>
      </c>
      <c r="E2" s="14" t="n">
        <v>0.25</v>
      </c>
      <c r="F2" s="17" t="n">
        <v>117</v>
      </c>
      <c r="G2" s="15" t="n">
        <v>-0.146946313073118</v>
      </c>
      <c r="H2" s="16" t="n">
        <v>-0.202254248593737</v>
      </c>
    </row>
    <row r="3">
      <c r="A3" t="s">
        <v>30</v>
      </c>
      <c r="B3" t="s">
        <v>609</v>
      </c>
      <c r="C3" t="s">
        <v>612</v>
      </c>
      <c r="D3" t="s">
        <v>611</v>
      </c>
      <c r="E3" s="14" t="n">
        <v>0.25</v>
      </c>
      <c r="F3" s="17" t="n">
        <v>165</v>
      </c>
      <c r="G3" s="15" t="n">
        <v>0.21650635094611</v>
      </c>
      <c r="H3" s="16" t="n">
        <v>-0.125</v>
      </c>
    </row>
    <row r="4">
      <c r="A4" t="s">
        <v>30</v>
      </c>
      <c r="B4" t="s">
        <v>613</v>
      </c>
      <c r="C4" t="s">
        <v>614</v>
      </c>
      <c r="D4" t="s">
        <v>611</v>
      </c>
      <c r="E4" s="14" t="n">
        <v>0.5</v>
      </c>
      <c r="F4" s="17" t="n">
        <v>168</v>
      </c>
      <c r="G4" s="15" t="n">
        <v>0.4567727288213</v>
      </c>
      <c r="H4" s="16" t="n">
        <v>-0.2033683215379</v>
      </c>
    </row>
    <row r="5">
      <c r="A5" t="s">
        <v>31</v>
      </c>
      <c r="B5" t="s">
        <v>615</v>
      </c>
      <c r="C5" t="s">
        <v>616</v>
      </c>
      <c r="D5" t="s">
        <v>611</v>
      </c>
      <c r="E5" s="14" t="n">
        <v>0.25</v>
      </c>
      <c r="F5" s="17" t="n">
        <v>85</v>
      </c>
      <c r="G5" s="15" t="n">
        <v>-0.246201938253052</v>
      </c>
      <c r="H5" s="16" t="n">
        <v>0.0434120444167327</v>
      </c>
    </row>
    <row r="6">
      <c r="A6" t="s">
        <v>31</v>
      </c>
      <c r="B6" t="s">
        <v>615</v>
      </c>
      <c r="C6" t="s">
        <v>617</v>
      </c>
      <c r="D6" t="s">
        <v>611</v>
      </c>
      <c r="E6" s="14" t="n">
        <v>0.25</v>
      </c>
      <c r="F6" s="17" t="n">
        <v>107</v>
      </c>
      <c r="G6" s="15" t="n">
        <v>-0.20725939313876</v>
      </c>
      <c r="H6" s="16" t="n">
        <v>-0.139798225867687</v>
      </c>
    </row>
    <row r="7">
      <c r="A7" t="s">
        <v>32</v>
      </c>
      <c r="B7" t="s">
        <v>618</v>
      </c>
      <c r="C7" t="s">
        <v>619</v>
      </c>
      <c r="D7" t="s">
        <v>611</v>
      </c>
      <c r="E7" s="14" t="n">
        <v>0</v>
      </c>
      <c r="F7" s="17" t="n">
        <v>169</v>
      </c>
      <c r="G7" s="15" t="n">
        <v>0</v>
      </c>
      <c r="H7" s="16" t="n">
        <v>0</v>
      </c>
    </row>
    <row r="8">
      <c r="A8" t="s">
        <v>30</v>
      </c>
      <c r="B8" t="s">
        <v>620</v>
      </c>
      <c r="C8" t="s">
        <v>621</v>
      </c>
      <c r="D8" t="s">
        <v>611</v>
      </c>
      <c r="E8" s="14" t="n">
        <v>0.25</v>
      </c>
      <c r="F8" s="17" t="n">
        <v>156</v>
      </c>
      <c r="G8" s="15" t="n">
        <v>0.167282651589715</v>
      </c>
      <c r="H8" s="16" t="n">
        <v>-0.185786206369349</v>
      </c>
    </row>
    <row r="9">
      <c r="A9" t="s">
        <v>30</v>
      </c>
      <c r="B9" t="s">
        <v>620</v>
      </c>
      <c r="C9" t="s">
        <v>622</v>
      </c>
      <c r="D9" t="s">
        <v>611</v>
      </c>
      <c r="E9" s="14" t="n">
        <v>0.75</v>
      </c>
      <c r="F9" s="17" t="n">
        <v>41</v>
      </c>
      <c r="G9" s="15" t="n">
        <v>0.104379825720049</v>
      </c>
      <c r="H9" s="16" t="n">
        <v>0.742701051556178</v>
      </c>
    </row>
    <row r="10">
      <c r="A10" t="s">
        <v>31</v>
      </c>
      <c r="B10" t="s">
        <v>623</v>
      </c>
      <c r="C10" t="s">
        <v>624</v>
      </c>
      <c r="D10" t="s">
        <v>611</v>
      </c>
      <c r="E10" s="14" t="n">
        <v>0</v>
      </c>
      <c r="F10" s="17" t="n">
        <v>10</v>
      </c>
      <c r="G10" s="15" t="n">
        <v>0</v>
      </c>
      <c r="H10" s="16" t="n">
        <v>0</v>
      </c>
    </row>
    <row r="11">
      <c r="A11" t="s">
        <v>30</v>
      </c>
      <c r="B11" t="s">
        <v>625</v>
      </c>
      <c r="C11" t="s">
        <v>626</v>
      </c>
      <c r="D11" t="s">
        <v>611</v>
      </c>
      <c r="E11" s="14" t="n">
        <v>0.25</v>
      </c>
      <c r="F11" s="17" t="n">
        <v>2</v>
      </c>
      <c r="G11" s="15" t="n">
        <v>0.249391012564956</v>
      </c>
      <c r="H11" s="16" t="n">
        <v>0.0174391184360313</v>
      </c>
    </row>
    <row r="12">
      <c r="A12" t="s">
        <v>30</v>
      </c>
      <c r="B12" t="s">
        <v>625</v>
      </c>
      <c r="C12" t="s">
        <v>627</v>
      </c>
      <c r="D12" t="s">
        <v>611</v>
      </c>
      <c r="E12" s="14" t="n">
        <v>0.25</v>
      </c>
      <c r="F12" s="17" t="n">
        <v>33</v>
      </c>
      <c r="G12" s="15" t="n">
        <v>0.10168416076895</v>
      </c>
      <c r="H12" s="16" t="n">
        <v>0.22838636441065</v>
      </c>
    </row>
    <row r="13">
      <c r="A13" t="s">
        <v>30</v>
      </c>
      <c r="B13" t="s">
        <v>628</v>
      </c>
      <c r="C13" t="s">
        <v>629</v>
      </c>
      <c r="D13" t="s">
        <v>611</v>
      </c>
      <c r="E13" s="14" t="n">
        <v>0.25</v>
      </c>
      <c r="F13" s="17" t="n">
        <v>66</v>
      </c>
      <c r="G13" s="15" t="n">
        <v>-0.167282651589714</v>
      </c>
      <c r="H13" s="16" t="n">
        <v>0.185786206369349</v>
      </c>
    </row>
    <row r="14">
      <c r="A14" t="s">
        <v>30</v>
      </c>
      <c r="B14" t="s">
        <v>630</v>
      </c>
      <c r="C14" t="s">
        <v>631</v>
      </c>
      <c r="D14" t="s">
        <v>611</v>
      </c>
      <c r="E14" s="14" t="n">
        <v>0.25</v>
      </c>
      <c r="F14" s="17" t="n">
        <v>156</v>
      </c>
      <c r="G14" s="15" t="n">
        <v>0.167282651589715</v>
      </c>
      <c r="H14" s="16" t="n">
        <v>-0.185786206369349</v>
      </c>
    </row>
    <row r="15">
      <c r="A15" t="s">
        <v>30</v>
      </c>
      <c r="B15" t="s">
        <v>630</v>
      </c>
      <c r="C15" t="s">
        <v>632</v>
      </c>
      <c r="D15" t="s">
        <v>611</v>
      </c>
      <c r="E15" s="14" t="n">
        <v>0.25</v>
      </c>
      <c r="F15" s="17" t="n">
        <v>127</v>
      </c>
      <c r="G15" s="15" t="n">
        <v>-0.0689093389542497</v>
      </c>
      <c r="H15" s="16" t="n">
        <v>-0.24031542398458</v>
      </c>
    </row>
    <row r="16">
      <c r="A16" t="s">
        <v>30</v>
      </c>
      <c r="B16" t="s">
        <v>633</v>
      </c>
      <c r="C16" t="s">
        <v>634</v>
      </c>
      <c r="D16" t="s">
        <v>611</v>
      </c>
      <c r="E16" s="14" t="n">
        <v>0.25</v>
      </c>
      <c r="F16" s="17" t="n">
        <v>72</v>
      </c>
      <c r="G16" s="15" t="n">
        <v>-0.202254248593737</v>
      </c>
      <c r="H16" s="16" t="n">
        <v>0.146946313073118</v>
      </c>
    </row>
    <row r="17">
      <c r="A17" t="s">
        <v>30</v>
      </c>
      <c r="B17" t="s">
        <v>633</v>
      </c>
      <c r="C17" t="s">
        <v>635</v>
      </c>
      <c r="D17" t="s">
        <v>611</v>
      </c>
      <c r="E17" s="14" t="n">
        <v>0.25</v>
      </c>
      <c r="F17" s="17" t="n">
        <v>138</v>
      </c>
      <c r="G17" s="15" t="n">
        <v>0.0261321158169135</v>
      </c>
      <c r="H17" s="16" t="n">
        <v>-0.248630473842068</v>
      </c>
    </row>
    <row r="18">
      <c r="A18" t="s">
        <v>30</v>
      </c>
      <c r="B18" t="s">
        <v>636</v>
      </c>
      <c r="C18" t="s">
        <v>637</v>
      </c>
      <c r="D18" t="s">
        <v>611</v>
      </c>
      <c r="E18" s="14" t="n">
        <v>0</v>
      </c>
      <c r="F18" s="17" t="n">
        <v>114</v>
      </c>
      <c r="G18" s="15" t="n">
        <v>0</v>
      </c>
      <c r="H18" s="16" t="n">
        <v>0</v>
      </c>
    </row>
    <row r="19">
      <c r="A19" t="s">
        <v>31</v>
      </c>
      <c r="B19" t="s">
        <v>638</v>
      </c>
      <c r="C19" t="s">
        <v>639</v>
      </c>
      <c r="D19" t="s">
        <v>611</v>
      </c>
      <c r="E19" s="14" t="n">
        <v>0.25</v>
      </c>
      <c r="F19" s="17" t="n">
        <v>46</v>
      </c>
      <c r="G19" s="15" t="n">
        <v>-0.00872487417562518</v>
      </c>
      <c r="H19" s="16" t="n">
        <v>0.249847706754774</v>
      </c>
    </row>
    <row r="20">
      <c r="A20" t="s">
        <v>31</v>
      </c>
      <c r="B20" t="s">
        <v>638</v>
      </c>
      <c r="C20" t="s">
        <v>640</v>
      </c>
      <c r="D20" t="s">
        <v>611</v>
      </c>
      <c r="E20" s="14" t="n">
        <v>0.25</v>
      </c>
      <c r="F20" s="17" t="n">
        <v>138</v>
      </c>
      <c r="G20" s="15" t="n">
        <v>0.0261321158169135</v>
      </c>
      <c r="H20" s="16" t="n">
        <v>-0.248630473842068</v>
      </c>
    </row>
    <row r="21">
      <c r="A21" t="s">
        <v>31</v>
      </c>
      <c r="B21" t="s">
        <v>641</v>
      </c>
      <c r="C21" t="s">
        <v>642</v>
      </c>
      <c r="D21" t="s">
        <v>611</v>
      </c>
      <c r="E21" s="14" t="n">
        <v>0.5</v>
      </c>
      <c r="F21" s="17" t="n">
        <v>91</v>
      </c>
      <c r="G21" s="15" t="n">
        <v>-0.499695413509548</v>
      </c>
      <c r="H21" s="16" t="n">
        <v>-0.0174497483512506</v>
      </c>
    </row>
    <row r="22">
      <c r="A22" t="s">
        <v>31</v>
      </c>
      <c r="B22" t="s">
        <v>641</v>
      </c>
      <c r="C22" t="s">
        <v>643</v>
      </c>
      <c r="D22" t="s">
        <v>611</v>
      </c>
      <c r="E22" s="14" t="n">
        <v>0.25</v>
      </c>
      <c r="F22" s="17" t="n">
        <v>76</v>
      </c>
      <c r="G22" s="15" t="n">
        <v>-0.220736898214732</v>
      </c>
      <c r="H22" s="16" t="n">
        <v>0.117367890696473</v>
      </c>
    </row>
    <row r="23">
      <c r="A23" t="s">
        <v>30</v>
      </c>
      <c r="B23" t="s">
        <v>644</v>
      </c>
      <c r="C23" t="s">
        <v>645</v>
      </c>
      <c r="D23" t="s">
        <v>611</v>
      </c>
      <c r="E23" s="14" t="n">
        <v>0.5</v>
      </c>
      <c r="F23" s="17" t="n">
        <v>121</v>
      </c>
      <c r="G23" s="15" t="n">
        <v>-0.234735781392945</v>
      </c>
      <c r="H23" s="16" t="n">
        <v>-0.441473796429464</v>
      </c>
    </row>
    <row r="24">
      <c r="A24" t="s">
        <v>30</v>
      </c>
      <c r="B24" t="s">
        <v>646</v>
      </c>
      <c r="C24" t="s">
        <v>647</v>
      </c>
      <c r="D24" t="s">
        <v>611</v>
      </c>
      <c r="E24" s="14" t="n">
        <v>0</v>
      </c>
      <c r="F24" s="17" t="n">
        <v>131</v>
      </c>
      <c r="G24" s="15" t="n">
        <v>0</v>
      </c>
      <c r="H24" s="16" t="n">
        <v>0</v>
      </c>
    </row>
    <row r="25">
      <c r="A25" t="s">
        <v>31</v>
      </c>
      <c r="B25" t="s">
        <v>648</v>
      </c>
      <c r="C25" t="s">
        <v>649</v>
      </c>
      <c r="D25" t="s">
        <v>611</v>
      </c>
      <c r="E25" s="14" t="n">
        <v>0.5</v>
      </c>
      <c r="F25" s="17" t="n">
        <v>3</v>
      </c>
      <c r="G25" s="15" t="n">
        <v>0.497260947684137</v>
      </c>
      <c r="H25" s="16" t="n">
        <v>0.0522642316338267</v>
      </c>
    </row>
    <row r="26">
      <c r="A26" t="s">
        <v>31</v>
      </c>
      <c r="B26" t="s">
        <v>648</v>
      </c>
      <c r="C26" t="s">
        <v>650</v>
      </c>
      <c r="D26" t="s">
        <v>611</v>
      </c>
      <c r="E26" s="14" t="n">
        <v>0.25</v>
      </c>
      <c r="F26" s="17" t="n">
        <v>7</v>
      </c>
      <c r="G26" s="15" t="n">
        <v>0.242573931568999</v>
      </c>
      <c r="H26" s="16" t="n">
        <v>0.0604804738999169</v>
      </c>
    </row>
    <row r="27">
      <c r="A27" t="s">
        <v>30</v>
      </c>
      <c r="B27" t="s">
        <v>651</v>
      </c>
      <c r="C27" t="s">
        <v>652</v>
      </c>
      <c r="D27" t="s">
        <v>611</v>
      </c>
      <c r="E27" s="14" t="n">
        <v>0</v>
      </c>
      <c r="F27" s="17" t="n">
        <v>84</v>
      </c>
      <c r="G27" s="15" t="n">
        <v>0</v>
      </c>
      <c r="H27" s="16" t="n">
        <v>0</v>
      </c>
    </row>
    <row r="28">
      <c r="A28" t="s">
        <v>30</v>
      </c>
      <c r="B28" t="s">
        <v>651</v>
      </c>
      <c r="C28" t="s">
        <v>653</v>
      </c>
      <c r="D28" t="s">
        <v>611</v>
      </c>
      <c r="E28" s="14" t="n">
        <v>0</v>
      </c>
      <c r="F28" s="17" t="n">
        <v>42</v>
      </c>
      <c r="G28" s="15" t="n">
        <v>0</v>
      </c>
      <c r="H28" s="16" t="n">
        <v>0</v>
      </c>
    </row>
    <row r="29">
      <c r="A29" t="s">
        <v>30</v>
      </c>
      <c r="B29" t="s">
        <v>654</v>
      </c>
      <c r="C29" t="s">
        <v>655</v>
      </c>
      <c r="D29" t="s">
        <v>611</v>
      </c>
      <c r="E29" s="14" t="n">
        <v>0.5</v>
      </c>
      <c r="F29" s="17" t="n">
        <v>127</v>
      </c>
      <c r="G29" s="15" t="n">
        <v>-0.137818677908499</v>
      </c>
      <c r="H29" s="16" t="n">
        <v>-0.48063084796916</v>
      </c>
    </row>
    <row r="30">
      <c r="A30" t="s">
        <v>30</v>
      </c>
      <c r="B30" t="s">
        <v>654</v>
      </c>
      <c r="C30" t="s">
        <v>656</v>
      </c>
      <c r="D30" t="s">
        <v>611</v>
      </c>
      <c r="E30" s="14" t="n">
        <v>0.25</v>
      </c>
      <c r="F30" s="17" t="n">
        <v>74</v>
      </c>
      <c r="G30" s="15" t="n">
        <v>-0.212012024039106</v>
      </c>
      <c r="H30" s="16" t="n">
        <v>0.132479816058301</v>
      </c>
    </row>
    <row r="31">
      <c r="A31" t="s">
        <v>30</v>
      </c>
      <c r="B31" t="s">
        <v>657</v>
      </c>
      <c r="C31" t="s">
        <v>658</v>
      </c>
      <c r="D31" t="s">
        <v>611</v>
      </c>
      <c r="E31" s="14" t="n">
        <v>0.5</v>
      </c>
      <c r="F31" s="17" t="n">
        <v>82</v>
      </c>
      <c r="G31" s="15" t="n">
        <v>-0.480630847969159</v>
      </c>
      <c r="H31" s="16" t="n">
        <v>0.1378186779085</v>
      </c>
    </row>
    <row r="32">
      <c r="A32" t="s">
        <v>30</v>
      </c>
      <c r="B32" t="s">
        <v>657</v>
      </c>
      <c r="C32" t="s">
        <v>659</v>
      </c>
      <c r="D32" t="s">
        <v>611</v>
      </c>
      <c r="E32" s="14" t="n">
        <v>0.25</v>
      </c>
      <c r="F32" s="17" t="n">
        <v>27</v>
      </c>
      <c r="G32" s="15" t="n">
        <v>0.146946313073118</v>
      </c>
      <c r="H32" s="16" t="n">
        <v>0.202254248593737</v>
      </c>
    </row>
    <row r="33">
      <c r="A33" t="s">
        <v>32</v>
      </c>
      <c r="B33" t="s">
        <v>660</v>
      </c>
      <c r="C33" t="s">
        <v>661</v>
      </c>
      <c r="D33" t="s">
        <v>611</v>
      </c>
      <c r="E33" s="14" t="n">
        <v>0</v>
      </c>
      <c r="F33" s="17" t="n">
        <v>43</v>
      </c>
      <c r="G33" s="15" t="n">
        <v>0</v>
      </c>
      <c r="H33" s="16" t="n">
        <v>0</v>
      </c>
    </row>
    <row r="34">
      <c r="A34" t="s">
        <v>30</v>
      </c>
      <c r="B34" t="s">
        <v>662</v>
      </c>
      <c r="C34" t="s">
        <v>663</v>
      </c>
      <c r="D34" t="s">
        <v>611</v>
      </c>
      <c r="E34" s="14" t="n">
        <v>0.25</v>
      </c>
      <c r="F34" s="17" t="n">
        <v>105</v>
      </c>
      <c r="G34" s="15" t="n">
        <v>-0.21650635094611</v>
      </c>
      <c r="H34" s="16" t="n">
        <v>-0.125</v>
      </c>
    </row>
    <row r="35">
      <c r="A35" t="s">
        <v>30</v>
      </c>
      <c r="B35" t="s">
        <v>662</v>
      </c>
      <c r="C35" t="s">
        <v>664</v>
      </c>
      <c r="D35" t="s">
        <v>611</v>
      </c>
      <c r="E35" s="14" t="n">
        <v>0.25</v>
      </c>
      <c r="F35" s="17" t="n">
        <v>71</v>
      </c>
      <c r="G35" s="15" t="n">
        <v>-0.19700268840168</v>
      </c>
      <c r="H35" s="16" t="n">
        <v>0.153915368831415</v>
      </c>
    </row>
    <row r="36">
      <c r="A36" t="s">
        <v>31</v>
      </c>
      <c r="B36" t="s">
        <v>665</v>
      </c>
      <c r="C36" t="s">
        <v>666</v>
      </c>
      <c r="D36" t="s">
        <v>611</v>
      </c>
      <c r="E36" s="14" t="n">
        <v>0.5</v>
      </c>
      <c r="F36" s="17" t="n">
        <v>94</v>
      </c>
      <c r="G36" s="15" t="n">
        <v>-0.495134034370785</v>
      </c>
      <c r="H36" s="16" t="n">
        <v>-0.0695865504800329</v>
      </c>
    </row>
    <row r="37">
      <c r="A37" t="s">
        <v>30</v>
      </c>
      <c r="B37" t="s">
        <v>667</v>
      </c>
      <c r="C37" t="s">
        <v>668</v>
      </c>
      <c r="D37" t="s">
        <v>611</v>
      </c>
      <c r="E37" s="14" t="n">
        <v>0</v>
      </c>
      <c r="F37" s="17" t="n">
        <v>159</v>
      </c>
      <c r="G37" s="15" t="n">
        <v>0</v>
      </c>
      <c r="H37" s="16" t="n">
        <v>0</v>
      </c>
    </row>
    <row r="38">
      <c r="A38" t="s">
        <v>32</v>
      </c>
      <c r="B38" t="s">
        <v>669</v>
      </c>
      <c r="C38" t="s">
        <v>670</v>
      </c>
      <c r="D38" t="s">
        <v>611</v>
      </c>
      <c r="E38" s="14" t="n">
        <v>0</v>
      </c>
      <c r="F38" s="17" t="n">
        <v>149</v>
      </c>
      <c r="G38" s="15" t="n">
        <v>0</v>
      </c>
      <c r="H38" s="16" t="n">
        <v>0</v>
      </c>
    </row>
    <row r="39">
      <c r="A39" t="s">
        <v>32</v>
      </c>
      <c r="B39" t="s">
        <v>669</v>
      </c>
      <c r="C39" t="s">
        <v>671</v>
      </c>
      <c r="D39" t="s">
        <v>611</v>
      </c>
      <c r="E39" s="14" t="n">
        <v>0.25</v>
      </c>
      <c r="F39" s="17" t="n">
        <v>132</v>
      </c>
      <c r="G39" s="15" t="n">
        <v>-0.0261321158169136</v>
      </c>
      <c r="H39" s="16" t="n">
        <v>-0.248630473842068</v>
      </c>
    </row>
    <row r="40">
      <c r="A40" t="s">
        <v>32</v>
      </c>
      <c r="B40" t="s">
        <v>672</v>
      </c>
      <c r="C40" t="s">
        <v>673</v>
      </c>
      <c r="D40" t="s">
        <v>611</v>
      </c>
      <c r="E40" s="14" t="n">
        <v>0.25</v>
      </c>
      <c r="F40" s="17" t="n">
        <v>138</v>
      </c>
      <c r="G40" s="15" t="n">
        <v>0.0261321158169135</v>
      </c>
      <c r="H40" s="16" t="n">
        <v>-0.248630473842068</v>
      </c>
    </row>
    <row r="41">
      <c r="A41" t="s">
        <v>32</v>
      </c>
      <c r="B41" t="s">
        <v>672</v>
      </c>
      <c r="C41" t="s">
        <v>674</v>
      </c>
      <c r="D41" t="s">
        <v>611</v>
      </c>
      <c r="E41" s="14" t="n">
        <v>0.5</v>
      </c>
      <c r="F41" s="17" t="n">
        <v>39</v>
      </c>
      <c r="G41" s="15" t="n">
        <v>0.10395584540888</v>
      </c>
      <c r="H41" s="16" t="n">
        <v>0.489073800366903</v>
      </c>
    </row>
    <row r="42">
      <c r="A42" t="s">
        <v>32</v>
      </c>
      <c r="B42" t="s">
        <v>675</v>
      </c>
      <c r="C42" t="s">
        <v>676</v>
      </c>
      <c r="D42" t="s">
        <v>611</v>
      </c>
      <c r="E42" s="14" t="n">
        <v>0.25</v>
      </c>
      <c r="F42" s="17" t="n">
        <v>10</v>
      </c>
      <c r="G42" s="15" t="n">
        <v>0.234923155196477</v>
      </c>
      <c r="H42" s="16" t="n">
        <v>0.0855050358314172</v>
      </c>
    </row>
    <row r="43">
      <c r="A43" t="s">
        <v>32</v>
      </c>
      <c r="B43" t="s">
        <v>675</v>
      </c>
      <c r="C43" t="s">
        <v>677</v>
      </c>
      <c r="D43" t="s">
        <v>611</v>
      </c>
      <c r="E43" s="14" t="n">
        <v>0.25</v>
      </c>
      <c r="F43" s="17" t="n">
        <v>39</v>
      </c>
      <c r="G43" s="15" t="n">
        <v>0.0519779227044398</v>
      </c>
      <c r="H43" s="16" t="n">
        <v>0.244536900183451</v>
      </c>
    </row>
    <row r="44">
      <c r="A44" t="s">
        <v>31</v>
      </c>
      <c r="B44" t="s">
        <v>678</v>
      </c>
      <c r="C44" t="s">
        <v>679</v>
      </c>
      <c r="D44" t="s">
        <v>611</v>
      </c>
      <c r="E44" s="14" t="n">
        <v>0.25</v>
      </c>
      <c r="F44" s="17" t="n">
        <v>177</v>
      </c>
      <c r="G44" s="15" t="n">
        <v>0.248630473842068</v>
      </c>
      <c r="H44" s="16" t="n">
        <v>-0.0261321158169134</v>
      </c>
    </row>
    <row r="45">
      <c r="A45" t="s">
        <v>31</v>
      </c>
      <c r="B45" t="s">
        <v>678</v>
      </c>
      <c r="C45" t="s">
        <v>680</v>
      </c>
      <c r="D45" t="s">
        <v>611</v>
      </c>
      <c r="E45" s="14" t="n">
        <v>0.25</v>
      </c>
      <c r="F45" s="17" t="n">
        <v>1</v>
      </c>
      <c r="G45" s="15" t="n">
        <v>0.249847706754774</v>
      </c>
      <c r="H45" s="16" t="n">
        <v>0.00872487417562524</v>
      </c>
    </row>
    <row r="46">
      <c r="A46" t="s">
        <v>30</v>
      </c>
      <c r="B46" t="s">
        <v>681</v>
      </c>
      <c r="C46" t="s">
        <v>682</v>
      </c>
      <c r="D46" t="s">
        <v>611</v>
      </c>
      <c r="E46" s="14" t="n">
        <v>0.25</v>
      </c>
      <c r="F46" s="17" t="n">
        <v>174</v>
      </c>
      <c r="G46" s="15" t="n">
        <v>0.244536900183451</v>
      </c>
      <c r="H46" s="16" t="n">
        <v>-0.0519779227044398</v>
      </c>
    </row>
    <row r="47">
      <c r="A47" t="s">
        <v>30</v>
      </c>
      <c r="B47" t="s">
        <v>683</v>
      </c>
      <c r="C47" t="s">
        <v>684</v>
      </c>
      <c r="D47" t="s">
        <v>611</v>
      </c>
      <c r="E47" s="14" t="n">
        <v>0.25</v>
      </c>
      <c r="F47" s="17" t="n">
        <v>67</v>
      </c>
      <c r="G47" s="15" t="n">
        <v>-0.173664592614749</v>
      </c>
      <c r="H47" s="16" t="n">
        <v>0.179834950084663</v>
      </c>
    </row>
    <row r="48">
      <c r="A48" t="s">
        <v>31</v>
      </c>
      <c r="B48" t="s">
        <v>685</v>
      </c>
      <c r="C48" t="s">
        <v>686</v>
      </c>
      <c r="D48" t="s">
        <v>611</v>
      </c>
      <c r="E48" s="14" t="n">
        <v>0.25</v>
      </c>
      <c r="F48" s="17" t="n">
        <v>31</v>
      </c>
      <c r="G48" s="15" t="n">
        <v>0.117367890696473</v>
      </c>
      <c r="H48" s="16" t="n">
        <v>0.220736898214732</v>
      </c>
    </row>
    <row r="49">
      <c r="A49" t="s">
        <v>32</v>
      </c>
      <c r="B49" t="s">
        <v>687</v>
      </c>
      <c r="C49" t="s">
        <v>688</v>
      </c>
      <c r="D49" t="s">
        <v>611</v>
      </c>
      <c r="E49" s="14" t="n">
        <v>0.5</v>
      </c>
      <c r="F49" s="17" t="n">
        <v>39</v>
      </c>
      <c r="G49" s="15" t="n">
        <v>0.10395584540888</v>
      </c>
      <c r="H49" s="16" t="n">
        <v>0.489073800366903</v>
      </c>
    </row>
    <row r="50">
      <c r="A50" t="s">
        <v>32</v>
      </c>
      <c r="B50" t="s">
        <v>687</v>
      </c>
      <c r="C50" t="s">
        <v>689</v>
      </c>
      <c r="D50" t="s">
        <v>611</v>
      </c>
      <c r="E50" s="14" t="n">
        <v>0.75</v>
      </c>
      <c r="F50" s="17" t="n">
        <v>108</v>
      </c>
      <c r="G50" s="15" t="n">
        <v>-0.606762745781211</v>
      </c>
      <c r="H50" s="16" t="n">
        <v>-0.440838939219355</v>
      </c>
    </row>
    <row r="51">
      <c r="A51" t="s">
        <v>31</v>
      </c>
      <c r="B51" t="s">
        <v>690</v>
      </c>
      <c r="C51" t="s">
        <v>691</v>
      </c>
      <c r="D51" t="s">
        <v>611</v>
      </c>
      <c r="E51" s="14" t="n">
        <v>0.5</v>
      </c>
      <c r="F51" s="17" t="n">
        <v>160</v>
      </c>
      <c r="G51" s="15" t="n">
        <v>0.383022221559489</v>
      </c>
      <c r="H51" s="16" t="n">
        <v>-0.32139380484327</v>
      </c>
    </row>
    <row r="52">
      <c r="A52" t="s">
        <v>31</v>
      </c>
      <c r="B52" t="s">
        <v>690</v>
      </c>
      <c r="C52" t="s">
        <v>692</v>
      </c>
      <c r="D52" t="s">
        <v>611</v>
      </c>
      <c r="E52" s="14" t="n">
        <v>0.25</v>
      </c>
      <c r="F52" s="17" t="n">
        <v>46</v>
      </c>
      <c r="G52" s="15" t="n">
        <v>-0.00872487417562518</v>
      </c>
      <c r="H52" s="16" t="n">
        <v>0.249847706754774</v>
      </c>
    </row>
    <row r="53">
      <c r="A53" t="s">
        <v>31</v>
      </c>
      <c r="B53" t="s">
        <v>693</v>
      </c>
      <c r="C53" t="s">
        <v>694</v>
      </c>
      <c r="D53" t="s">
        <v>611</v>
      </c>
      <c r="E53" s="14" t="n">
        <v>0.25</v>
      </c>
      <c r="F53" s="17" t="n">
        <v>86</v>
      </c>
      <c r="G53" s="15" t="n">
        <v>-0.247567017185393</v>
      </c>
      <c r="H53" s="16" t="n">
        <v>0.0347932752400163</v>
      </c>
    </row>
    <row r="54">
      <c r="A54" t="s">
        <v>31</v>
      </c>
      <c r="B54" t="s">
        <v>693</v>
      </c>
      <c r="C54" t="s">
        <v>695</v>
      </c>
      <c r="D54" t="s">
        <v>611</v>
      </c>
      <c r="E54" s="14" t="n">
        <v>0.25</v>
      </c>
      <c r="F54" s="17" t="n">
        <v>60</v>
      </c>
      <c r="G54" s="15" t="n">
        <v>-0.125</v>
      </c>
      <c r="H54" s="16" t="n">
        <v>0.21650635094611</v>
      </c>
    </row>
    <row r="55">
      <c r="A55" t="s">
        <v>30</v>
      </c>
      <c r="B55" t="s">
        <v>696</v>
      </c>
      <c r="C55" t="s">
        <v>697</v>
      </c>
      <c r="D55" t="s">
        <v>611</v>
      </c>
      <c r="E55" s="14" t="n">
        <v>0.25</v>
      </c>
      <c r="F55" s="17" t="n">
        <v>110</v>
      </c>
      <c r="G55" s="15" t="n">
        <v>-0.191511110779745</v>
      </c>
      <c r="H55" s="16" t="n">
        <v>-0.160696902421635</v>
      </c>
    </row>
    <row r="56">
      <c r="A56" t="s">
        <v>30</v>
      </c>
      <c r="B56" t="s">
        <v>696</v>
      </c>
      <c r="C56" t="s">
        <v>698</v>
      </c>
      <c r="D56" t="s">
        <v>611</v>
      </c>
      <c r="E56" s="14" t="n">
        <v>0.25</v>
      </c>
      <c r="F56" s="17" t="n">
        <v>142</v>
      </c>
      <c r="G56" s="15" t="n">
        <v>0.0604804738999169</v>
      </c>
      <c r="H56" s="16" t="n">
        <v>-0.242573931568999</v>
      </c>
    </row>
    <row r="57">
      <c r="A57" t="s">
        <v>32</v>
      </c>
      <c r="B57" t="s">
        <v>699</v>
      </c>
      <c r="C57" t="s">
        <v>700</v>
      </c>
      <c r="D57" t="s">
        <v>611</v>
      </c>
      <c r="E57" s="14" t="n">
        <v>0.25</v>
      </c>
      <c r="F57" s="17" t="n">
        <v>80</v>
      </c>
      <c r="G57" s="15" t="n">
        <v>-0.234923155196477</v>
      </c>
      <c r="H57" s="16" t="n">
        <v>0.0855050358314172</v>
      </c>
    </row>
    <row r="58">
      <c r="A58" t="s">
        <v>32</v>
      </c>
      <c r="B58" t="s">
        <v>699</v>
      </c>
      <c r="C58" t="s">
        <v>701</v>
      </c>
      <c r="D58" t="s">
        <v>611</v>
      </c>
      <c r="E58" s="14" t="n">
        <v>0</v>
      </c>
      <c r="F58" s="17" t="n">
        <v>23</v>
      </c>
      <c r="G58" s="15" t="n">
        <v>0</v>
      </c>
      <c r="H58" s="16" t="n">
        <v>0</v>
      </c>
    </row>
    <row r="59">
      <c r="A59" t="s">
        <v>32</v>
      </c>
      <c r="B59" t="s">
        <v>702</v>
      </c>
      <c r="C59" t="s">
        <v>703</v>
      </c>
      <c r="D59" t="s">
        <v>611</v>
      </c>
      <c r="E59" s="14" t="n">
        <v>1.5</v>
      </c>
      <c r="F59" s="17" t="n">
        <v>118</v>
      </c>
      <c r="G59" s="15" t="n">
        <v>-0.838789355206121</v>
      </c>
      <c r="H59" s="16" t="n">
        <v>-1.24355635883256</v>
      </c>
    </row>
    <row r="60">
      <c r="A60" t="s">
        <v>32</v>
      </c>
      <c r="B60" t="s">
        <v>702</v>
      </c>
      <c r="C60" t="s">
        <v>704</v>
      </c>
      <c r="D60" t="s">
        <v>611</v>
      </c>
      <c r="E60" s="14" t="n">
        <v>0.25</v>
      </c>
      <c r="F60" s="17" t="n">
        <v>97</v>
      </c>
      <c r="G60" s="15" t="n">
        <v>-0.242573931568999</v>
      </c>
      <c r="H60" s="16" t="n">
        <v>-0.0604804738999169</v>
      </c>
    </row>
    <row r="61">
      <c r="A61" t="s">
        <v>30</v>
      </c>
      <c r="B61" t="s">
        <v>705</v>
      </c>
      <c r="C61" t="s">
        <v>706</v>
      </c>
      <c r="D61" t="s">
        <v>611</v>
      </c>
      <c r="E61" s="14" t="n">
        <v>0.25</v>
      </c>
      <c r="F61" s="17" t="n">
        <v>52</v>
      </c>
      <c r="G61" s="15" t="n">
        <v>-0.0604804738999169</v>
      </c>
      <c r="H61" s="16" t="n">
        <v>0.242573931568999</v>
      </c>
    </row>
    <row r="62">
      <c r="A62" t="s">
        <v>31</v>
      </c>
      <c r="B62" t="s">
        <v>707</v>
      </c>
      <c r="C62" t="s">
        <v>708</v>
      </c>
      <c r="D62" t="s">
        <v>611</v>
      </c>
      <c r="E62" s="14" t="n">
        <v>0.25</v>
      </c>
      <c r="F62" s="17" t="n">
        <v>138</v>
      </c>
      <c r="G62" s="15" t="n">
        <v>0.0261321158169135</v>
      </c>
      <c r="H62" s="16" t="n">
        <v>-0.248630473842068</v>
      </c>
    </row>
    <row r="63">
      <c r="A63" t="s">
        <v>32</v>
      </c>
      <c r="B63" t="s">
        <v>709</v>
      </c>
      <c r="C63" t="s">
        <v>710</v>
      </c>
      <c r="D63" t="s">
        <v>611</v>
      </c>
      <c r="E63" s="14" t="n">
        <v>0.25</v>
      </c>
      <c r="F63" s="17" t="n">
        <v>6</v>
      </c>
      <c r="G63" s="15" t="n">
        <v>0.244536900183451</v>
      </c>
      <c r="H63" s="16" t="n">
        <v>0.0519779227044398</v>
      </c>
    </row>
    <row r="64">
      <c r="A64" t="s">
        <v>32</v>
      </c>
      <c r="B64" t="s">
        <v>711</v>
      </c>
      <c r="C64" t="s">
        <v>712</v>
      </c>
      <c r="D64" t="s">
        <v>611</v>
      </c>
      <c r="E64" s="14" t="n">
        <v>0.25</v>
      </c>
      <c r="F64" s="17" t="n">
        <v>1</v>
      </c>
      <c r="G64" s="15" t="n">
        <v>0.249847706754774</v>
      </c>
      <c r="H64" s="16" t="n">
        <v>0.00872487417562524</v>
      </c>
    </row>
    <row r="65">
      <c r="A65" t="s">
        <v>32</v>
      </c>
      <c r="B65" t="s">
        <v>711</v>
      </c>
      <c r="C65" t="s">
        <v>713</v>
      </c>
      <c r="D65" t="s">
        <v>611</v>
      </c>
      <c r="E65" s="14" t="n">
        <v>0.75</v>
      </c>
      <c r="F65" s="17" t="n">
        <v>74</v>
      </c>
      <c r="G65" s="15" t="n">
        <v>-0.636036072117319</v>
      </c>
      <c r="H65" s="16" t="n">
        <v>0.397439448174904</v>
      </c>
    </row>
    <row r="66">
      <c r="A66" t="s">
        <v>32</v>
      </c>
      <c r="B66" t="s">
        <v>714</v>
      </c>
      <c r="C66" t="s">
        <v>715</v>
      </c>
      <c r="D66" t="s">
        <v>611</v>
      </c>
      <c r="E66" s="14" t="n">
        <v>0</v>
      </c>
      <c r="F66" s="17" t="n">
        <v>148</v>
      </c>
      <c r="G66" s="15" t="n">
        <v>0</v>
      </c>
      <c r="H66" s="16" t="n">
        <v>0</v>
      </c>
    </row>
    <row r="67">
      <c r="A67" t="s">
        <v>32</v>
      </c>
      <c r="B67" t="s">
        <v>714</v>
      </c>
      <c r="C67" t="s">
        <v>716</v>
      </c>
      <c r="D67" t="s">
        <v>611</v>
      </c>
      <c r="E67" s="14" t="n">
        <v>0.25</v>
      </c>
      <c r="F67" s="17" t="n">
        <v>146</v>
      </c>
      <c r="G67" s="15" t="n">
        <v>0.093651648353978</v>
      </c>
      <c r="H67" s="16" t="n">
        <v>-0.231795963641697</v>
      </c>
    </row>
    <row r="68">
      <c r="A68" t="s">
        <v>31</v>
      </c>
      <c r="B68" t="s">
        <v>717</v>
      </c>
      <c r="C68" t="s">
        <v>718</v>
      </c>
      <c r="D68" t="s">
        <v>611</v>
      </c>
      <c r="E68" s="14" t="n">
        <v>0.25</v>
      </c>
      <c r="F68" s="17" t="n">
        <v>139</v>
      </c>
      <c r="G68" s="15" t="n">
        <v>0.0347932752400164</v>
      </c>
      <c r="H68" s="16" t="n">
        <v>-0.247567017185393</v>
      </c>
    </row>
    <row r="69">
      <c r="A69" t="s">
        <v>30</v>
      </c>
      <c r="B69" t="s">
        <v>719</v>
      </c>
      <c r="C69" t="s">
        <v>720</v>
      </c>
      <c r="D69" t="s">
        <v>611</v>
      </c>
      <c r="E69" s="14" t="n">
        <v>0</v>
      </c>
      <c r="F69" s="17" t="n">
        <v>58</v>
      </c>
      <c r="G69" s="15" t="n">
        <v>0</v>
      </c>
      <c r="H69" s="16" t="n">
        <v>0</v>
      </c>
    </row>
    <row r="70">
      <c r="A70" t="s">
        <v>30</v>
      </c>
      <c r="B70" t="s">
        <v>719</v>
      </c>
      <c r="C70" t="s">
        <v>721</v>
      </c>
      <c r="D70" t="s">
        <v>611</v>
      </c>
      <c r="E70" s="14" t="n">
        <v>0.25</v>
      </c>
      <c r="F70" s="17" t="n">
        <v>75</v>
      </c>
      <c r="G70" s="15" t="n">
        <v>-0.21650635094611</v>
      </c>
      <c r="H70" s="16" t="n">
        <v>0.125</v>
      </c>
    </row>
    <row r="71">
      <c r="A71" t="s">
        <v>30</v>
      </c>
      <c r="B71" t="s">
        <v>722</v>
      </c>
      <c r="C71" t="s">
        <v>723</v>
      </c>
      <c r="D71" t="s">
        <v>611</v>
      </c>
      <c r="E71" s="14" t="n">
        <v>0.25</v>
      </c>
      <c r="F71" s="17" t="n">
        <v>160</v>
      </c>
      <c r="G71" s="15" t="n">
        <v>0.191511110779744</v>
      </c>
      <c r="H71" s="16" t="n">
        <v>-0.160696902421635</v>
      </c>
    </row>
    <row r="72">
      <c r="A72" t="s">
        <v>30</v>
      </c>
      <c r="B72" t="s">
        <v>722</v>
      </c>
      <c r="C72" t="s">
        <v>724</v>
      </c>
      <c r="D72" t="s">
        <v>611</v>
      </c>
      <c r="E72" s="14" t="n">
        <v>0.25</v>
      </c>
      <c r="F72" s="17" t="n">
        <v>18</v>
      </c>
      <c r="G72" s="15" t="n">
        <v>0.202254248593737</v>
      </c>
      <c r="H72" s="16" t="n">
        <v>0.146946313073118</v>
      </c>
    </row>
    <row r="73">
      <c r="A73" t="s">
        <v>32</v>
      </c>
      <c r="B73" t="s">
        <v>725</v>
      </c>
      <c r="C73" t="s">
        <v>726</v>
      </c>
      <c r="D73" t="s">
        <v>611</v>
      </c>
      <c r="E73" s="14" t="n">
        <v>1</v>
      </c>
      <c r="F73" s="17" t="n">
        <v>68</v>
      </c>
      <c r="G73" s="15" t="n">
        <v>-0.719339800338651</v>
      </c>
      <c r="H73" s="16" t="n">
        <v>0.694658370458997</v>
      </c>
    </row>
    <row r="74">
      <c r="A74" t="s">
        <v>32</v>
      </c>
      <c r="B74" t="s">
        <v>725</v>
      </c>
      <c r="C74" t="s">
        <v>727</v>
      </c>
      <c r="D74" t="s">
        <v>611</v>
      </c>
      <c r="E74" s="14" t="n">
        <v>0.25</v>
      </c>
      <c r="F74" s="17" t="n">
        <v>118</v>
      </c>
      <c r="G74" s="15" t="n">
        <v>-0.139798225867687</v>
      </c>
      <c r="H74" s="16" t="n">
        <v>-0.20725939313876</v>
      </c>
    </row>
    <row r="75">
      <c r="A75" t="s">
        <v>30</v>
      </c>
      <c r="B75" t="s">
        <v>728</v>
      </c>
      <c r="C75" t="s">
        <v>729</v>
      </c>
      <c r="D75" t="s">
        <v>611</v>
      </c>
      <c r="E75" s="14" t="n">
        <v>0.5</v>
      </c>
      <c r="F75" s="17" t="n">
        <v>16</v>
      </c>
      <c r="G75" s="15" t="n">
        <v>0.424024048078213</v>
      </c>
      <c r="H75" s="16" t="n">
        <v>0.264959632116602</v>
      </c>
    </row>
    <row r="76">
      <c r="A76" t="s">
        <v>30</v>
      </c>
      <c r="B76" t="s">
        <v>728</v>
      </c>
      <c r="C76" t="s">
        <v>730</v>
      </c>
      <c r="D76" t="s">
        <v>611</v>
      </c>
      <c r="E76" s="14" t="n">
        <v>0</v>
      </c>
      <c r="F76" s="17" t="n">
        <v>111</v>
      </c>
      <c r="G76" s="15" t="n">
        <v>0</v>
      </c>
      <c r="H76" s="16" t="n">
        <v>0</v>
      </c>
    </row>
    <row r="77">
      <c r="A77" t="s">
        <v>30</v>
      </c>
      <c r="B77" t="s">
        <v>731</v>
      </c>
      <c r="C77" t="s">
        <v>732</v>
      </c>
      <c r="D77" t="s">
        <v>611</v>
      </c>
      <c r="E77" s="14" t="n">
        <v>0.5</v>
      </c>
      <c r="F77" s="17" t="n">
        <v>133</v>
      </c>
      <c r="G77" s="15" t="n">
        <v>-0.0348782368720628</v>
      </c>
      <c r="H77" s="16" t="n">
        <v>-0.498782025129912</v>
      </c>
    </row>
    <row r="78">
      <c r="A78" t="s">
        <v>30</v>
      </c>
      <c r="B78" t="s">
        <v>731</v>
      </c>
      <c r="C78" t="s">
        <v>733</v>
      </c>
      <c r="D78" t="s">
        <v>611</v>
      </c>
      <c r="E78" s="14" t="n">
        <v>0.25</v>
      </c>
      <c r="F78" s="17" t="n">
        <v>58</v>
      </c>
      <c r="G78" s="15" t="n">
        <v>-0.109592786697269</v>
      </c>
      <c r="H78" s="16" t="n">
        <v>0.224698511574792</v>
      </c>
    </row>
    <row r="79">
      <c r="A79" t="s">
        <v>30</v>
      </c>
      <c r="B79" t="s">
        <v>734</v>
      </c>
      <c r="C79" t="s">
        <v>735</v>
      </c>
      <c r="D79" t="s">
        <v>611</v>
      </c>
      <c r="E79" s="14" t="n">
        <v>0.25</v>
      </c>
      <c r="F79" s="17" t="n">
        <v>66</v>
      </c>
      <c r="G79" s="15" t="n">
        <v>-0.167282651589714</v>
      </c>
      <c r="H79" s="16" t="n">
        <v>0.185786206369349</v>
      </c>
    </row>
    <row r="80">
      <c r="A80" t="s">
        <v>30</v>
      </c>
      <c r="B80" t="s">
        <v>734</v>
      </c>
      <c r="C80" t="s">
        <v>736</v>
      </c>
      <c r="D80" t="s">
        <v>611</v>
      </c>
      <c r="E80" s="14" t="n">
        <v>0</v>
      </c>
      <c r="F80" s="17" t="n">
        <v>178</v>
      </c>
      <c r="G80" s="15" t="n">
        <v>0</v>
      </c>
      <c r="H80" s="16" t="n">
        <v>0</v>
      </c>
    </row>
    <row r="81">
      <c r="A81" t="s">
        <v>30</v>
      </c>
      <c r="B81" t="s">
        <v>737</v>
      </c>
      <c r="C81" t="s">
        <v>738</v>
      </c>
      <c r="D81" t="s">
        <v>611</v>
      </c>
      <c r="E81" s="14" t="n">
        <v>0.5</v>
      </c>
      <c r="F81" s="17" t="n">
        <v>94</v>
      </c>
      <c r="G81" s="15" t="n">
        <v>-0.495134034370785</v>
      </c>
      <c r="H81" s="16" t="n">
        <v>-0.0695865504800329</v>
      </c>
    </row>
    <row r="82">
      <c r="A82" t="s">
        <v>30</v>
      </c>
      <c r="B82" t="s">
        <v>737</v>
      </c>
      <c r="C82" t="s">
        <v>739</v>
      </c>
      <c r="D82" t="s">
        <v>611</v>
      </c>
      <c r="E82" s="14" t="n">
        <v>0.25</v>
      </c>
      <c r="F82" s="17" t="n">
        <v>85</v>
      </c>
      <c r="G82" s="15" t="n">
        <v>-0.246201938253052</v>
      </c>
      <c r="H82" s="16" t="n">
        <v>0.0434120444167327</v>
      </c>
    </row>
    <row r="83">
      <c r="A83" t="s">
        <v>31</v>
      </c>
      <c r="B83" t="s">
        <v>740</v>
      </c>
      <c r="C83" t="s">
        <v>741</v>
      </c>
      <c r="D83" t="s">
        <v>611</v>
      </c>
      <c r="E83" s="14" t="n">
        <v>0.25</v>
      </c>
      <c r="F83" s="17" t="n">
        <v>73</v>
      </c>
      <c r="G83" s="15" t="n">
        <v>-0.20725939313876</v>
      </c>
      <c r="H83" s="16" t="n">
        <v>0.139798225867687</v>
      </c>
    </row>
    <row r="84">
      <c r="A84" t="s">
        <v>31</v>
      </c>
      <c r="B84" t="s">
        <v>740</v>
      </c>
      <c r="C84" t="s">
        <v>742</v>
      </c>
      <c r="D84" t="s">
        <v>611</v>
      </c>
      <c r="E84" s="14" t="n">
        <v>0</v>
      </c>
      <c r="F84" s="17" t="n">
        <v>127</v>
      </c>
      <c r="G84" s="15" t="n">
        <v>0</v>
      </c>
      <c r="H84" s="16" t="n">
        <v>0</v>
      </c>
    </row>
    <row r="85">
      <c r="A85" t="s">
        <v>32</v>
      </c>
      <c r="B85" t="s">
        <v>743</v>
      </c>
      <c r="C85" t="s">
        <v>744</v>
      </c>
      <c r="D85" t="s">
        <v>611</v>
      </c>
      <c r="E85" s="14" t="n">
        <v>0</v>
      </c>
      <c r="F85" s="17" t="n">
        <v>91</v>
      </c>
      <c r="G85" s="15" t="n">
        <v>0</v>
      </c>
      <c r="H85" s="16" t="n">
        <v>0</v>
      </c>
    </row>
    <row r="86">
      <c r="A86" t="s">
        <v>32</v>
      </c>
      <c r="B86" t="s">
        <v>743</v>
      </c>
      <c r="C86" t="s">
        <v>745</v>
      </c>
      <c r="D86" t="s">
        <v>611</v>
      </c>
      <c r="E86" s="14" t="n">
        <v>0</v>
      </c>
      <c r="F86" s="17" t="n">
        <v>100</v>
      </c>
      <c r="G86" s="15" t="n">
        <v>0</v>
      </c>
      <c r="H86" s="16" t="n">
        <v>0</v>
      </c>
    </row>
    <row r="87">
      <c r="A87" t="s">
        <v>30</v>
      </c>
      <c r="B87" t="s">
        <v>746</v>
      </c>
      <c r="C87" t="s">
        <v>747</v>
      </c>
      <c r="D87" t="s">
        <v>611</v>
      </c>
      <c r="E87" s="14" t="n">
        <v>0.25</v>
      </c>
      <c r="F87" s="17" t="n">
        <v>175</v>
      </c>
      <c r="G87" s="15" t="n">
        <v>0.246201938253052</v>
      </c>
      <c r="H87" s="16" t="n">
        <v>-0.0434120444167326</v>
      </c>
    </row>
    <row r="88">
      <c r="A88" t="s">
        <v>32</v>
      </c>
      <c r="B88" t="s">
        <v>748</v>
      </c>
      <c r="C88" t="s">
        <v>749</v>
      </c>
      <c r="D88" t="s">
        <v>611</v>
      </c>
      <c r="E88" s="14" t="n">
        <v>0.25</v>
      </c>
      <c r="F88" s="17" t="n">
        <v>120</v>
      </c>
      <c r="G88" s="15" t="n">
        <v>-0.125</v>
      </c>
      <c r="H88" s="16" t="n">
        <v>-0.21650635094611</v>
      </c>
    </row>
    <row r="89">
      <c r="A89" t="s">
        <v>32</v>
      </c>
      <c r="B89" t="s">
        <v>750</v>
      </c>
      <c r="C89" t="s">
        <v>751</v>
      </c>
      <c r="D89" t="s">
        <v>611</v>
      </c>
      <c r="E89" s="14" t="n">
        <v>0.5</v>
      </c>
      <c r="F89" s="17" t="n">
        <v>92</v>
      </c>
      <c r="G89" s="15" t="n">
        <v>-0.498782025129912</v>
      </c>
      <c r="H89" s="16" t="n">
        <v>-0.0348782368720625</v>
      </c>
    </row>
    <row r="90">
      <c r="A90" t="s">
        <v>32</v>
      </c>
      <c r="B90" t="s">
        <v>750</v>
      </c>
      <c r="C90" t="s">
        <v>752</v>
      </c>
      <c r="D90" t="s">
        <v>611</v>
      </c>
      <c r="E90" s="14" t="n">
        <v>0.5</v>
      </c>
      <c r="F90" s="17" t="n">
        <v>74</v>
      </c>
      <c r="G90" s="15" t="n">
        <v>-0.424024048078213</v>
      </c>
      <c r="H90" s="16" t="n">
        <v>0.264959632116602</v>
      </c>
    </row>
    <row r="91">
      <c r="A91" t="s">
        <v>30</v>
      </c>
      <c r="B91" t="s">
        <v>753</v>
      </c>
      <c r="C91" t="s">
        <v>754</v>
      </c>
      <c r="D91" t="s">
        <v>611</v>
      </c>
      <c r="E91" s="14" t="n">
        <v>0.25</v>
      </c>
      <c r="F91" s="17" t="n">
        <v>30</v>
      </c>
      <c r="G91" s="15" t="n">
        <v>0.125</v>
      </c>
      <c r="H91" s="16" t="n">
        <v>0.21650635094611</v>
      </c>
    </row>
    <row r="92">
      <c r="A92" t="s">
        <v>30</v>
      </c>
      <c r="B92" t="s">
        <v>753</v>
      </c>
      <c r="C92" t="s">
        <v>755</v>
      </c>
      <c r="D92" t="s">
        <v>611</v>
      </c>
      <c r="E92" s="14" t="n">
        <v>0.25</v>
      </c>
      <c r="F92" s="17" t="n">
        <v>177</v>
      </c>
      <c r="G92" s="15" t="n">
        <v>0.248630473842068</v>
      </c>
      <c r="H92" s="16" t="n">
        <v>-0.0261321158169134</v>
      </c>
    </row>
    <row r="93">
      <c r="A93" t="s">
        <v>30</v>
      </c>
      <c r="B93" t="s">
        <v>756</v>
      </c>
      <c r="C93" t="s">
        <v>757</v>
      </c>
      <c r="D93" t="s">
        <v>611</v>
      </c>
      <c r="E93" s="14" t="n">
        <v>0.25</v>
      </c>
      <c r="F93" s="17" t="n">
        <v>88</v>
      </c>
      <c r="G93" s="15" t="n">
        <v>-0.249391012564956</v>
      </c>
      <c r="H93" s="16" t="n">
        <v>0.0174391184360314</v>
      </c>
    </row>
    <row r="94">
      <c r="A94" t="s">
        <v>30</v>
      </c>
      <c r="B94" t="s">
        <v>756</v>
      </c>
      <c r="C94" t="s">
        <v>758</v>
      </c>
      <c r="D94" t="s">
        <v>611</v>
      </c>
      <c r="E94" s="14" t="n">
        <v>0.25</v>
      </c>
      <c r="F94" s="17" t="n">
        <v>82</v>
      </c>
      <c r="G94" s="15" t="n">
        <v>-0.24031542398458</v>
      </c>
      <c r="H94" s="16" t="n">
        <v>0.0689093389542498</v>
      </c>
    </row>
    <row r="95">
      <c r="A95" t="s">
        <v>31</v>
      </c>
      <c r="B95" t="s">
        <v>759</v>
      </c>
      <c r="C95" t="s">
        <v>760</v>
      </c>
      <c r="D95" t="s">
        <v>611</v>
      </c>
      <c r="E95" s="14" t="n">
        <v>0.25</v>
      </c>
      <c r="F95" s="17" t="n">
        <v>13</v>
      </c>
      <c r="G95" s="15" t="n">
        <v>0.224698511574792</v>
      </c>
      <c r="H95" s="16" t="n">
        <v>0.109592786697269</v>
      </c>
    </row>
    <row r="96">
      <c r="A96" t="s">
        <v>31</v>
      </c>
      <c r="B96" t="s">
        <v>759</v>
      </c>
      <c r="C96" t="s">
        <v>761</v>
      </c>
      <c r="D96" t="s">
        <v>611</v>
      </c>
      <c r="E96" s="14" t="n">
        <v>0.25</v>
      </c>
      <c r="F96" s="17" t="n">
        <v>118</v>
      </c>
      <c r="G96" s="15" t="n">
        <v>-0.139798225867687</v>
      </c>
      <c r="H96" s="16" t="n">
        <v>-0.20725939313876</v>
      </c>
    </row>
    <row r="97">
      <c r="A97" t="s">
        <v>32</v>
      </c>
      <c r="B97" t="s">
        <v>762</v>
      </c>
      <c r="C97" t="s">
        <v>763</v>
      </c>
      <c r="D97" t="s">
        <v>611</v>
      </c>
      <c r="E97" s="14" t="n">
        <v>0.25</v>
      </c>
      <c r="F97" s="17" t="n">
        <v>102</v>
      </c>
      <c r="G97" s="15" t="n">
        <v>-0.22838636441065</v>
      </c>
      <c r="H97" s="16" t="n">
        <v>-0.10168416076895</v>
      </c>
    </row>
    <row r="98">
      <c r="A98" t="s">
        <v>32</v>
      </c>
      <c r="B98" t="s">
        <v>762</v>
      </c>
      <c r="C98" t="s">
        <v>764</v>
      </c>
      <c r="D98" t="s">
        <v>611</v>
      </c>
      <c r="E98" s="14" t="n">
        <v>0.25</v>
      </c>
      <c r="F98" s="17" t="n">
        <v>99</v>
      </c>
      <c r="G98" s="15" t="n">
        <v>-0.237764129073788</v>
      </c>
      <c r="H98" s="16" t="n">
        <v>-0.077254248593737</v>
      </c>
    </row>
    <row r="99">
      <c r="A99" t="s">
        <v>32</v>
      </c>
      <c r="B99" t="s">
        <v>765</v>
      </c>
      <c r="C99" t="s">
        <v>766</v>
      </c>
      <c r="D99" t="s">
        <v>611</v>
      </c>
      <c r="E99" s="14" t="n">
        <v>0.25</v>
      </c>
      <c r="F99" s="17" t="n">
        <v>120</v>
      </c>
      <c r="G99" s="15" t="n">
        <v>-0.125</v>
      </c>
      <c r="H99" s="16" t="n">
        <v>-0.21650635094611</v>
      </c>
    </row>
    <row r="100">
      <c r="A100" t="s">
        <v>32</v>
      </c>
      <c r="B100" t="s">
        <v>765</v>
      </c>
      <c r="C100" t="s">
        <v>767</v>
      </c>
      <c r="D100" t="s">
        <v>611</v>
      </c>
      <c r="E100" s="14" t="n">
        <v>0.25</v>
      </c>
      <c r="F100" s="17" t="n">
        <v>49</v>
      </c>
      <c r="G100" s="15" t="n">
        <v>-0.0347932752400163</v>
      </c>
      <c r="H100" s="16" t="n">
        <v>0.247567017185393</v>
      </c>
    </row>
    <row r="101">
      <c r="A101" t="s">
        <v>30</v>
      </c>
      <c r="B101" t="s">
        <v>768</v>
      </c>
      <c r="C101" t="s">
        <v>769</v>
      </c>
      <c r="D101" t="s">
        <v>611</v>
      </c>
      <c r="E101" s="14" t="n">
        <v>0.25</v>
      </c>
      <c r="F101" s="17" t="n">
        <v>43</v>
      </c>
      <c r="G101" s="15" t="n">
        <v>0.0174391184360313</v>
      </c>
      <c r="H101" s="16" t="n">
        <v>0.249391012564956</v>
      </c>
    </row>
    <row r="102">
      <c r="A102" t="s">
        <v>30</v>
      </c>
      <c r="B102" t="s">
        <v>768</v>
      </c>
      <c r="C102" t="s">
        <v>770</v>
      </c>
      <c r="D102" t="s">
        <v>611</v>
      </c>
      <c r="E102" s="14" t="n">
        <v>0.5</v>
      </c>
      <c r="F102" s="17" t="n">
        <v>114</v>
      </c>
      <c r="G102" s="15" t="n">
        <v>-0.334565303179429</v>
      </c>
      <c r="H102" s="16" t="n">
        <v>-0.371572412738697</v>
      </c>
    </row>
    <row r="103">
      <c r="A103" t="s">
        <v>31</v>
      </c>
      <c r="B103" t="s">
        <v>771</v>
      </c>
      <c r="C103" t="s">
        <v>772</v>
      </c>
      <c r="D103" t="s">
        <v>611</v>
      </c>
      <c r="E103" s="14" t="n">
        <v>0.25</v>
      </c>
      <c r="F103" s="17" t="n">
        <v>92</v>
      </c>
      <c r="G103" s="15" t="n">
        <v>-0.249391012564956</v>
      </c>
      <c r="H103" s="16" t="n">
        <v>-0.0174391184360313</v>
      </c>
    </row>
    <row r="104">
      <c r="A104" t="s">
        <v>31</v>
      </c>
      <c r="B104" t="s">
        <v>771</v>
      </c>
      <c r="C104" t="s">
        <v>773</v>
      </c>
      <c r="D104" t="s">
        <v>611</v>
      </c>
      <c r="E104" s="14" t="n">
        <v>0.25</v>
      </c>
      <c r="F104" s="17" t="n">
        <v>78</v>
      </c>
      <c r="G104" s="15" t="n">
        <v>-0.22838636441065</v>
      </c>
      <c r="H104" s="16" t="n">
        <v>0.10168416076895</v>
      </c>
    </row>
    <row r="105">
      <c r="A105" t="s">
        <v>30</v>
      </c>
      <c r="B105" t="s">
        <v>774</v>
      </c>
      <c r="C105" t="s">
        <v>775</v>
      </c>
      <c r="D105" t="s">
        <v>611</v>
      </c>
      <c r="E105" s="14" t="n">
        <v>0.5</v>
      </c>
      <c r="F105" s="17" t="n">
        <v>66</v>
      </c>
      <c r="G105" s="15" t="n">
        <v>-0.334565303179429</v>
      </c>
      <c r="H105" s="16" t="n">
        <v>0.371572412738697</v>
      </c>
    </row>
    <row r="106">
      <c r="A106" t="s">
        <v>30</v>
      </c>
      <c r="B106" t="s">
        <v>774</v>
      </c>
      <c r="C106" t="s">
        <v>776</v>
      </c>
      <c r="D106" t="s">
        <v>611</v>
      </c>
      <c r="E106" s="14" t="n">
        <v>0.5</v>
      </c>
      <c r="F106" s="17" t="n">
        <v>114</v>
      </c>
      <c r="G106" s="15" t="n">
        <v>-0.334565303179429</v>
      </c>
      <c r="H106" s="16" t="n">
        <v>-0.371572412738697</v>
      </c>
    </row>
    <row r="107">
      <c r="A107" t="s">
        <v>32</v>
      </c>
      <c r="B107" t="s">
        <v>777</v>
      </c>
      <c r="C107" t="s">
        <v>778</v>
      </c>
      <c r="D107" t="s">
        <v>611</v>
      </c>
      <c r="E107" s="14" t="n">
        <v>0.25</v>
      </c>
      <c r="F107" s="17" t="n">
        <v>177</v>
      </c>
      <c r="G107" s="15" t="n">
        <v>0.248630473842068</v>
      </c>
      <c r="H107" s="16" t="n">
        <v>-0.0261321158169134</v>
      </c>
    </row>
    <row r="108">
      <c r="A108" t="s">
        <v>32</v>
      </c>
      <c r="B108" t="s">
        <v>777</v>
      </c>
      <c r="C108" t="s">
        <v>779</v>
      </c>
      <c r="D108" t="s">
        <v>611</v>
      </c>
      <c r="E108" s="14" t="n">
        <v>0.25</v>
      </c>
      <c r="F108" s="17" t="n">
        <v>22</v>
      </c>
      <c r="G108" s="15" t="n">
        <v>0.179834950084663</v>
      </c>
      <c r="H108" s="16" t="n">
        <v>0.173664592614749</v>
      </c>
    </row>
    <row r="109">
      <c r="A109" t="s">
        <v>30</v>
      </c>
      <c r="B109" t="s">
        <v>780</v>
      </c>
      <c r="C109" t="s">
        <v>781</v>
      </c>
      <c r="D109" t="s">
        <v>611</v>
      </c>
      <c r="E109" s="14" t="n">
        <v>0</v>
      </c>
      <c r="F109" s="17" t="n">
        <v>51</v>
      </c>
      <c r="G109" s="15" t="n">
        <v>0</v>
      </c>
      <c r="H109" s="16" t="n">
        <v>0</v>
      </c>
    </row>
    <row r="110">
      <c r="A110" t="s">
        <v>30</v>
      </c>
      <c r="B110" t="s">
        <v>780</v>
      </c>
      <c r="C110" t="s">
        <v>782</v>
      </c>
      <c r="D110" t="s">
        <v>611</v>
      </c>
      <c r="E110" s="14" t="n">
        <v>0</v>
      </c>
      <c r="F110" s="17" t="n">
        <v>99</v>
      </c>
      <c r="G110" s="15" t="n">
        <v>0</v>
      </c>
      <c r="H110" s="16" t="n">
        <v>0</v>
      </c>
    </row>
    <row r="111">
      <c r="A111" t="s">
        <v>30</v>
      </c>
      <c r="B111" t="s">
        <v>783</v>
      </c>
      <c r="C111" t="s">
        <v>784</v>
      </c>
      <c r="D111" t="s">
        <v>611</v>
      </c>
      <c r="E111" s="14" t="n">
        <v>0.25</v>
      </c>
      <c r="F111" s="17" t="n">
        <v>127</v>
      </c>
      <c r="G111" s="15" t="n">
        <v>-0.0689093389542497</v>
      </c>
      <c r="H111" s="16" t="n">
        <v>-0.24031542398458</v>
      </c>
    </row>
    <row r="112">
      <c r="A112" t="s">
        <v>30</v>
      </c>
      <c r="B112" t="s">
        <v>783</v>
      </c>
      <c r="C112" t="s">
        <v>785</v>
      </c>
      <c r="D112" t="s">
        <v>611</v>
      </c>
      <c r="E112" s="14" t="n">
        <v>0.25</v>
      </c>
      <c r="F112" s="17" t="n">
        <v>92</v>
      </c>
      <c r="G112" s="15" t="n">
        <v>-0.249391012564956</v>
      </c>
      <c r="H112" s="16" t="n">
        <v>-0.0174391184360313</v>
      </c>
    </row>
    <row r="113">
      <c r="A113" t="s">
        <v>31</v>
      </c>
      <c r="B113" t="s">
        <v>786</v>
      </c>
      <c r="C113" t="s">
        <v>787</v>
      </c>
      <c r="D113" t="s">
        <v>611</v>
      </c>
      <c r="E113" s="14" t="n">
        <v>0.25</v>
      </c>
      <c r="F113" s="17" t="n">
        <v>135</v>
      </c>
      <c r="G113" s="15" t="n">
        <v>0</v>
      </c>
      <c r="H113" s="16" t="n">
        <v>-0.25</v>
      </c>
    </row>
    <row r="114">
      <c r="A114" t="s">
        <v>31</v>
      </c>
      <c r="B114" t="s">
        <v>786</v>
      </c>
      <c r="C114" t="s">
        <v>788</v>
      </c>
      <c r="D114" t="s">
        <v>611</v>
      </c>
      <c r="E114" s="14" t="n">
        <v>0.25</v>
      </c>
      <c r="F114" s="17" t="n">
        <v>31</v>
      </c>
      <c r="G114" s="15" t="n">
        <v>0.117367890696473</v>
      </c>
      <c r="H114" s="16" t="n">
        <v>0.220736898214732</v>
      </c>
    </row>
    <row r="115">
      <c r="A115" t="s">
        <v>31</v>
      </c>
      <c r="B115" t="s">
        <v>789</v>
      </c>
      <c r="C115" t="s">
        <v>790</v>
      </c>
      <c r="D115" t="s">
        <v>611</v>
      </c>
      <c r="E115" s="14" t="n">
        <v>0.25</v>
      </c>
      <c r="F115" s="17" t="n">
        <v>110</v>
      </c>
      <c r="G115" s="15" t="n">
        <v>-0.191511110779745</v>
      </c>
      <c r="H115" s="16" t="n">
        <v>-0.160696902421635</v>
      </c>
    </row>
    <row r="116">
      <c r="A116" t="s">
        <v>31</v>
      </c>
      <c r="B116" t="s">
        <v>789</v>
      </c>
      <c r="C116" t="s">
        <v>791</v>
      </c>
      <c r="D116" t="s">
        <v>611</v>
      </c>
      <c r="E116" s="14" t="n">
        <v>0.25</v>
      </c>
      <c r="F116" s="17" t="n">
        <v>57</v>
      </c>
      <c r="G116" s="15" t="n">
        <v>-0.10168416076895</v>
      </c>
      <c r="H116" s="16" t="n">
        <v>0.22838636441065</v>
      </c>
    </row>
    <row r="117">
      <c r="A117" t="s">
        <v>32</v>
      </c>
      <c r="B117" t="s">
        <v>792</v>
      </c>
      <c r="C117" t="s">
        <v>793</v>
      </c>
      <c r="D117" t="s">
        <v>611</v>
      </c>
      <c r="E117" s="14" t="n">
        <v>0</v>
      </c>
      <c r="F117" s="17" t="n">
        <v>56</v>
      </c>
      <c r="G117" s="15" t="n">
        <v>0</v>
      </c>
      <c r="H117" s="16" t="n">
        <v>0</v>
      </c>
    </row>
    <row r="118">
      <c r="A118" t="s">
        <v>32</v>
      </c>
      <c r="B118" t="s">
        <v>792</v>
      </c>
      <c r="C118" t="s">
        <v>794</v>
      </c>
      <c r="D118" t="s">
        <v>611</v>
      </c>
      <c r="E118" s="14" t="n">
        <v>0.5</v>
      </c>
      <c r="F118" s="17" t="n">
        <v>131</v>
      </c>
      <c r="G118" s="15" t="n">
        <v>-0.0695865504800329</v>
      </c>
      <c r="H118" s="16" t="n">
        <v>-0.495134034370785</v>
      </c>
    </row>
    <row r="119">
      <c r="A119" t="s">
        <v>32</v>
      </c>
      <c r="B119" t="s">
        <v>795</v>
      </c>
      <c r="C119" t="s">
        <v>796</v>
      </c>
      <c r="D119" t="s">
        <v>611</v>
      </c>
      <c r="E119" s="14" t="n">
        <v>0.25</v>
      </c>
      <c r="F119" s="17" t="n">
        <v>63</v>
      </c>
      <c r="G119" s="15" t="n">
        <v>-0.146946313073118</v>
      </c>
      <c r="H119" s="16" t="n">
        <v>0.202254248593737</v>
      </c>
    </row>
    <row r="120">
      <c r="A120" t="s">
        <v>32</v>
      </c>
      <c r="B120" t="s">
        <v>795</v>
      </c>
      <c r="C120" t="s">
        <v>797</v>
      </c>
      <c r="D120" t="s">
        <v>611</v>
      </c>
      <c r="E120" s="14" t="n">
        <v>0.25</v>
      </c>
      <c r="F120" s="17" t="n">
        <v>96</v>
      </c>
      <c r="G120" s="15" t="n">
        <v>-0.244536900183451</v>
      </c>
      <c r="H120" s="16" t="n">
        <v>-0.0519779227044398</v>
      </c>
    </row>
    <row r="121">
      <c r="A121" t="s">
        <v>31</v>
      </c>
      <c r="B121" t="s">
        <v>798</v>
      </c>
      <c r="C121" t="s">
        <v>799</v>
      </c>
      <c r="D121" t="s">
        <v>611</v>
      </c>
      <c r="E121" s="14" t="n">
        <v>0.5</v>
      </c>
      <c r="F121" s="17" t="n">
        <v>25</v>
      </c>
      <c r="G121" s="15" t="n">
        <v>0.32139380484327</v>
      </c>
      <c r="H121" s="16" t="n">
        <v>0.383022221559489</v>
      </c>
    </row>
    <row r="122">
      <c r="A122" t="s">
        <v>31</v>
      </c>
      <c r="B122" t="s">
        <v>798</v>
      </c>
      <c r="C122" t="s">
        <v>800</v>
      </c>
      <c r="D122" t="s">
        <v>611</v>
      </c>
      <c r="E122" s="14" t="n">
        <v>0.25</v>
      </c>
      <c r="F122" s="17" t="n">
        <v>40</v>
      </c>
      <c r="G122" s="15" t="n">
        <v>0.0434120444167326</v>
      </c>
      <c r="H122" s="16" t="n">
        <v>0.246201938253052</v>
      </c>
    </row>
    <row r="123">
      <c r="A123" t="s">
        <v>31</v>
      </c>
      <c r="B123" t="s">
        <v>801</v>
      </c>
      <c r="C123" t="s">
        <v>802</v>
      </c>
      <c r="D123" t="s">
        <v>611</v>
      </c>
      <c r="E123" s="14" t="n">
        <v>0.25</v>
      </c>
      <c r="F123" s="17" t="n">
        <v>71</v>
      </c>
      <c r="G123" s="15" t="n">
        <v>-0.19700268840168</v>
      </c>
      <c r="H123" s="16" t="n">
        <v>0.153915368831415</v>
      </c>
    </row>
    <row r="124">
      <c r="A124" t="s">
        <v>31</v>
      </c>
      <c r="B124" t="s">
        <v>801</v>
      </c>
      <c r="C124" t="s">
        <v>803</v>
      </c>
      <c r="D124" t="s">
        <v>611</v>
      </c>
      <c r="E124" s="14" t="n">
        <v>0.25</v>
      </c>
      <c r="F124" s="17" t="n">
        <v>122</v>
      </c>
      <c r="G124" s="15" t="n">
        <v>-0.109592786697269</v>
      </c>
      <c r="H124" s="16" t="n">
        <v>-0.224698511574792</v>
      </c>
    </row>
    <row r="125">
      <c r="A125" t="s">
        <v>31</v>
      </c>
      <c r="B125" t="s">
        <v>804</v>
      </c>
      <c r="C125" t="s">
        <v>805</v>
      </c>
      <c r="D125" t="s">
        <v>611</v>
      </c>
      <c r="E125" s="14" t="n">
        <v>0</v>
      </c>
      <c r="F125" s="17" t="n">
        <v>144</v>
      </c>
      <c r="G125" s="15" t="n">
        <v>0</v>
      </c>
      <c r="H125" s="16" t="n">
        <v>0</v>
      </c>
    </row>
    <row r="126">
      <c r="A126" t="s">
        <v>31</v>
      </c>
      <c r="B126" t="s">
        <v>806</v>
      </c>
      <c r="C126" t="s">
        <v>807</v>
      </c>
      <c r="D126" t="s">
        <v>611</v>
      </c>
      <c r="E126" s="14" t="n">
        <v>0.25</v>
      </c>
      <c r="F126" s="17" t="n">
        <v>129</v>
      </c>
      <c r="G126" s="15" t="n">
        <v>-0.0519779227044399</v>
      </c>
      <c r="H126" s="16" t="n">
        <v>-0.244536900183451</v>
      </c>
    </row>
    <row r="127">
      <c r="A127" t="s">
        <v>31</v>
      </c>
      <c r="B127" t="s">
        <v>806</v>
      </c>
      <c r="C127" t="s">
        <v>808</v>
      </c>
      <c r="D127" t="s">
        <v>611</v>
      </c>
      <c r="E127" s="14" t="n">
        <v>0.25</v>
      </c>
      <c r="F127" s="17" t="n">
        <v>72</v>
      </c>
      <c r="G127" s="15" t="n">
        <v>-0.202254248593737</v>
      </c>
      <c r="H127" s="16" t="n">
        <v>0.146946313073118</v>
      </c>
    </row>
    <row r="128">
      <c r="A128" t="s">
        <v>32</v>
      </c>
      <c r="B128" t="s">
        <v>809</v>
      </c>
      <c r="C128" t="s">
        <v>810</v>
      </c>
      <c r="D128" t="s">
        <v>611</v>
      </c>
      <c r="E128" s="14" t="n">
        <v>0.25</v>
      </c>
      <c r="F128" s="17" t="n">
        <v>131</v>
      </c>
      <c r="G128" s="15" t="n">
        <v>-0.0347932752400165</v>
      </c>
      <c r="H128" s="16" t="n">
        <v>-0.247567017185393</v>
      </c>
    </row>
    <row r="129">
      <c r="A129" t="s">
        <v>32</v>
      </c>
      <c r="B129" t="s">
        <v>809</v>
      </c>
      <c r="C129" t="s">
        <v>811</v>
      </c>
      <c r="D129" t="s">
        <v>611</v>
      </c>
      <c r="E129" s="14" t="n">
        <v>0.25</v>
      </c>
      <c r="F129" s="17" t="n">
        <v>17</v>
      </c>
      <c r="G129" s="15" t="n">
        <v>0.20725939313876</v>
      </c>
      <c r="H129" s="16" t="n">
        <v>0.139798225867687</v>
      </c>
    </row>
    <row r="130">
      <c r="A130" t="s">
        <v>30</v>
      </c>
      <c r="B130" t="s">
        <v>812</v>
      </c>
      <c r="C130" t="s">
        <v>813</v>
      </c>
      <c r="D130" t="s">
        <v>611</v>
      </c>
      <c r="E130" s="14" t="n">
        <v>0.5</v>
      </c>
      <c r="F130" s="17" t="n">
        <v>36</v>
      </c>
      <c r="G130" s="15" t="n">
        <v>0.154508497187474</v>
      </c>
      <c r="H130" s="16" t="n">
        <v>0.475528258147577</v>
      </c>
    </row>
    <row r="131">
      <c r="A131" t="s">
        <v>30</v>
      </c>
      <c r="B131" t="s">
        <v>812</v>
      </c>
      <c r="C131" t="s">
        <v>814</v>
      </c>
      <c r="D131" t="s">
        <v>611</v>
      </c>
      <c r="E131" s="14" t="n">
        <v>0.25</v>
      </c>
      <c r="F131" s="17" t="n">
        <v>125</v>
      </c>
      <c r="G131" s="15" t="n">
        <v>-0.0855050358314173</v>
      </c>
      <c r="H131" s="16" t="n">
        <v>-0.234923155196477</v>
      </c>
    </row>
    <row r="132">
      <c r="A132" t="s">
        <v>30</v>
      </c>
      <c r="B132" t="s">
        <v>815</v>
      </c>
      <c r="C132" t="s">
        <v>816</v>
      </c>
      <c r="D132" t="s">
        <v>611</v>
      </c>
      <c r="E132" s="14" t="n">
        <v>0.25</v>
      </c>
      <c r="F132" s="17" t="n">
        <v>54</v>
      </c>
      <c r="G132" s="15" t="n">
        <v>-0.0772542485937368</v>
      </c>
      <c r="H132" s="16" t="n">
        <v>0.237764129073788</v>
      </c>
    </row>
    <row r="133">
      <c r="A133" t="s">
        <v>30</v>
      </c>
      <c r="B133" t="s">
        <v>815</v>
      </c>
      <c r="C133" t="s">
        <v>817</v>
      </c>
      <c r="D133" t="s">
        <v>611</v>
      </c>
      <c r="E133" s="14" t="n">
        <v>0.25</v>
      </c>
      <c r="F133" s="17" t="n">
        <v>109</v>
      </c>
      <c r="G133" s="15" t="n">
        <v>-0.197002688401681</v>
      </c>
      <c r="H133" s="16" t="n">
        <v>-0.153915368831415</v>
      </c>
    </row>
    <row r="134">
      <c r="A134" t="s">
        <v>32</v>
      </c>
      <c r="B134" t="s">
        <v>818</v>
      </c>
      <c r="C134" t="s">
        <v>819</v>
      </c>
      <c r="D134" t="s">
        <v>611</v>
      </c>
      <c r="E134" s="14" t="n">
        <v>0.25</v>
      </c>
      <c r="F134" s="17" t="n">
        <v>15</v>
      </c>
      <c r="G134" s="15" t="n">
        <v>0.21650635094611</v>
      </c>
      <c r="H134" s="16" t="n">
        <v>0.125</v>
      </c>
    </row>
    <row r="135">
      <c r="A135" t="s">
        <v>31</v>
      </c>
      <c r="B135" t="s">
        <v>820</v>
      </c>
      <c r="C135" t="s">
        <v>821</v>
      </c>
      <c r="D135" t="s">
        <v>611</v>
      </c>
      <c r="E135" s="14" t="n">
        <v>0.25</v>
      </c>
      <c r="F135" s="17" t="n">
        <v>24</v>
      </c>
      <c r="G135" s="15" t="n">
        <v>0.167282651589715</v>
      </c>
      <c r="H135" s="16" t="n">
        <v>0.185786206369349</v>
      </c>
    </row>
    <row r="136">
      <c r="A136" t="s">
        <v>31</v>
      </c>
      <c r="B136" t="s">
        <v>820</v>
      </c>
      <c r="C136" t="s">
        <v>822</v>
      </c>
      <c r="D136" t="s">
        <v>611</v>
      </c>
      <c r="E136" s="14" t="n">
        <v>0</v>
      </c>
      <c r="F136" s="17" t="n">
        <v>90</v>
      </c>
      <c r="G136" s="15" t="n">
        <v>0</v>
      </c>
      <c r="H136" s="16" t="n">
        <v>0</v>
      </c>
    </row>
    <row r="137">
      <c r="A137" t="s">
        <v>30</v>
      </c>
      <c r="B137" t="s">
        <v>823</v>
      </c>
      <c r="C137" t="s">
        <v>824</v>
      </c>
      <c r="D137" t="s">
        <v>611</v>
      </c>
      <c r="E137" s="14" t="n">
        <v>0.25</v>
      </c>
      <c r="F137" s="17" t="n">
        <v>33</v>
      </c>
      <c r="G137" s="15" t="n">
        <v>0.10168416076895</v>
      </c>
      <c r="H137" s="16" t="n">
        <v>0.22838636441065</v>
      </c>
    </row>
    <row r="138">
      <c r="A138" t="s">
        <v>30</v>
      </c>
      <c r="B138" t="s">
        <v>823</v>
      </c>
      <c r="C138" t="s">
        <v>825</v>
      </c>
      <c r="D138" t="s">
        <v>611</v>
      </c>
      <c r="E138" s="14" t="n">
        <v>0.25</v>
      </c>
      <c r="F138" s="17" t="n">
        <v>151</v>
      </c>
      <c r="G138" s="15" t="n">
        <v>0.132479816058301</v>
      </c>
      <c r="H138" s="16" t="n">
        <v>-0.212012024039106</v>
      </c>
    </row>
    <row r="139">
      <c r="A139" t="s">
        <v>31</v>
      </c>
      <c r="B139" t="s">
        <v>826</v>
      </c>
      <c r="C139" t="s">
        <v>827</v>
      </c>
      <c r="D139" t="s">
        <v>611</v>
      </c>
      <c r="E139" s="14" t="n">
        <v>0.25</v>
      </c>
      <c r="F139" s="17" t="n">
        <v>126</v>
      </c>
      <c r="G139" s="15" t="n">
        <v>-0.0772542485937369</v>
      </c>
      <c r="H139" s="16" t="n">
        <v>-0.237764129073788</v>
      </c>
    </row>
    <row r="140">
      <c r="A140" t="s">
        <v>31</v>
      </c>
      <c r="B140" t="s">
        <v>828</v>
      </c>
      <c r="C140" t="s">
        <v>829</v>
      </c>
      <c r="D140" t="s">
        <v>611</v>
      </c>
      <c r="E140" s="14" t="n">
        <v>0</v>
      </c>
      <c r="F140" s="17" t="n">
        <v>8</v>
      </c>
      <c r="G140" s="15" t="n">
        <v>0</v>
      </c>
      <c r="H140" s="16" t="n">
        <v>0</v>
      </c>
    </row>
    <row r="141">
      <c r="A141" t="s">
        <v>30</v>
      </c>
      <c r="B141" t="s">
        <v>830</v>
      </c>
      <c r="C141" t="s">
        <v>831</v>
      </c>
      <c r="D141" t="s">
        <v>611</v>
      </c>
      <c r="E141" s="14" t="n">
        <v>0.25</v>
      </c>
      <c r="F141" s="17" t="n">
        <v>71</v>
      </c>
      <c r="G141" s="15" t="n">
        <v>-0.19700268840168</v>
      </c>
      <c r="H141" s="16" t="n">
        <v>0.153915368831415</v>
      </c>
    </row>
    <row r="142">
      <c r="A142" t="s">
        <v>30</v>
      </c>
      <c r="B142" t="s">
        <v>830</v>
      </c>
      <c r="C142" t="s">
        <v>832</v>
      </c>
      <c r="D142" t="s">
        <v>611</v>
      </c>
      <c r="E142" s="14" t="n">
        <v>0</v>
      </c>
      <c r="F142" s="17" t="n">
        <v>52</v>
      </c>
      <c r="G142" s="15" t="n">
        <v>0</v>
      </c>
      <c r="H142" s="16" t="n">
        <v>0</v>
      </c>
    </row>
    <row r="143">
      <c r="A143" t="s">
        <v>32</v>
      </c>
      <c r="B143" t="s">
        <v>833</v>
      </c>
      <c r="C143" t="s">
        <v>834</v>
      </c>
      <c r="D143" t="s">
        <v>611</v>
      </c>
      <c r="E143" s="14" t="n">
        <v>0.75</v>
      </c>
      <c r="F143" s="17" t="n">
        <v>80</v>
      </c>
      <c r="G143" s="15" t="n">
        <v>-0.704769465589431</v>
      </c>
      <c r="H143" s="16" t="n">
        <v>0.256515107494252</v>
      </c>
    </row>
    <row r="144">
      <c r="A144" t="s">
        <v>30</v>
      </c>
      <c r="B144" t="s">
        <v>835</v>
      </c>
      <c r="C144" t="s">
        <v>836</v>
      </c>
      <c r="D144" t="s">
        <v>611</v>
      </c>
      <c r="E144" s="14" t="n">
        <v>0.5</v>
      </c>
      <c r="F144" s="17" t="n">
        <v>32</v>
      </c>
      <c r="G144" s="15" t="n">
        <v>0.219185573394539</v>
      </c>
      <c r="H144" s="16" t="n">
        <v>0.449397023149584</v>
      </c>
    </row>
    <row r="145">
      <c r="A145" t="s">
        <v>30</v>
      </c>
      <c r="B145" t="s">
        <v>835</v>
      </c>
      <c r="C145" t="s">
        <v>837</v>
      </c>
      <c r="D145" t="s">
        <v>611</v>
      </c>
      <c r="E145" s="14" t="n">
        <v>0.25</v>
      </c>
      <c r="F145" s="17" t="n">
        <v>142</v>
      </c>
      <c r="G145" s="15" t="n">
        <v>0.0604804738999169</v>
      </c>
      <c r="H145" s="16" t="n">
        <v>-0.242573931568999</v>
      </c>
    </row>
    <row r="146">
      <c r="A146" t="s">
        <v>30</v>
      </c>
      <c r="B146" t="s">
        <v>838</v>
      </c>
      <c r="C146" t="s">
        <v>839</v>
      </c>
      <c r="D146" t="s">
        <v>611</v>
      </c>
      <c r="E146" s="14" t="n">
        <v>0.25</v>
      </c>
      <c r="F146" s="17" t="n">
        <v>106</v>
      </c>
      <c r="G146" s="15" t="n">
        <v>-0.212012024039107</v>
      </c>
      <c r="H146" s="16" t="n">
        <v>-0.132479816058301</v>
      </c>
    </row>
    <row r="147">
      <c r="A147" t="s">
        <v>31</v>
      </c>
      <c r="B147" t="s">
        <v>840</v>
      </c>
      <c r="C147" t="s">
        <v>841</v>
      </c>
      <c r="D147" t="s">
        <v>611</v>
      </c>
      <c r="E147" s="14" t="n">
        <v>0.25</v>
      </c>
      <c r="F147" s="17" t="n">
        <v>97</v>
      </c>
      <c r="G147" s="15" t="n">
        <v>-0.242573931568999</v>
      </c>
      <c r="H147" s="16" t="n">
        <v>-0.0604804738999169</v>
      </c>
    </row>
    <row r="148">
      <c r="A148" t="s">
        <v>30</v>
      </c>
      <c r="B148" t="s">
        <v>842</v>
      </c>
      <c r="C148" t="s">
        <v>843</v>
      </c>
      <c r="D148" t="s">
        <v>611</v>
      </c>
      <c r="E148" s="14" t="n">
        <v>0.25</v>
      </c>
      <c r="F148" s="17" t="n">
        <v>51</v>
      </c>
      <c r="G148" s="15" t="n">
        <v>-0.0519779227044398</v>
      </c>
      <c r="H148" s="16" t="n">
        <v>0.244536900183451</v>
      </c>
    </row>
    <row r="149">
      <c r="A149" t="s">
        <v>30</v>
      </c>
      <c r="B149" t="s">
        <v>842</v>
      </c>
      <c r="C149" t="s">
        <v>844</v>
      </c>
      <c r="D149" t="s">
        <v>611</v>
      </c>
      <c r="E149" s="14" t="n">
        <v>0</v>
      </c>
      <c r="F149" s="17" t="n">
        <v>45</v>
      </c>
      <c r="G149" s="15" t="n">
        <v>0</v>
      </c>
      <c r="H149" s="16" t="n">
        <v>0</v>
      </c>
    </row>
    <row r="150">
      <c r="A150" t="s">
        <v>32</v>
      </c>
      <c r="B150" t="s">
        <v>845</v>
      </c>
      <c r="C150" t="s">
        <v>846</v>
      </c>
      <c r="D150" t="s">
        <v>611</v>
      </c>
      <c r="E150" s="14" t="n">
        <v>0.75</v>
      </c>
      <c r="F150" s="17" t="n">
        <v>57</v>
      </c>
      <c r="G150" s="15" t="n">
        <v>-0.30505248230685</v>
      </c>
      <c r="H150" s="16" t="n">
        <v>0.685159093231951</v>
      </c>
    </row>
    <row r="151">
      <c r="A151" t="s">
        <v>32</v>
      </c>
      <c r="B151" t="s">
        <v>845</v>
      </c>
      <c r="C151" t="s">
        <v>847</v>
      </c>
      <c r="D151" t="s">
        <v>611</v>
      </c>
      <c r="E151" s="14" t="n">
        <v>0.5</v>
      </c>
      <c r="F151" s="17" t="n">
        <v>139</v>
      </c>
      <c r="G151" s="15" t="n">
        <v>0.0695865504800327</v>
      </c>
      <c r="H151" s="16" t="n">
        <v>-0.495134034370785</v>
      </c>
    </row>
    <row r="152">
      <c r="A152" t="s">
        <v>31</v>
      </c>
      <c r="B152" t="s">
        <v>848</v>
      </c>
      <c r="C152" t="s">
        <v>849</v>
      </c>
      <c r="D152" t="s">
        <v>611</v>
      </c>
      <c r="E152" s="14" t="n">
        <v>0</v>
      </c>
      <c r="F152" s="17" t="n">
        <v>125</v>
      </c>
      <c r="G152" s="15" t="n">
        <v>0</v>
      </c>
      <c r="H152" s="16" t="n">
        <v>0</v>
      </c>
    </row>
    <row r="153">
      <c r="A153" t="s">
        <v>31</v>
      </c>
      <c r="B153" t="s">
        <v>848</v>
      </c>
      <c r="C153" t="s">
        <v>850</v>
      </c>
      <c r="D153" t="s">
        <v>611</v>
      </c>
      <c r="E153" s="14" t="n">
        <v>0.25</v>
      </c>
      <c r="F153" s="17" t="n">
        <v>80</v>
      </c>
      <c r="G153" s="15" t="n">
        <v>-0.234923155196477</v>
      </c>
      <c r="H153" s="16" t="n">
        <v>0.0855050358314172</v>
      </c>
    </row>
    <row r="154">
      <c r="A154" t="s">
        <v>31</v>
      </c>
      <c r="B154" t="s">
        <v>851</v>
      </c>
      <c r="C154" t="s">
        <v>852</v>
      </c>
      <c r="D154" t="s">
        <v>611</v>
      </c>
      <c r="E154" s="14" t="n">
        <v>0.25</v>
      </c>
      <c r="F154" s="17" t="n">
        <v>50</v>
      </c>
      <c r="G154" s="15" t="n">
        <v>-0.0434120444167326</v>
      </c>
      <c r="H154" s="16" t="n">
        <v>0.246201938253052</v>
      </c>
    </row>
    <row r="155">
      <c r="A155" t="s">
        <v>31</v>
      </c>
      <c r="B155" t="s">
        <v>851</v>
      </c>
      <c r="C155" t="s">
        <v>853</v>
      </c>
      <c r="D155" t="s">
        <v>611</v>
      </c>
      <c r="E155" s="14" t="n">
        <v>0.25</v>
      </c>
      <c r="F155" s="17" t="n">
        <v>148</v>
      </c>
      <c r="G155" s="15" t="n">
        <v>0.109592786697269</v>
      </c>
      <c r="H155" s="16" t="n">
        <v>-0.224698511574792</v>
      </c>
    </row>
    <row r="156">
      <c r="A156" t="s">
        <v>32</v>
      </c>
      <c r="B156" t="s">
        <v>854</v>
      </c>
      <c r="C156" t="s">
        <v>855</v>
      </c>
      <c r="D156" t="s">
        <v>611</v>
      </c>
      <c r="E156" s="14" t="n">
        <v>0.25</v>
      </c>
      <c r="F156" s="17" t="n">
        <v>133</v>
      </c>
      <c r="G156" s="15" t="n">
        <v>-0.0174391184360314</v>
      </c>
      <c r="H156" s="16" t="n">
        <v>-0.249391012564956</v>
      </c>
    </row>
    <row r="157">
      <c r="A157" t="s">
        <v>32</v>
      </c>
      <c r="B157" t="s">
        <v>854</v>
      </c>
      <c r="C157" t="s">
        <v>856</v>
      </c>
      <c r="D157" t="s">
        <v>611</v>
      </c>
      <c r="E157" s="14" t="n">
        <v>0.25</v>
      </c>
      <c r="F157" s="17" t="n">
        <v>39</v>
      </c>
      <c r="G157" s="15" t="n">
        <v>0.0519779227044398</v>
      </c>
      <c r="H157" s="16" t="n">
        <v>0.244536900183451</v>
      </c>
    </row>
    <row r="158">
      <c r="A158" t="s">
        <v>30</v>
      </c>
      <c r="B158" t="s">
        <v>857</v>
      </c>
      <c r="C158" t="s">
        <v>858</v>
      </c>
      <c r="D158" t="s">
        <v>611</v>
      </c>
      <c r="E158" s="14" t="n">
        <v>0.5</v>
      </c>
      <c r="F158" s="17" t="n">
        <v>37</v>
      </c>
      <c r="G158" s="15" t="n">
        <v>0.1378186779085</v>
      </c>
      <c r="H158" s="16" t="n">
        <v>0.480630847969159</v>
      </c>
    </row>
    <row r="159">
      <c r="A159" t="s">
        <v>30</v>
      </c>
      <c r="B159" t="s">
        <v>857</v>
      </c>
      <c r="C159" t="s">
        <v>859</v>
      </c>
      <c r="D159" t="s">
        <v>611</v>
      </c>
      <c r="E159" s="14" t="n">
        <v>0.25</v>
      </c>
      <c r="F159" s="17" t="n">
        <v>161</v>
      </c>
      <c r="G159" s="15" t="n">
        <v>0.197002688401681</v>
      </c>
      <c r="H159" s="16" t="n">
        <v>-0.153915368831415</v>
      </c>
    </row>
    <row r="160">
      <c r="A160" t="s">
        <v>30</v>
      </c>
      <c r="B160" t="s">
        <v>860</v>
      </c>
      <c r="C160" t="s">
        <v>861</v>
      </c>
      <c r="D160" t="s">
        <v>611</v>
      </c>
      <c r="E160" s="14" t="n">
        <v>0.25</v>
      </c>
      <c r="F160" s="17" t="n">
        <v>121</v>
      </c>
      <c r="G160" s="15" t="n">
        <v>-0.117367890696473</v>
      </c>
      <c r="H160" s="16" t="n">
        <v>-0.220736898214732</v>
      </c>
    </row>
    <row r="161">
      <c r="A161" t="s">
        <v>30</v>
      </c>
      <c r="B161" t="s">
        <v>860</v>
      </c>
      <c r="C161" t="s">
        <v>862</v>
      </c>
      <c r="D161" t="s">
        <v>611</v>
      </c>
      <c r="E161" s="14" t="n">
        <v>0.25</v>
      </c>
      <c r="F161" s="17" t="n">
        <v>37</v>
      </c>
      <c r="G161" s="15" t="n">
        <v>0.0689093389542498</v>
      </c>
      <c r="H161" s="16" t="n">
        <v>0.24031542398458</v>
      </c>
    </row>
    <row r="162">
      <c r="A162" t="s">
        <v>31</v>
      </c>
      <c r="B162" t="s">
        <v>863</v>
      </c>
      <c r="C162" t="s">
        <v>864</v>
      </c>
      <c r="D162" t="s">
        <v>611</v>
      </c>
      <c r="E162" s="14" t="n">
        <v>0.25</v>
      </c>
      <c r="F162" s="17" t="n">
        <v>61</v>
      </c>
      <c r="G162" s="15" t="n">
        <v>-0.132479816058301</v>
      </c>
      <c r="H162" s="16" t="n">
        <v>0.212012024039107</v>
      </c>
    </row>
    <row r="163">
      <c r="A163" t="s">
        <v>31</v>
      </c>
      <c r="B163" t="s">
        <v>863</v>
      </c>
      <c r="C163" t="s">
        <v>865</v>
      </c>
      <c r="D163" t="s">
        <v>611</v>
      </c>
      <c r="E163" s="14" t="n">
        <v>0.25</v>
      </c>
      <c r="F163" s="17" t="n">
        <v>121</v>
      </c>
      <c r="G163" s="15" t="n">
        <v>-0.117367890696473</v>
      </c>
      <c r="H163" s="16" t="n">
        <v>-0.220736898214732</v>
      </c>
    </row>
    <row r="164">
      <c r="A164" t="s">
        <v>30</v>
      </c>
      <c r="B164" t="s">
        <v>866</v>
      </c>
      <c r="C164" t="s">
        <v>867</v>
      </c>
      <c r="D164" t="s">
        <v>611</v>
      </c>
      <c r="E164" s="14" t="n">
        <v>0.5</v>
      </c>
      <c r="F164" s="17" t="n">
        <v>40</v>
      </c>
      <c r="G164" s="15" t="n">
        <v>0.0868240888334652</v>
      </c>
      <c r="H164" s="16" t="n">
        <v>0.492403876506104</v>
      </c>
    </row>
    <row r="165">
      <c r="A165" t="s">
        <v>32</v>
      </c>
      <c r="B165" t="s">
        <v>868</v>
      </c>
      <c r="C165" t="s">
        <v>869</v>
      </c>
      <c r="D165" t="s">
        <v>611</v>
      </c>
      <c r="E165" s="14" t="n">
        <v>0.25</v>
      </c>
      <c r="F165" s="17" t="n">
        <v>83</v>
      </c>
      <c r="G165" s="15" t="n">
        <v>-0.242573931568999</v>
      </c>
      <c r="H165" s="16" t="n">
        <v>0.0604804738999169</v>
      </c>
    </row>
    <row r="166">
      <c r="A166" t="s">
        <v>31</v>
      </c>
      <c r="B166" t="s">
        <v>870</v>
      </c>
      <c r="C166" t="s">
        <v>871</v>
      </c>
      <c r="D166" t="s">
        <v>611</v>
      </c>
      <c r="E166" s="14" t="n">
        <v>0</v>
      </c>
      <c r="F166" s="17" t="n">
        <v>129</v>
      </c>
      <c r="G166" s="15" t="n">
        <v>0</v>
      </c>
      <c r="H166" s="16" t="n">
        <v>0</v>
      </c>
    </row>
    <row r="167">
      <c r="A167" t="s">
        <v>31</v>
      </c>
      <c r="B167" t="s">
        <v>872</v>
      </c>
      <c r="C167" t="s">
        <v>873</v>
      </c>
      <c r="D167" t="s">
        <v>611</v>
      </c>
      <c r="E167" s="14" t="n">
        <v>0.25</v>
      </c>
      <c r="F167" s="17" t="n">
        <v>144</v>
      </c>
      <c r="G167" s="15" t="n">
        <v>0.0772542485937368</v>
      </c>
      <c r="H167" s="16" t="n">
        <v>-0.237764129073788</v>
      </c>
    </row>
    <row r="168">
      <c r="A168" t="s">
        <v>31</v>
      </c>
      <c r="B168" t="s">
        <v>872</v>
      </c>
      <c r="C168" t="s">
        <v>874</v>
      </c>
      <c r="D168" t="s">
        <v>611</v>
      </c>
      <c r="E168" s="14" t="n">
        <v>0.25</v>
      </c>
      <c r="F168" s="17" t="n">
        <v>47</v>
      </c>
      <c r="G168" s="15" t="n">
        <v>-0.0174391184360313</v>
      </c>
      <c r="H168" s="16" t="n">
        <v>0.249391012564956</v>
      </c>
    </row>
    <row r="169">
      <c r="A169" t="s">
        <v>32</v>
      </c>
      <c r="B169" t="s">
        <v>875</v>
      </c>
      <c r="C169" t="s">
        <v>876</v>
      </c>
      <c r="D169" t="s">
        <v>611</v>
      </c>
      <c r="E169" s="14" t="n">
        <v>0.25</v>
      </c>
      <c r="F169" s="17" t="n">
        <v>165</v>
      </c>
      <c r="G169" s="15" t="n">
        <v>0.21650635094611</v>
      </c>
      <c r="H169" s="16" t="n">
        <v>-0.125</v>
      </c>
    </row>
    <row r="170">
      <c r="A170" t="s">
        <v>32</v>
      </c>
      <c r="B170" t="s">
        <v>875</v>
      </c>
      <c r="C170" t="s">
        <v>877</v>
      </c>
      <c r="D170" t="s">
        <v>611</v>
      </c>
      <c r="E170" s="14" t="n">
        <v>0.25</v>
      </c>
      <c r="F170" s="17" t="n">
        <v>7</v>
      </c>
      <c r="G170" s="15" t="n">
        <v>0.242573931568999</v>
      </c>
      <c r="H170" s="16" t="n">
        <v>0.0604804738999169</v>
      </c>
    </row>
    <row r="171">
      <c r="A171" t="s">
        <v>31</v>
      </c>
      <c r="B171" t="s">
        <v>878</v>
      </c>
      <c r="C171" t="s">
        <v>879</v>
      </c>
      <c r="D171" t="s">
        <v>611</v>
      </c>
      <c r="E171" s="14" t="n">
        <v>0.25</v>
      </c>
      <c r="F171" s="17" t="n">
        <v>106</v>
      </c>
      <c r="G171" s="15" t="n">
        <v>-0.212012024039107</v>
      </c>
      <c r="H171" s="16" t="n">
        <v>-0.132479816058301</v>
      </c>
    </row>
    <row r="172">
      <c r="A172" t="s">
        <v>31</v>
      </c>
      <c r="B172" t="s">
        <v>878</v>
      </c>
      <c r="C172" t="s">
        <v>880</v>
      </c>
      <c r="D172" t="s">
        <v>611</v>
      </c>
      <c r="E172" s="14" t="n">
        <v>0</v>
      </c>
      <c r="F172" s="17" t="n">
        <v>7</v>
      </c>
      <c r="G172" s="15" t="n">
        <v>0</v>
      </c>
      <c r="H172" s="16" t="n">
        <v>0</v>
      </c>
    </row>
    <row r="173">
      <c r="A173" t="s">
        <v>32</v>
      </c>
      <c r="B173" t="s">
        <v>881</v>
      </c>
      <c r="C173" t="s">
        <v>882</v>
      </c>
      <c r="D173" t="s">
        <v>611</v>
      </c>
      <c r="E173" s="14" t="n">
        <v>0.25</v>
      </c>
      <c r="F173" s="17" t="n">
        <v>64</v>
      </c>
      <c r="G173" s="15" t="n">
        <v>-0.153915368831415</v>
      </c>
      <c r="H173" s="16" t="n">
        <v>0.197002688401681</v>
      </c>
    </row>
    <row r="174">
      <c r="A174" t="s">
        <v>30</v>
      </c>
      <c r="B174" t="s">
        <v>883</v>
      </c>
      <c r="C174" t="s">
        <v>884</v>
      </c>
      <c r="D174" t="s">
        <v>611</v>
      </c>
      <c r="E174" s="14" t="n">
        <v>0.25</v>
      </c>
      <c r="F174" s="17" t="n">
        <v>167</v>
      </c>
      <c r="G174" s="15" t="n">
        <v>0.224698511574792</v>
      </c>
      <c r="H174" s="16" t="n">
        <v>-0.109592786697269</v>
      </c>
    </row>
    <row r="175">
      <c r="A175" t="s">
        <v>30</v>
      </c>
      <c r="B175" t="s">
        <v>883</v>
      </c>
      <c r="C175" t="s">
        <v>885</v>
      </c>
      <c r="D175" t="s">
        <v>611</v>
      </c>
      <c r="E175" s="14" t="n">
        <v>0.25</v>
      </c>
      <c r="F175" s="17" t="n">
        <v>174</v>
      </c>
      <c r="G175" s="15" t="n">
        <v>0.244536900183451</v>
      </c>
      <c r="H175" s="16" t="n">
        <v>-0.0519779227044398</v>
      </c>
    </row>
    <row r="176">
      <c r="A176" t="s">
        <v>30</v>
      </c>
      <c r="B176" t="s">
        <v>886</v>
      </c>
      <c r="C176" t="s">
        <v>887</v>
      </c>
      <c r="D176" t="s">
        <v>611</v>
      </c>
      <c r="E176" s="14" t="n">
        <v>1</v>
      </c>
      <c r="F176" s="17" t="n">
        <v>93</v>
      </c>
      <c r="G176" s="15" t="n">
        <v>-0.994521895368273</v>
      </c>
      <c r="H176" s="16" t="n">
        <v>-0.104528463267654</v>
      </c>
    </row>
    <row r="177">
      <c r="A177" t="s">
        <v>30</v>
      </c>
      <c r="B177" t="s">
        <v>886</v>
      </c>
      <c r="C177" t="s">
        <v>888</v>
      </c>
      <c r="D177" t="s">
        <v>611</v>
      </c>
      <c r="E177" s="14" t="n">
        <v>0.75</v>
      </c>
      <c r="F177" s="17" t="n">
        <v>76</v>
      </c>
      <c r="G177" s="15" t="n">
        <v>-0.662210694644195</v>
      </c>
      <c r="H177" s="16" t="n">
        <v>0.352103672089418</v>
      </c>
    </row>
    <row r="178">
      <c r="A178" t="s">
        <v>31</v>
      </c>
      <c r="B178" t="s">
        <v>889</v>
      </c>
      <c r="C178" t="s">
        <v>890</v>
      </c>
      <c r="D178" t="s">
        <v>611</v>
      </c>
      <c r="E178" s="14" t="n">
        <v>0.25</v>
      </c>
      <c r="F178" s="17" t="n">
        <v>65</v>
      </c>
      <c r="G178" s="15" t="n">
        <v>-0.160696902421635</v>
      </c>
      <c r="H178" s="16" t="n">
        <v>0.191511110779745</v>
      </c>
    </row>
    <row r="179">
      <c r="A179" t="s">
        <v>31</v>
      </c>
      <c r="B179" t="s">
        <v>889</v>
      </c>
      <c r="C179" t="s">
        <v>891</v>
      </c>
      <c r="D179" t="s">
        <v>611</v>
      </c>
      <c r="E179" s="14" t="n">
        <v>0.25</v>
      </c>
      <c r="F179" s="17" t="n">
        <v>120</v>
      </c>
      <c r="G179" s="15" t="n">
        <v>-0.125</v>
      </c>
      <c r="H179" s="16" t="n">
        <v>-0.21650635094611</v>
      </c>
    </row>
    <row r="180">
      <c r="A180" t="s">
        <v>32</v>
      </c>
      <c r="B180" t="s">
        <v>892</v>
      </c>
      <c r="C180" t="s">
        <v>893</v>
      </c>
      <c r="D180" t="s">
        <v>611</v>
      </c>
      <c r="E180" s="14" t="n">
        <v>0</v>
      </c>
      <c r="F180" s="17" t="n">
        <v>114</v>
      </c>
      <c r="G180" s="15" t="n">
        <v>0</v>
      </c>
      <c r="H180" s="16" t="n">
        <v>0</v>
      </c>
    </row>
    <row r="181">
      <c r="A181" t="s">
        <v>32</v>
      </c>
      <c r="B181" t="s">
        <v>892</v>
      </c>
      <c r="C181" t="s">
        <v>894</v>
      </c>
      <c r="D181" t="s">
        <v>611</v>
      </c>
      <c r="E181" s="14" t="n">
        <v>0.25</v>
      </c>
      <c r="F181" s="17" t="n">
        <v>125</v>
      </c>
      <c r="G181" s="15" t="n">
        <v>-0.0855050358314173</v>
      </c>
      <c r="H181" s="16" t="n">
        <v>-0.234923155196477</v>
      </c>
    </row>
    <row r="182">
      <c r="A182" t="s">
        <v>32</v>
      </c>
      <c r="B182" t="s">
        <v>895</v>
      </c>
      <c r="C182" t="s">
        <v>896</v>
      </c>
      <c r="D182" t="s">
        <v>611</v>
      </c>
      <c r="E182" s="14" t="n">
        <v>0.25</v>
      </c>
      <c r="F182" s="17" t="n">
        <v>5</v>
      </c>
      <c r="G182" s="15" t="n">
        <v>0.246201938253052</v>
      </c>
      <c r="H182" s="16" t="n">
        <v>0.0434120444167326</v>
      </c>
    </row>
    <row r="183">
      <c r="A183" t="s">
        <v>32</v>
      </c>
      <c r="B183" t="s">
        <v>895</v>
      </c>
      <c r="C183" t="s">
        <v>897</v>
      </c>
      <c r="D183" t="s">
        <v>611</v>
      </c>
      <c r="E183" s="14" t="n">
        <v>0.25</v>
      </c>
      <c r="F183" s="17" t="n">
        <v>165</v>
      </c>
      <c r="G183" s="15" t="n">
        <v>0.21650635094611</v>
      </c>
      <c r="H183" s="16" t="n">
        <v>-0.125</v>
      </c>
    </row>
    <row r="184">
      <c r="A184" t="s">
        <v>30</v>
      </c>
      <c r="B184" t="s">
        <v>898</v>
      </c>
      <c r="C184" t="s">
        <v>899</v>
      </c>
      <c r="D184" t="s">
        <v>611</v>
      </c>
      <c r="E184" s="14" t="n">
        <v>0.25</v>
      </c>
      <c r="F184" s="17" t="n">
        <v>120</v>
      </c>
      <c r="G184" s="15" t="n">
        <v>-0.125</v>
      </c>
      <c r="H184" s="16" t="n">
        <v>-0.21650635094611</v>
      </c>
    </row>
    <row r="185">
      <c r="A185" t="s">
        <v>30</v>
      </c>
      <c r="B185" t="s">
        <v>898</v>
      </c>
      <c r="C185" t="s">
        <v>900</v>
      </c>
      <c r="D185" t="s">
        <v>611</v>
      </c>
      <c r="E185" s="14" t="n">
        <v>0.25</v>
      </c>
      <c r="F185" s="17" t="n">
        <v>53</v>
      </c>
      <c r="G185" s="15" t="n">
        <v>-0.0689093389542498</v>
      </c>
      <c r="H185" s="16" t="n">
        <v>0.24031542398458</v>
      </c>
    </row>
    <row r="186">
      <c r="A186" t="s">
        <v>32</v>
      </c>
      <c r="B186" t="s">
        <v>901</v>
      </c>
      <c r="C186" t="s">
        <v>902</v>
      </c>
      <c r="D186" t="s">
        <v>611</v>
      </c>
      <c r="E186" s="14" t="n">
        <v>0.5</v>
      </c>
      <c r="F186" s="17" t="n">
        <v>95</v>
      </c>
      <c r="G186" s="15" t="n">
        <v>-0.492403876506104</v>
      </c>
      <c r="H186" s="16" t="n">
        <v>-0.0868240888334653</v>
      </c>
    </row>
    <row r="187">
      <c r="A187" t="s">
        <v>31</v>
      </c>
      <c r="B187" t="s">
        <v>903</v>
      </c>
      <c r="C187" t="s">
        <v>904</v>
      </c>
      <c r="D187" t="s">
        <v>611</v>
      </c>
      <c r="E187" s="14" t="n">
        <v>0.25</v>
      </c>
      <c r="F187" s="17" t="n">
        <v>39</v>
      </c>
      <c r="G187" s="15" t="n">
        <v>0.0519779227044398</v>
      </c>
      <c r="H187" s="16" t="n">
        <v>0.244536900183451</v>
      </c>
    </row>
    <row r="188">
      <c r="A188" t="s">
        <v>31</v>
      </c>
      <c r="B188" t="s">
        <v>903</v>
      </c>
      <c r="C188" t="s">
        <v>905</v>
      </c>
      <c r="D188" t="s">
        <v>611</v>
      </c>
      <c r="E188" s="14" t="n">
        <v>0</v>
      </c>
      <c r="F188" s="17" t="n">
        <v>106</v>
      </c>
      <c r="G188" s="15" t="n">
        <v>0</v>
      </c>
      <c r="H188" s="16" t="n">
        <v>0</v>
      </c>
    </row>
    <row r="189">
      <c r="A189" t="s">
        <v>32</v>
      </c>
      <c r="B189" t="s">
        <v>906</v>
      </c>
      <c r="C189" t="s">
        <v>907</v>
      </c>
      <c r="D189" t="s">
        <v>611</v>
      </c>
      <c r="E189" s="14" t="n">
        <v>0.25</v>
      </c>
      <c r="F189" s="17" t="n">
        <v>59</v>
      </c>
      <c r="G189" s="15" t="n">
        <v>-0.117367890696473</v>
      </c>
      <c r="H189" s="16" t="n">
        <v>0.220736898214732</v>
      </c>
    </row>
    <row r="190">
      <c r="A190" t="s">
        <v>32</v>
      </c>
      <c r="B190" t="s">
        <v>906</v>
      </c>
      <c r="C190" t="s">
        <v>908</v>
      </c>
      <c r="D190" t="s">
        <v>611</v>
      </c>
      <c r="E190" s="14" t="n">
        <v>0.25</v>
      </c>
      <c r="F190" s="17" t="n">
        <v>107</v>
      </c>
      <c r="G190" s="15" t="n">
        <v>-0.20725939313876</v>
      </c>
      <c r="H190" s="16" t="n">
        <v>-0.139798225867687</v>
      </c>
    </row>
    <row r="191">
      <c r="A191" t="s">
        <v>30</v>
      </c>
      <c r="B191" t="s">
        <v>909</v>
      </c>
      <c r="C191" t="s">
        <v>910</v>
      </c>
      <c r="D191" t="s">
        <v>611</v>
      </c>
      <c r="E191" s="14" t="n">
        <v>0</v>
      </c>
      <c r="F191" s="17" t="n">
        <v>82</v>
      </c>
      <c r="G191" s="15" t="n">
        <v>0</v>
      </c>
      <c r="H191" s="16" t="n">
        <v>0</v>
      </c>
    </row>
    <row r="192">
      <c r="A192" t="s">
        <v>32</v>
      </c>
      <c r="B192" t="s">
        <v>911</v>
      </c>
      <c r="C192" t="s">
        <v>912</v>
      </c>
      <c r="D192" t="s">
        <v>611</v>
      </c>
      <c r="E192" s="14" t="n">
        <v>0</v>
      </c>
      <c r="F192" s="17" t="n">
        <v>108</v>
      </c>
      <c r="G192" s="15" t="n">
        <v>0</v>
      </c>
      <c r="H192" s="16" t="n">
        <v>0</v>
      </c>
    </row>
    <row r="193">
      <c r="A193" t="s">
        <v>30</v>
      </c>
      <c r="B193" t="s">
        <v>913</v>
      </c>
      <c r="C193" t="s">
        <v>914</v>
      </c>
      <c r="D193" t="s">
        <v>611</v>
      </c>
      <c r="E193" s="14" t="n">
        <v>0</v>
      </c>
      <c r="F193" s="17" t="n">
        <v>166</v>
      </c>
      <c r="G193" s="15" t="n">
        <v>0</v>
      </c>
      <c r="H193" s="16" t="n">
        <v>0</v>
      </c>
    </row>
    <row r="194">
      <c r="A194" t="s">
        <v>30</v>
      </c>
      <c r="B194" t="s">
        <v>913</v>
      </c>
      <c r="C194" t="s">
        <v>915</v>
      </c>
      <c r="D194" t="s">
        <v>611</v>
      </c>
      <c r="E194" s="14" t="n">
        <v>0</v>
      </c>
      <c r="F194" s="17" t="n">
        <v>6</v>
      </c>
      <c r="G194" s="15" t="n">
        <v>0</v>
      </c>
      <c r="H194" s="16" t="n">
        <v>0</v>
      </c>
    </row>
    <row r="195">
      <c r="A195" t="s">
        <v>30</v>
      </c>
      <c r="B195" t="s">
        <v>916</v>
      </c>
      <c r="C195" t="s">
        <v>917</v>
      </c>
      <c r="D195" t="s">
        <v>611</v>
      </c>
      <c r="E195" s="14" t="n">
        <v>0</v>
      </c>
      <c r="F195" s="17" t="n">
        <v>166</v>
      </c>
      <c r="G195" s="15" t="n">
        <v>0</v>
      </c>
      <c r="H195" s="16" t="n">
        <v>0</v>
      </c>
    </row>
    <row r="196">
      <c r="A196" t="s">
        <v>30</v>
      </c>
      <c r="B196" t="s">
        <v>916</v>
      </c>
      <c r="C196" t="s">
        <v>918</v>
      </c>
      <c r="D196" t="s">
        <v>611</v>
      </c>
      <c r="E196" s="14" t="n">
        <v>0.25</v>
      </c>
      <c r="F196" s="17" t="n">
        <v>90</v>
      </c>
      <c r="G196" s="15" t="n">
        <v>-0.25</v>
      </c>
      <c r="H196" s="16" t="n">
        <v>0</v>
      </c>
    </row>
    <row r="197">
      <c r="A197" t="s">
        <v>30</v>
      </c>
      <c r="B197" t="s">
        <v>919</v>
      </c>
      <c r="C197" t="s">
        <v>920</v>
      </c>
      <c r="D197" t="s">
        <v>611</v>
      </c>
      <c r="E197" s="14" t="n">
        <v>0.75</v>
      </c>
      <c r="F197" s="17" t="n">
        <v>132</v>
      </c>
      <c r="G197" s="15" t="n">
        <v>-0.0783963474507407</v>
      </c>
      <c r="H197" s="16" t="n">
        <v>-0.745891421526205</v>
      </c>
    </row>
    <row r="198">
      <c r="A198" t="s">
        <v>30</v>
      </c>
      <c r="B198" t="s">
        <v>921</v>
      </c>
      <c r="C198" t="s">
        <v>922</v>
      </c>
      <c r="D198" t="s">
        <v>611</v>
      </c>
      <c r="E198" s="14" t="n">
        <v>0.25</v>
      </c>
      <c r="F198" s="17" t="n">
        <v>167</v>
      </c>
      <c r="G198" s="15" t="n">
        <v>0.224698511574792</v>
      </c>
      <c r="H198" s="16" t="n">
        <v>-0.109592786697269</v>
      </c>
    </row>
    <row r="199">
      <c r="A199" t="s">
        <v>30</v>
      </c>
      <c r="B199" t="s">
        <v>921</v>
      </c>
      <c r="C199" t="s">
        <v>923</v>
      </c>
      <c r="D199" t="s">
        <v>611</v>
      </c>
      <c r="E199" s="14" t="n">
        <v>0.25</v>
      </c>
      <c r="F199" s="17" t="n">
        <v>2</v>
      </c>
      <c r="G199" s="15" t="n">
        <v>0.249391012564956</v>
      </c>
      <c r="H199" s="16" t="n">
        <v>0.0174391184360313</v>
      </c>
    </row>
    <row r="200">
      <c r="A200" t="s">
        <v>30</v>
      </c>
      <c r="B200" t="s">
        <v>924</v>
      </c>
      <c r="C200" t="s">
        <v>925</v>
      </c>
      <c r="D200" t="s">
        <v>611</v>
      </c>
      <c r="E200" s="14" t="n">
        <v>0</v>
      </c>
      <c r="F200" s="17" t="n">
        <v>130</v>
      </c>
      <c r="G200" s="15" t="n">
        <v>0</v>
      </c>
      <c r="H200" s="16" t="n">
        <v>0</v>
      </c>
    </row>
    <row r="201">
      <c r="A201" t="s">
        <v>30</v>
      </c>
      <c r="B201" t="s">
        <v>924</v>
      </c>
      <c r="C201" t="s">
        <v>926</v>
      </c>
      <c r="D201" t="s">
        <v>611</v>
      </c>
      <c r="E201" s="14" t="n">
        <v>0.5</v>
      </c>
      <c r="F201" s="17" t="n">
        <v>127</v>
      </c>
      <c r="G201" s="15" t="n">
        <v>-0.137818677908499</v>
      </c>
      <c r="H201" s="16" t="n">
        <v>-0.48063084796916</v>
      </c>
    </row>
    <row r="202">
      <c r="A202" t="s">
        <v>30</v>
      </c>
      <c r="B202" t="s">
        <v>927</v>
      </c>
      <c r="C202" t="s">
        <v>928</v>
      </c>
      <c r="D202" t="s">
        <v>611</v>
      </c>
      <c r="E202" s="14" t="n">
        <v>0</v>
      </c>
      <c r="F202" s="17" t="n">
        <v>71</v>
      </c>
      <c r="G202" s="15" t="n">
        <v>0</v>
      </c>
      <c r="H202" s="16" t="n">
        <v>0</v>
      </c>
    </row>
    <row r="203">
      <c r="A203" t="s">
        <v>30</v>
      </c>
      <c r="B203" t="s">
        <v>929</v>
      </c>
      <c r="C203" t="s">
        <v>930</v>
      </c>
      <c r="D203" t="s">
        <v>611</v>
      </c>
      <c r="E203" s="14" t="n">
        <v>0.25</v>
      </c>
      <c r="F203" s="17" t="n">
        <v>114</v>
      </c>
      <c r="G203" s="15" t="n">
        <v>-0.167282651589715</v>
      </c>
      <c r="H203" s="16" t="n">
        <v>-0.185786206369349</v>
      </c>
    </row>
    <row r="204">
      <c r="A204" t="s">
        <v>30</v>
      </c>
      <c r="B204" t="s">
        <v>929</v>
      </c>
      <c r="C204" t="s">
        <v>931</v>
      </c>
      <c r="D204" t="s">
        <v>611</v>
      </c>
      <c r="E204" s="14" t="n">
        <v>0.25</v>
      </c>
      <c r="F204" s="17" t="n">
        <v>111</v>
      </c>
      <c r="G204" s="15" t="n">
        <v>-0.185786206369349</v>
      </c>
      <c r="H204" s="16" t="n">
        <v>-0.167282651589715</v>
      </c>
    </row>
    <row r="205">
      <c r="A205" t="s">
        <v>30</v>
      </c>
      <c r="B205" t="s">
        <v>932</v>
      </c>
      <c r="C205" t="s">
        <v>933</v>
      </c>
      <c r="D205" t="s">
        <v>611</v>
      </c>
      <c r="E205" s="14" t="n">
        <v>0.25</v>
      </c>
      <c r="F205" s="17" t="n">
        <v>2</v>
      </c>
      <c r="G205" s="15" t="n">
        <v>0.249391012564956</v>
      </c>
      <c r="H205" s="16" t="n">
        <v>0.0174391184360313</v>
      </c>
    </row>
    <row r="206">
      <c r="A206" t="s">
        <v>30</v>
      </c>
      <c r="B206" t="s">
        <v>932</v>
      </c>
      <c r="C206" t="s">
        <v>934</v>
      </c>
      <c r="D206" t="s">
        <v>611</v>
      </c>
      <c r="E206" s="14" t="n">
        <v>0.25</v>
      </c>
      <c r="F206" s="17" t="n">
        <v>170</v>
      </c>
      <c r="G206" s="15" t="n">
        <v>0.234923155196477</v>
      </c>
      <c r="H206" s="16" t="n">
        <v>-0.0855050358314172</v>
      </c>
    </row>
    <row r="207">
      <c r="A207" t="s">
        <v>31</v>
      </c>
      <c r="B207" t="s">
        <v>935</v>
      </c>
      <c r="C207" t="s">
        <v>936</v>
      </c>
      <c r="D207" t="s">
        <v>611</v>
      </c>
      <c r="E207" s="14" t="n">
        <v>0.25</v>
      </c>
      <c r="F207" s="17" t="n">
        <v>77</v>
      </c>
      <c r="G207" s="15" t="n">
        <v>-0.224698511574792</v>
      </c>
      <c r="H207" s="16" t="n">
        <v>0.109592786697269</v>
      </c>
    </row>
    <row r="208">
      <c r="A208" t="s">
        <v>31</v>
      </c>
      <c r="B208" t="s">
        <v>937</v>
      </c>
      <c r="C208" t="s">
        <v>938</v>
      </c>
      <c r="D208" t="s">
        <v>611</v>
      </c>
      <c r="E208" s="14" t="n">
        <v>0.25</v>
      </c>
      <c r="F208" s="17" t="n">
        <v>135</v>
      </c>
      <c r="G208" s="15" t="n">
        <v>0</v>
      </c>
      <c r="H208" s="16" t="n">
        <v>-0.25</v>
      </c>
    </row>
    <row r="209">
      <c r="A209" t="s">
        <v>31</v>
      </c>
      <c r="B209" t="s">
        <v>939</v>
      </c>
      <c r="C209" t="s">
        <v>940</v>
      </c>
      <c r="D209" t="s">
        <v>611</v>
      </c>
      <c r="E209" s="14" t="n">
        <v>0.75</v>
      </c>
      <c r="F209" s="17" t="n">
        <v>140</v>
      </c>
      <c r="G209" s="15" t="n">
        <v>0.130236133250197</v>
      </c>
      <c r="H209" s="16" t="n">
        <v>-0.738605814759156</v>
      </c>
    </row>
    <row r="210">
      <c r="A210" t="s">
        <v>30</v>
      </c>
      <c r="B210" t="s">
        <v>941</v>
      </c>
      <c r="C210" t="s">
        <v>942</v>
      </c>
      <c r="D210" t="s">
        <v>611</v>
      </c>
      <c r="E210" s="14" t="n">
        <v>0.25</v>
      </c>
      <c r="F210" s="17" t="n">
        <v>97</v>
      </c>
      <c r="G210" s="15" t="n">
        <v>-0.242573931568999</v>
      </c>
      <c r="H210" s="16" t="n">
        <v>-0.0604804738999169</v>
      </c>
    </row>
    <row r="211">
      <c r="A211" t="s">
        <v>30</v>
      </c>
      <c r="B211" t="s">
        <v>941</v>
      </c>
      <c r="C211" t="s">
        <v>943</v>
      </c>
      <c r="D211" t="s">
        <v>611</v>
      </c>
      <c r="E211" s="14" t="n">
        <v>0.25</v>
      </c>
      <c r="F211" s="17" t="n">
        <v>123</v>
      </c>
      <c r="G211" s="15" t="n">
        <v>-0.10168416076895</v>
      </c>
      <c r="H211" s="16" t="n">
        <v>-0.22838636441065</v>
      </c>
    </row>
    <row r="212">
      <c r="A212" t="s">
        <v>30</v>
      </c>
      <c r="B212" t="s">
        <v>944</v>
      </c>
      <c r="C212" t="s">
        <v>945</v>
      </c>
      <c r="D212" t="s">
        <v>611</v>
      </c>
      <c r="E212" s="14" t="n">
        <v>0.25</v>
      </c>
      <c r="F212" s="17" t="n">
        <v>36</v>
      </c>
      <c r="G212" s="15" t="n">
        <v>0.0772542485937369</v>
      </c>
      <c r="H212" s="16" t="n">
        <v>0.237764129073788</v>
      </c>
    </row>
    <row r="213">
      <c r="A213" t="s">
        <v>31</v>
      </c>
      <c r="B213" t="s">
        <v>946</v>
      </c>
      <c r="C213" t="s">
        <v>947</v>
      </c>
      <c r="D213" t="s">
        <v>611</v>
      </c>
      <c r="E213" s="14" t="n">
        <v>0.5</v>
      </c>
      <c r="F213" s="17" t="n">
        <v>18</v>
      </c>
      <c r="G213" s="15" t="n">
        <v>0.404508497187474</v>
      </c>
      <c r="H213" s="16" t="n">
        <v>0.293892626146237</v>
      </c>
    </row>
    <row r="214">
      <c r="A214" t="s">
        <v>31</v>
      </c>
      <c r="B214" t="s">
        <v>946</v>
      </c>
      <c r="C214" t="s">
        <v>948</v>
      </c>
      <c r="D214" t="s">
        <v>611</v>
      </c>
      <c r="E214" s="14" t="n">
        <v>0.25</v>
      </c>
      <c r="F214" s="17" t="n">
        <v>156</v>
      </c>
      <c r="G214" s="15" t="n">
        <v>0.167282651589715</v>
      </c>
      <c r="H214" s="16" t="n">
        <v>-0.185786206369349</v>
      </c>
    </row>
    <row r="215">
      <c r="A215" t="s">
        <v>32</v>
      </c>
      <c r="B215" t="s">
        <v>949</v>
      </c>
      <c r="C215" t="s">
        <v>950</v>
      </c>
      <c r="D215" t="s">
        <v>611</v>
      </c>
      <c r="E215" s="14" t="n">
        <v>0</v>
      </c>
      <c r="F215" s="17" t="n">
        <v>77</v>
      </c>
      <c r="G215" s="15" t="n">
        <v>0</v>
      </c>
      <c r="H215" s="16" t="n">
        <v>0</v>
      </c>
    </row>
    <row r="216">
      <c r="A216" t="s">
        <v>32</v>
      </c>
      <c r="B216" t="s">
        <v>949</v>
      </c>
      <c r="C216" t="s">
        <v>951</v>
      </c>
      <c r="D216" t="s">
        <v>611</v>
      </c>
      <c r="E216" s="14" t="n">
        <v>0.25</v>
      </c>
      <c r="F216" s="17" t="n">
        <v>177</v>
      </c>
      <c r="G216" s="15" t="n">
        <v>0.248630473842068</v>
      </c>
      <c r="H216" s="16" t="n">
        <v>-0.0261321158169134</v>
      </c>
    </row>
    <row r="217">
      <c r="A217" t="s">
        <v>32</v>
      </c>
      <c r="B217" t="s">
        <v>952</v>
      </c>
      <c r="C217" t="s">
        <v>953</v>
      </c>
      <c r="D217" t="s">
        <v>611</v>
      </c>
      <c r="E217" s="14" t="n">
        <v>0.25</v>
      </c>
      <c r="F217" s="17" t="n">
        <v>75</v>
      </c>
      <c r="G217" s="15" t="n">
        <v>-0.21650635094611</v>
      </c>
      <c r="H217" s="16" t="n">
        <v>0.125</v>
      </c>
    </row>
    <row r="218">
      <c r="A218" t="s">
        <v>32</v>
      </c>
      <c r="B218" t="s">
        <v>952</v>
      </c>
      <c r="C218" t="s">
        <v>954</v>
      </c>
      <c r="D218" t="s">
        <v>611</v>
      </c>
      <c r="E218" s="14" t="n">
        <v>0</v>
      </c>
      <c r="F218" s="17" t="n">
        <v>69</v>
      </c>
      <c r="G218" s="15" t="n">
        <v>0</v>
      </c>
      <c r="H218" s="16" t="n">
        <v>0</v>
      </c>
    </row>
    <row r="219">
      <c r="A219" t="s">
        <v>32</v>
      </c>
      <c r="B219" t="s">
        <v>955</v>
      </c>
      <c r="C219" t="s">
        <v>956</v>
      </c>
      <c r="D219" t="s">
        <v>611</v>
      </c>
      <c r="E219" s="14" t="n">
        <v>0.25</v>
      </c>
      <c r="F219" s="17" t="n">
        <v>66</v>
      </c>
      <c r="G219" s="15" t="n">
        <v>-0.167282651589714</v>
      </c>
      <c r="H219" s="16" t="n">
        <v>0.185786206369349</v>
      </c>
    </row>
    <row r="220">
      <c r="A220" t="s">
        <v>32</v>
      </c>
      <c r="B220" t="s">
        <v>955</v>
      </c>
      <c r="C220" t="s">
        <v>957</v>
      </c>
      <c r="D220" t="s">
        <v>611</v>
      </c>
      <c r="E220" s="14" t="n">
        <v>0</v>
      </c>
      <c r="F220" s="17" t="n">
        <v>41</v>
      </c>
      <c r="G220" s="15" t="n">
        <v>0</v>
      </c>
      <c r="H220" s="16" t="n">
        <v>0</v>
      </c>
    </row>
    <row r="221">
      <c r="A221" t="s">
        <v>30</v>
      </c>
      <c r="B221" t="s">
        <v>958</v>
      </c>
      <c r="C221" t="s">
        <v>959</v>
      </c>
      <c r="D221" t="s">
        <v>611</v>
      </c>
      <c r="E221" s="14" t="n">
        <v>0.5</v>
      </c>
      <c r="F221" s="17" t="n">
        <v>130</v>
      </c>
      <c r="G221" s="15" t="n">
        <v>-0.0868240888334652</v>
      </c>
      <c r="H221" s="16" t="n">
        <v>-0.492403876506104</v>
      </c>
    </row>
    <row r="222">
      <c r="A222" t="s">
        <v>30</v>
      </c>
      <c r="B222" t="s">
        <v>960</v>
      </c>
      <c r="C222" t="s">
        <v>961</v>
      </c>
      <c r="D222" t="s">
        <v>611</v>
      </c>
      <c r="E222" s="14" t="n">
        <v>0.25</v>
      </c>
      <c r="F222" s="17" t="n">
        <v>40</v>
      </c>
      <c r="G222" s="15" t="n">
        <v>0.0434120444167326</v>
      </c>
      <c r="H222" s="16" t="n">
        <v>0.246201938253052</v>
      </c>
    </row>
    <row r="223">
      <c r="A223" t="s">
        <v>30</v>
      </c>
      <c r="B223" t="s">
        <v>960</v>
      </c>
      <c r="C223" t="s">
        <v>962</v>
      </c>
      <c r="D223" t="s">
        <v>611</v>
      </c>
      <c r="E223" s="14" t="n">
        <v>0</v>
      </c>
      <c r="F223" s="17" t="n">
        <v>102</v>
      </c>
      <c r="G223" s="15" t="n">
        <v>0</v>
      </c>
      <c r="H223" s="16" t="n">
        <v>0</v>
      </c>
    </row>
    <row r="224">
      <c r="A224" t="s">
        <v>31</v>
      </c>
      <c r="B224" t="s">
        <v>963</v>
      </c>
      <c r="C224" t="s">
        <v>964</v>
      </c>
      <c r="D224" t="s">
        <v>611</v>
      </c>
      <c r="E224" s="14" t="n">
        <v>0</v>
      </c>
      <c r="F224" s="17" t="n">
        <v>63</v>
      </c>
      <c r="G224" s="15" t="n">
        <v>0</v>
      </c>
      <c r="H224" s="16" t="n">
        <v>0</v>
      </c>
    </row>
    <row r="225">
      <c r="A225" t="s">
        <v>31</v>
      </c>
      <c r="B225" t="s">
        <v>963</v>
      </c>
      <c r="C225" t="s">
        <v>965</v>
      </c>
      <c r="D225" t="s">
        <v>611</v>
      </c>
      <c r="E225" s="14" t="n">
        <v>0.25</v>
      </c>
      <c r="F225" s="17" t="n">
        <v>137</v>
      </c>
      <c r="G225" s="15" t="n">
        <v>0.0174391184360313</v>
      </c>
      <c r="H225" s="16" t="n">
        <v>-0.249391012564956</v>
      </c>
    </row>
    <row r="226">
      <c r="A226" t="s">
        <v>31</v>
      </c>
      <c r="B226" t="s">
        <v>966</v>
      </c>
      <c r="C226" t="s">
        <v>967</v>
      </c>
      <c r="D226" t="s">
        <v>611</v>
      </c>
      <c r="E226" s="14" t="n">
        <v>0.25</v>
      </c>
      <c r="F226" s="17" t="n">
        <v>163</v>
      </c>
      <c r="G226" s="15" t="n">
        <v>0.20725939313876</v>
      </c>
      <c r="H226" s="16" t="n">
        <v>-0.139798225867687</v>
      </c>
    </row>
    <row r="227">
      <c r="A227" t="s">
        <v>31</v>
      </c>
      <c r="B227" t="s">
        <v>966</v>
      </c>
      <c r="C227" t="s">
        <v>968</v>
      </c>
      <c r="D227" t="s">
        <v>611</v>
      </c>
      <c r="E227" s="14" t="n">
        <v>0.5</v>
      </c>
      <c r="F227" s="17" t="n">
        <v>27</v>
      </c>
      <c r="G227" s="15" t="n">
        <v>0.293892626146237</v>
      </c>
      <c r="H227" s="16" t="n">
        <v>0.404508497187474</v>
      </c>
    </row>
    <row r="228">
      <c r="A228" t="s">
        <v>32</v>
      </c>
      <c r="B228" t="s">
        <v>969</v>
      </c>
      <c r="C228" t="s">
        <v>970</v>
      </c>
      <c r="D228" t="s">
        <v>611</v>
      </c>
      <c r="E228" s="14" t="n">
        <v>0</v>
      </c>
      <c r="F228" s="17" t="n">
        <v>12</v>
      </c>
      <c r="G228" s="15" t="n">
        <v>0</v>
      </c>
      <c r="H228" s="16" t="n">
        <v>0</v>
      </c>
    </row>
    <row r="229">
      <c r="A229" t="s">
        <v>30</v>
      </c>
      <c r="B229" t="s">
        <v>971</v>
      </c>
      <c r="C229" t="s">
        <v>972</v>
      </c>
      <c r="D229" t="s">
        <v>611</v>
      </c>
      <c r="E229" s="14" t="n">
        <v>0</v>
      </c>
      <c r="F229" s="17" t="n">
        <v>58</v>
      </c>
      <c r="G229" s="15" t="n">
        <v>0</v>
      </c>
      <c r="H229" s="16" t="n">
        <v>0</v>
      </c>
    </row>
    <row r="230">
      <c r="A230" t="s">
        <v>30</v>
      </c>
      <c r="B230" t="s">
        <v>971</v>
      </c>
      <c r="C230" t="s">
        <v>973</v>
      </c>
      <c r="D230" t="s">
        <v>611</v>
      </c>
      <c r="E230" s="14" t="n">
        <v>0.25</v>
      </c>
      <c r="F230" s="17" t="n">
        <v>45</v>
      </c>
      <c r="G230" s="15" t="n">
        <v>0</v>
      </c>
      <c r="H230" s="16" t="n">
        <v>0.25</v>
      </c>
    </row>
    <row r="231">
      <c r="A231" t="s">
        <v>30</v>
      </c>
      <c r="B231" t="s">
        <v>974</v>
      </c>
      <c r="C231" t="s">
        <v>975</v>
      </c>
      <c r="D231" t="s">
        <v>611</v>
      </c>
      <c r="E231" s="14" t="n">
        <v>0.5</v>
      </c>
      <c r="F231" s="17" t="n">
        <v>107</v>
      </c>
      <c r="G231" s="15" t="n">
        <v>-0.414518786277521</v>
      </c>
      <c r="H231" s="16" t="n">
        <v>-0.279596451735373</v>
      </c>
    </row>
    <row r="232">
      <c r="A232" t="s">
        <v>31</v>
      </c>
      <c r="B232" t="s">
        <v>976</v>
      </c>
      <c r="C232" t="s">
        <v>977</v>
      </c>
      <c r="D232" t="s">
        <v>611</v>
      </c>
      <c r="E232" s="14" t="n">
        <v>0.5</v>
      </c>
      <c r="F232" s="17" t="n">
        <v>6</v>
      </c>
      <c r="G232" s="15" t="n">
        <v>0.489073800366903</v>
      </c>
      <c r="H232" s="16" t="n">
        <v>0.10395584540888</v>
      </c>
    </row>
    <row r="233">
      <c r="A233" t="s">
        <v>31</v>
      </c>
      <c r="B233" t="s">
        <v>976</v>
      </c>
      <c r="C233" t="s">
        <v>978</v>
      </c>
      <c r="D233" t="s">
        <v>611</v>
      </c>
      <c r="E233" s="14" t="n">
        <v>0</v>
      </c>
      <c r="F233" s="17" t="n">
        <v>66</v>
      </c>
      <c r="G233" s="15" t="n">
        <v>0</v>
      </c>
      <c r="H233" s="16" t="n">
        <v>0</v>
      </c>
    </row>
    <row r="234">
      <c r="A234" t="s">
        <v>32</v>
      </c>
      <c r="B234" t="s">
        <v>979</v>
      </c>
      <c r="C234" t="s">
        <v>980</v>
      </c>
      <c r="D234" t="s">
        <v>611</v>
      </c>
      <c r="E234" s="14" t="n">
        <v>0.5</v>
      </c>
      <c r="F234" s="17" t="n">
        <v>76</v>
      </c>
      <c r="G234" s="15" t="n">
        <v>-0.441473796429463</v>
      </c>
      <c r="H234" s="16" t="n">
        <v>0.234735781392945</v>
      </c>
    </row>
    <row r="235">
      <c r="A235" t="s">
        <v>32</v>
      </c>
      <c r="B235" t="s">
        <v>979</v>
      </c>
      <c r="C235" t="s">
        <v>981</v>
      </c>
      <c r="D235" t="s">
        <v>611</v>
      </c>
      <c r="E235" s="14" t="n">
        <v>0.25</v>
      </c>
      <c r="F235" s="17" t="n">
        <v>99</v>
      </c>
      <c r="G235" s="15" t="n">
        <v>-0.237764129073788</v>
      </c>
      <c r="H235" s="16" t="n">
        <v>-0.077254248593737</v>
      </c>
    </row>
    <row r="236">
      <c r="A236" t="s">
        <v>32</v>
      </c>
      <c r="B236" t="s">
        <v>982</v>
      </c>
      <c r="C236" t="s">
        <v>983</v>
      </c>
      <c r="D236" t="s">
        <v>611</v>
      </c>
      <c r="E236" s="14" t="n">
        <v>0.25</v>
      </c>
      <c r="F236" s="17" t="n">
        <v>170</v>
      </c>
      <c r="G236" s="15" t="n">
        <v>0.234923155196477</v>
      </c>
      <c r="H236" s="16" t="n">
        <v>-0.0855050358314172</v>
      </c>
    </row>
    <row r="237">
      <c r="A237" t="s">
        <v>32</v>
      </c>
      <c r="B237" t="s">
        <v>982</v>
      </c>
      <c r="C237" t="s">
        <v>984</v>
      </c>
      <c r="D237" t="s">
        <v>611</v>
      </c>
      <c r="E237" s="14" t="n">
        <v>0.25</v>
      </c>
      <c r="F237" s="17" t="n">
        <v>166</v>
      </c>
      <c r="G237" s="15" t="n">
        <v>0.220736898214732</v>
      </c>
      <c r="H237" s="16" t="n">
        <v>-0.117367890696473</v>
      </c>
    </row>
    <row r="238">
      <c r="A238" t="s">
        <v>30</v>
      </c>
      <c r="B238" t="s">
        <v>985</v>
      </c>
      <c r="C238" t="s">
        <v>986</v>
      </c>
      <c r="D238" t="s">
        <v>611</v>
      </c>
      <c r="E238" s="14" t="n">
        <v>0.25</v>
      </c>
      <c r="F238" s="17" t="n">
        <v>98</v>
      </c>
      <c r="G238" s="15" t="n">
        <v>-0.24031542398458</v>
      </c>
      <c r="H238" s="16" t="n">
        <v>-0.0689093389542497</v>
      </c>
    </row>
    <row r="239">
      <c r="A239" t="s">
        <v>30</v>
      </c>
      <c r="B239" t="s">
        <v>985</v>
      </c>
      <c r="C239" t="s">
        <v>987</v>
      </c>
      <c r="D239" t="s">
        <v>611</v>
      </c>
      <c r="E239" s="14" t="n">
        <v>0.5</v>
      </c>
      <c r="F239" s="17" t="n">
        <v>97</v>
      </c>
      <c r="G239" s="15" t="n">
        <v>-0.485147863137998</v>
      </c>
      <c r="H239" s="16" t="n">
        <v>-0.120960947799834</v>
      </c>
    </row>
    <row r="240">
      <c r="A240" t="s">
        <v>30</v>
      </c>
      <c r="B240" t="s">
        <v>988</v>
      </c>
      <c r="C240" t="s">
        <v>989</v>
      </c>
      <c r="D240" t="s">
        <v>611</v>
      </c>
      <c r="E240" s="14" t="n">
        <v>0.5</v>
      </c>
      <c r="F240" s="17" t="n">
        <v>63</v>
      </c>
      <c r="G240" s="15" t="n">
        <v>-0.293892626146237</v>
      </c>
      <c r="H240" s="16" t="n">
        <v>0.404508497187474</v>
      </c>
    </row>
    <row r="241">
      <c r="A241" t="s">
        <v>32</v>
      </c>
      <c r="B241" t="s">
        <v>990</v>
      </c>
      <c r="C241" t="s">
        <v>991</v>
      </c>
      <c r="D241" t="s">
        <v>611</v>
      </c>
      <c r="E241" s="14" t="n">
        <v>0.25</v>
      </c>
      <c r="F241" s="17" t="n">
        <v>149</v>
      </c>
      <c r="G241" s="15" t="n">
        <v>0.117367890696473</v>
      </c>
      <c r="H241" s="16" t="n">
        <v>-0.220736898214732</v>
      </c>
    </row>
    <row r="242">
      <c r="A242" t="s">
        <v>32</v>
      </c>
      <c r="B242" t="s">
        <v>992</v>
      </c>
      <c r="C242" t="s">
        <v>993</v>
      </c>
      <c r="D242" t="s">
        <v>611</v>
      </c>
      <c r="E242" s="14" t="n">
        <v>0.25</v>
      </c>
      <c r="F242" s="17" t="n">
        <v>67</v>
      </c>
      <c r="G242" s="15" t="n">
        <v>-0.173664592614749</v>
      </c>
      <c r="H242" s="16" t="n">
        <v>0.179834950084663</v>
      </c>
    </row>
    <row r="243">
      <c r="A243" t="s">
        <v>30</v>
      </c>
      <c r="B243" t="s">
        <v>994</v>
      </c>
      <c r="C243" t="s">
        <v>995</v>
      </c>
      <c r="D243" t="s">
        <v>611</v>
      </c>
      <c r="E243" s="14" t="n">
        <v>0.25</v>
      </c>
      <c r="F243" s="17" t="n">
        <v>91</v>
      </c>
      <c r="G243" s="15" t="n">
        <v>-0.249847706754774</v>
      </c>
      <c r="H243" s="16" t="n">
        <v>-0.00872487417562529</v>
      </c>
    </row>
    <row r="244">
      <c r="A244" t="s">
        <v>30</v>
      </c>
      <c r="B244" t="s">
        <v>994</v>
      </c>
      <c r="C244" t="s">
        <v>996</v>
      </c>
      <c r="D244" t="s">
        <v>611</v>
      </c>
      <c r="E244" s="14" t="n">
        <v>0.25</v>
      </c>
      <c r="F244" s="17" t="n">
        <v>83</v>
      </c>
      <c r="G244" s="15" t="n">
        <v>-0.242573931568999</v>
      </c>
      <c r="H244" s="16" t="n">
        <v>0.0604804738999169</v>
      </c>
    </row>
    <row r="245">
      <c r="A245" t="s">
        <v>31</v>
      </c>
      <c r="B245" t="s">
        <v>997</v>
      </c>
      <c r="C245" t="s">
        <v>998</v>
      </c>
      <c r="D245" t="s">
        <v>611</v>
      </c>
      <c r="E245" s="14" t="n">
        <v>0.25</v>
      </c>
      <c r="F245" s="17" t="n">
        <v>22</v>
      </c>
      <c r="G245" s="15" t="n">
        <v>0.179834950084663</v>
      </c>
      <c r="H245" s="16" t="n">
        <v>0.173664592614749</v>
      </c>
    </row>
    <row r="246">
      <c r="A246" t="s">
        <v>31</v>
      </c>
      <c r="B246" t="s">
        <v>997</v>
      </c>
      <c r="C246" t="s">
        <v>999</v>
      </c>
      <c r="D246" t="s">
        <v>611</v>
      </c>
      <c r="E246" s="14" t="n">
        <v>0.5</v>
      </c>
      <c r="F246" s="17" t="n">
        <v>36</v>
      </c>
      <c r="G246" s="15" t="n">
        <v>0.154508497187474</v>
      </c>
      <c r="H246" s="16" t="n">
        <v>0.475528258147577</v>
      </c>
    </row>
    <row r="247">
      <c r="A247" t="s">
        <v>31</v>
      </c>
      <c r="B247" t="s">
        <v>1000</v>
      </c>
      <c r="C247" t="s">
        <v>1001</v>
      </c>
      <c r="D247" t="s">
        <v>611</v>
      </c>
      <c r="E247" s="14" t="n">
        <v>0.25</v>
      </c>
      <c r="F247" s="17" t="n">
        <v>112</v>
      </c>
      <c r="G247" s="15" t="n">
        <v>-0.179834950084663</v>
      </c>
      <c r="H247" s="16" t="n">
        <v>-0.173664592614749</v>
      </c>
    </row>
    <row r="248">
      <c r="A248" t="s">
        <v>31</v>
      </c>
      <c r="B248" t="s">
        <v>1002</v>
      </c>
      <c r="C248" t="s">
        <v>1003</v>
      </c>
      <c r="D248" t="s">
        <v>611</v>
      </c>
      <c r="E248" s="14" t="n">
        <v>0.25</v>
      </c>
      <c r="F248" s="17" t="n">
        <v>105</v>
      </c>
      <c r="G248" s="15" t="n">
        <v>-0.21650635094611</v>
      </c>
      <c r="H248" s="16" t="n">
        <v>-0.125</v>
      </c>
    </row>
    <row r="249">
      <c r="A249" t="s">
        <v>31</v>
      </c>
      <c r="B249" t="s">
        <v>1004</v>
      </c>
      <c r="C249" t="s">
        <v>1005</v>
      </c>
      <c r="D249" t="s">
        <v>611</v>
      </c>
      <c r="E249" s="14" t="n">
        <v>0.5</v>
      </c>
      <c r="F249" s="17" t="n">
        <v>173</v>
      </c>
      <c r="G249" s="15" t="n">
        <v>0.485147863137998</v>
      </c>
      <c r="H249" s="16" t="n">
        <v>-0.120960947799834</v>
      </c>
    </row>
    <row r="250">
      <c r="A250" t="s">
        <v>31</v>
      </c>
      <c r="B250" t="s">
        <v>1004</v>
      </c>
      <c r="C250" t="s">
        <v>1006</v>
      </c>
      <c r="D250" t="s">
        <v>611</v>
      </c>
      <c r="E250" s="14" t="n">
        <v>0.25</v>
      </c>
      <c r="F250" s="17" t="n">
        <v>12</v>
      </c>
      <c r="G250" s="15" t="n">
        <v>0.22838636441065</v>
      </c>
      <c r="H250" s="16" t="n">
        <v>0.10168416076895</v>
      </c>
    </row>
    <row r="251">
      <c r="A251" t="s">
        <v>31</v>
      </c>
      <c r="B251" t="s">
        <v>1007</v>
      </c>
      <c r="C251" t="s">
        <v>1008</v>
      </c>
      <c r="D251" t="s">
        <v>611</v>
      </c>
      <c r="E251" s="14" t="n">
        <v>0.25</v>
      </c>
      <c r="F251" s="17" t="n">
        <v>39</v>
      </c>
      <c r="G251" s="15" t="n">
        <v>0.0519779227044398</v>
      </c>
      <c r="H251" s="16" t="n">
        <v>0.244536900183451</v>
      </c>
    </row>
    <row r="252">
      <c r="A252" t="s">
        <v>31</v>
      </c>
      <c r="B252" t="s">
        <v>1007</v>
      </c>
      <c r="C252" t="s">
        <v>1009</v>
      </c>
      <c r="D252" t="s">
        <v>611</v>
      </c>
      <c r="E252" s="14" t="n">
        <v>0.25</v>
      </c>
      <c r="F252" s="17" t="n">
        <v>25</v>
      </c>
      <c r="G252" s="15" t="n">
        <v>0.160696902421635</v>
      </c>
      <c r="H252" s="16" t="n">
        <v>0.191511110779745</v>
      </c>
    </row>
    <row r="253">
      <c r="A253" t="s">
        <v>30</v>
      </c>
      <c r="B253" t="s">
        <v>1010</v>
      </c>
      <c r="C253" t="s">
        <v>1011</v>
      </c>
      <c r="D253" t="s">
        <v>611</v>
      </c>
      <c r="E253" s="14" t="n">
        <v>0.25</v>
      </c>
      <c r="F253" s="17" t="n">
        <v>111</v>
      </c>
      <c r="G253" s="15" t="n">
        <v>-0.185786206369349</v>
      </c>
      <c r="H253" s="16" t="n">
        <v>-0.167282651589715</v>
      </c>
    </row>
    <row r="254">
      <c r="A254" t="s">
        <v>30</v>
      </c>
      <c r="B254" t="s">
        <v>1010</v>
      </c>
      <c r="C254" t="s">
        <v>1012</v>
      </c>
      <c r="D254" t="s">
        <v>611</v>
      </c>
      <c r="E254" s="14" t="n">
        <v>0.5</v>
      </c>
      <c r="F254" s="17" t="n">
        <v>68</v>
      </c>
      <c r="G254" s="15" t="n">
        <v>-0.359669900169325</v>
      </c>
      <c r="H254" s="16" t="n">
        <v>0.347329185229499</v>
      </c>
    </row>
    <row r="255">
      <c r="A255" t="s">
        <v>31</v>
      </c>
      <c r="B255" t="s">
        <v>1013</v>
      </c>
      <c r="C255" t="s">
        <v>1014</v>
      </c>
      <c r="D255" t="s">
        <v>611</v>
      </c>
      <c r="E255" s="14" t="n">
        <v>0</v>
      </c>
      <c r="F255" s="17" t="n">
        <v>150</v>
      </c>
      <c r="G255" s="15" t="n">
        <v>0</v>
      </c>
      <c r="H255" s="16" t="n">
        <v>0</v>
      </c>
    </row>
    <row r="256">
      <c r="A256" t="s">
        <v>31</v>
      </c>
      <c r="B256" t="s">
        <v>1013</v>
      </c>
      <c r="C256" t="s">
        <v>1015</v>
      </c>
      <c r="D256" t="s">
        <v>611</v>
      </c>
      <c r="E256" s="14" t="n">
        <v>0</v>
      </c>
      <c r="F256" s="17" t="n">
        <v>140</v>
      </c>
      <c r="G256" s="15" t="n">
        <v>0</v>
      </c>
      <c r="H256" s="16" t="n">
        <v>0</v>
      </c>
    </row>
    <row r="257">
      <c r="A257" t="s">
        <v>31</v>
      </c>
      <c r="B257" t="s">
        <v>1016</v>
      </c>
      <c r="C257" t="s">
        <v>1017</v>
      </c>
      <c r="D257" t="s">
        <v>611</v>
      </c>
      <c r="E257" s="14" t="n">
        <v>0.25</v>
      </c>
      <c r="F257" s="17" t="n">
        <v>148</v>
      </c>
      <c r="G257" s="15" t="n">
        <v>0.109592786697269</v>
      </c>
      <c r="H257" s="16" t="n">
        <v>-0.224698511574792</v>
      </c>
    </row>
    <row r="258">
      <c r="A258" t="s">
        <v>31</v>
      </c>
      <c r="B258" t="s">
        <v>1016</v>
      </c>
      <c r="C258" t="s">
        <v>1018</v>
      </c>
      <c r="D258" t="s">
        <v>611</v>
      </c>
      <c r="E258" s="14" t="n">
        <v>0.25</v>
      </c>
      <c r="F258" s="17" t="n">
        <v>76</v>
      </c>
      <c r="G258" s="15" t="n">
        <v>-0.220736898214732</v>
      </c>
      <c r="H258" s="16" t="n">
        <v>0.117367890696473</v>
      </c>
    </row>
    <row r="259">
      <c r="A259" t="s">
        <v>31</v>
      </c>
      <c r="B259" t="s">
        <v>1019</v>
      </c>
      <c r="C259" t="s">
        <v>1020</v>
      </c>
      <c r="D259" t="s">
        <v>611</v>
      </c>
      <c r="E259" s="14" t="n">
        <v>0.25</v>
      </c>
      <c r="F259" s="17" t="n">
        <v>57</v>
      </c>
      <c r="G259" s="15" t="n">
        <v>-0.10168416076895</v>
      </c>
      <c r="H259" s="16" t="n">
        <v>0.22838636441065</v>
      </c>
    </row>
    <row r="260">
      <c r="A260" t="s">
        <v>31</v>
      </c>
      <c r="B260" t="s">
        <v>1021</v>
      </c>
      <c r="C260" t="s">
        <v>1022</v>
      </c>
      <c r="D260" t="s">
        <v>611</v>
      </c>
      <c r="E260" s="14" t="n">
        <v>0.25</v>
      </c>
      <c r="F260" s="17" t="n">
        <v>9</v>
      </c>
      <c r="G260" s="15" t="n">
        <v>0.237764129073788</v>
      </c>
      <c r="H260" s="16" t="n">
        <v>0.0772542485937368</v>
      </c>
    </row>
    <row r="261">
      <c r="A261" t="s">
        <v>31</v>
      </c>
      <c r="B261" t="s">
        <v>1021</v>
      </c>
      <c r="C261" t="s">
        <v>1023</v>
      </c>
      <c r="D261" t="s">
        <v>611</v>
      </c>
      <c r="E261" s="14" t="n">
        <v>0.5</v>
      </c>
      <c r="F261" s="17" t="n">
        <v>126</v>
      </c>
      <c r="G261" s="15" t="n">
        <v>-0.154508497187474</v>
      </c>
      <c r="H261" s="16" t="n">
        <v>-0.475528258147577</v>
      </c>
    </row>
    <row r="262">
      <c r="A262" t="s">
        <v>30</v>
      </c>
      <c r="B262" t="s">
        <v>1024</v>
      </c>
      <c r="C262" t="s">
        <v>1025</v>
      </c>
      <c r="D262" t="s">
        <v>611</v>
      </c>
      <c r="E262" s="14" t="n">
        <v>0.5</v>
      </c>
      <c r="F262" s="17" t="n">
        <v>119</v>
      </c>
      <c r="G262" s="15" t="n">
        <v>-0.264959632116603</v>
      </c>
      <c r="H262" s="16" t="n">
        <v>-0.424024048078213</v>
      </c>
    </row>
    <row r="263">
      <c r="A263" t="s">
        <v>30</v>
      </c>
      <c r="B263" t="s">
        <v>1024</v>
      </c>
      <c r="C263" t="s">
        <v>1026</v>
      </c>
      <c r="D263" t="s">
        <v>611</v>
      </c>
      <c r="E263" s="14" t="n">
        <v>0.5</v>
      </c>
      <c r="F263" s="17" t="n">
        <v>72</v>
      </c>
      <c r="G263" s="15" t="n">
        <v>-0.404508497187474</v>
      </c>
      <c r="H263" s="16" t="n">
        <v>0.293892626146237</v>
      </c>
    </row>
    <row r="264">
      <c r="A264" t="s">
        <v>31</v>
      </c>
      <c r="B264" t="s">
        <v>1027</v>
      </c>
      <c r="C264" t="s">
        <v>1028</v>
      </c>
      <c r="D264" t="s">
        <v>611</v>
      </c>
      <c r="E264" s="14" t="n">
        <v>0.25</v>
      </c>
      <c r="F264" s="17" t="n">
        <v>65</v>
      </c>
      <c r="G264" s="15" t="n">
        <v>-0.160696902421635</v>
      </c>
      <c r="H264" s="16" t="n">
        <v>0.191511110779745</v>
      </c>
    </row>
    <row r="265">
      <c r="A265" t="s">
        <v>30</v>
      </c>
      <c r="B265" t="s">
        <v>1029</v>
      </c>
      <c r="C265" t="s">
        <v>1030</v>
      </c>
      <c r="D265" t="s">
        <v>611</v>
      </c>
      <c r="E265" s="14" t="n">
        <v>0</v>
      </c>
      <c r="F265" s="17" t="n">
        <v>139</v>
      </c>
      <c r="G265" s="15" t="n">
        <v>0</v>
      </c>
      <c r="H265" s="16" t="n">
        <v>0</v>
      </c>
    </row>
    <row r="266">
      <c r="A266" t="s">
        <v>30</v>
      </c>
      <c r="B266" t="s">
        <v>1031</v>
      </c>
      <c r="C266" t="s">
        <v>1032</v>
      </c>
      <c r="D266" t="s">
        <v>611</v>
      </c>
      <c r="E266" s="14" t="n">
        <v>0.25</v>
      </c>
      <c r="F266" s="17" t="n">
        <v>170</v>
      </c>
      <c r="G266" s="15" t="n">
        <v>0.234923155196477</v>
      </c>
      <c r="H266" s="16" t="n">
        <v>-0.0855050358314172</v>
      </c>
    </row>
    <row r="267">
      <c r="A267" t="s">
        <v>30</v>
      </c>
      <c r="B267" t="s">
        <v>1033</v>
      </c>
      <c r="C267" t="s">
        <v>1034</v>
      </c>
      <c r="D267" t="s">
        <v>611</v>
      </c>
      <c r="E267" s="14" t="n">
        <v>0.25</v>
      </c>
      <c r="F267" s="17" t="n">
        <v>80</v>
      </c>
      <c r="G267" s="15" t="n">
        <v>-0.234923155196477</v>
      </c>
      <c r="H267" s="16" t="n">
        <v>0.0855050358314172</v>
      </c>
    </row>
    <row r="268">
      <c r="A268" t="s">
        <v>30</v>
      </c>
      <c r="B268" t="s">
        <v>1033</v>
      </c>
      <c r="C268" t="s">
        <v>1035</v>
      </c>
      <c r="D268" t="s">
        <v>611</v>
      </c>
      <c r="E268" s="14" t="n">
        <v>0.25</v>
      </c>
      <c r="F268" s="17" t="n">
        <v>109</v>
      </c>
      <c r="G268" s="15" t="n">
        <v>-0.197002688401681</v>
      </c>
      <c r="H268" s="16" t="n">
        <v>-0.153915368831415</v>
      </c>
    </row>
    <row r="269">
      <c r="A269" t="s">
        <v>31</v>
      </c>
      <c r="B269" t="s">
        <v>1036</v>
      </c>
      <c r="C269" t="s">
        <v>1037</v>
      </c>
      <c r="D269" t="s">
        <v>611</v>
      </c>
      <c r="E269" s="14" t="n">
        <v>0.25</v>
      </c>
      <c r="F269" s="17" t="n">
        <v>45</v>
      </c>
      <c r="G269" s="15" t="n">
        <v>0</v>
      </c>
      <c r="H269" s="16" t="n">
        <v>0.25</v>
      </c>
    </row>
    <row r="270">
      <c r="A270" t="s">
        <v>30</v>
      </c>
      <c r="B270" t="s">
        <v>1038</v>
      </c>
      <c r="C270" t="s">
        <v>1039</v>
      </c>
      <c r="D270" t="s">
        <v>611</v>
      </c>
      <c r="E270" s="14" t="n">
        <v>0</v>
      </c>
      <c r="F270" s="17" t="n">
        <v>20</v>
      </c>
      <c r="G270" s="15" t="n">
        <v>0</v>
      </c>
      <c r="H270" s="16" t="n">
        <v>0</v>
      </c>
    </row>
    <row r="271">
      <c r="A271" t="s">
        <v>30</v>
      </c>
      <c r="B271" t="s">
        <v>1040</v>
      </c>
      <c r="C271" t="s">
        <v>1041</v>
      </c>
      <c r="D271" t="s">
        <v>611</v>
      </c>
      <c r="E271" s="14" t="n">
        <v>0</v>
      </c>
      <c r="F271" s="17" t="n">
        <v>82</v>
      </c>
      <c r="G271" s="15" t="n">
        <v>0</v>
      </c>
      <c r="H271" s="16" t="n">
        <v>0</v>
      </c>
    </row>
    <row r="272">
      <c r="A272" t="s">
        <v>32</v>
      </c>
      <c r="B272" t="s">
        <v>1042</v>
      </c>
      <c r="C272" t="s">
        <v>1043</v>
      </c>
      <c r="D272" t="s">
        <v>611</v>
      </c>
      <c r="E272" s="14" t="n">
        <v>0</v>
      </c>
      <c r="F272" s="17" t="n">
        <v>147</v>
      </c>
      <c r="G272" s="15" t="n">
        <v>0</v>
      </c>
      <c r="H272" s="16" t="n">
        <v>0</v>
      </c>
    </row>
    <row r="273">
      <c r="A273" t="s">
        <v>32</v>
      </c>
      <c r="B273" t="s">
        <v>1042</v>
      </c>
      <c r="C273" t="s">
        <v>1044</v>
      </c>
      <c r="D273" t="s">
        <v>611</v>
      </c>
      <c r="E273" s="14" t="n">
        <v>0.25</v>
      </c>
      <c r="F273" s="17" t="n">
        <v>139</v>
      </c>
      <c r="G273" s="15" t="n">
        <v>0.0347932752400164</v>
      </c>
      <c r="H273" s="16" t="n">
        <v>-0.247567017185393</v>
      </c>
    </row>
    <row r="274">
      <c r="A274" t="s">
        <v>31</v>
      </c>
      <c r="B274" t="s">
        <v>1045</v>
      </c>
      <c r="C274" t="s">
        <v>1046</v>
      </c>
      <c r="D274" t="s">
        <v>611</v>
      </c>
      <c r="E274" s="14" t="n">
        <v>0.25</v>
      </c>
      <c r="F274" s="17" t="n">
        <v>54</v>
      </c>
      <c r="G274" s="15" t="n">
        <v>-0.0772542485937368</v>
      </c>
      <c r="H274" s="16" t="n">
        <v>0.237764129073788</v>
      </c>
    </row>
    <row r="275">
      <c r="A275" t="s">
        <v>32</v>
      </c>
      <c r="B275" t="s">
        <v>1047</v>
      </c>
      <c r="C275" t="s">
        <v>1048</v>
      </c>
      <c r="D275" t="s">
        <v>611</v>
      </c>
      <c r="E275" s="14" t="n">
        <v>0.25</v>
      </c>
      <c r="F275" s="17" t="n">
        <v>160</v>
      </c>
      <c r="G275" s="15" t="n">
        <v>0.191511110779744</v>
      </c>
      <c r="H275" s="16" t="n">
        <v>-0.160696902421635</v>
      </c>
    </row>
    <row r="276">
      <c r="A276" t="s">
        <v>32</v>
      </c>
      <c r="B276" t="s">
        <v>1047</v>
      </c>
      <c r="C276" t="s">
        <v>1049</v>
      </c>
      <c r="D276" t="s">
        <v>611</v>
      </c>
      <c r="E276" s="14" t="n">
        <v>0.25</v>
      </c>
      <c r="F276" s="17" t="n">
        <v>57</v>
      </c>
      <c r="G276" s="15" t="n">
        <v>-0.10168416076895</v>
      </c>
      <c r="H276" s="16" t="n">
        <v>0.22838636441065</v>
      </c>
    </row>
    <row r="277">
      <c r="A277" t="s">
        <v>30</v>
      </c>
      <c r="B277" t="s">
        <v>1050</v>
      </c>
      <c r="C277" t="s">
        <v>1051</v>
      </c>
      <c r="D277" t="s">
        <v>611</v>
      </c>
      <c r="E277" s="14" t="n">
        <v>0.25</v>
      </c>
      <c r="F277" s="17" t="n">
        <v>65</v>
      </c>
      <c r="G277" s="15" t="n">
        <v>-0.160696902421635</v>
      </c>
      <c r="H277" s="16" t="n">
        <v>0.191511110779745</v>
      </c>
    </row>
    <row r="278">
      <c r="A278" t="s">
        <v>30</v>
      </c>
      <c r="B278" t="s">
        <v>1050</v>
      </c>
      <c r="C278" t="s">
        <v>1052</v>
      </c>
      <c r="D278" t="s">
        <v>611</v>
      </c>
      <c r="E278" s="14" t="n">
        <v>0.5</v>
      </c>
      <c r="F278" s="17" t="n">
        <v>110</v>
      </c>
      <c r="G278" s="15" t="n">
        <v>-0.383022221559489</v>
      </c>
      <c r="H278" s="16" t="n">
        <v>-0.32139380484327</v>
      </c>
    </row>
    <row r="279">
      <c r="A279" t="s">
        <v>30</v>
      </c>
      <c r="B279" t="s">
        <v>1053</v>
      </c>
      <c r="C279" t="s">
        <v>1054</v>
      </c>
      <c r="D279" t="s">
        <v>611</v>
      </c>
      <c r="E279" s="14" t="n">
        <v>0.25</v>
      </c>
      <c r="F279" s="17" t="n">
        <v>59</v>
      </c>
      <c r="G279" s="15" t="n">
        <v>-0.117367890696473</v>
      </c>
      <c r="H279" s="16" t="n">
        <v>0.220736898214732</v>
      </c>
    </row>
    <row r="280">
      <c r="A280" t="s">
        <v>30</v>
      </c>
      <c r="B280" t="s">
        <v>1053</v>
      </c>
      <c r="C280" t="s">
        <v>1055</v>
      </c>
      <c r="D280" t="s">
        <v>611</v>
      </c>
      <c r="E280" s="14" t="n">
        <v>0.25</v>
      </c>
      <c r="F280" s="17" t="n">
        <v>118</v>
      </c>
      <c r="G280" s="15" t="n">
        <v>-0.139798225867687</v>
      </c>
      <c r="H280" s="16" t="n">
        <v>-0.20725939313876</v>
      </c>
    </row>
    <row r="281">
      <c r="A281" t="s">
        <v>32</v>
      </c>
      <c r="B281" t="s">
        <v>1056</v>
      </c>
      <c r="C281" t="s">
        <v>1057</v>
      </c>
      <c r="D281" t="s">
        <v>611</v>
      </c>
      <c r="E281" s="14" t="n">
        <v>0</v>
      </c>
      <c r="F281" s="17" t="n">
        <v>7</v>
      </c>
      <c r="G281" s="15" t="n">
        <v>0</v>
      </c>
      <c r="H281" s="16" t="n">
        <v>0</v>
      </c>
    </row>
    <row r="282">
      <c r="A282" t="s">
        <v>30</v>
      </c>
      <c r="B282" t="s">
        <v>1058</v>
      </c>
      <c r="C282" t="s">
        <v>1059</v>
      </c>
      <c r="D282" t="s">
        <v>611</v>
      </c>
      <c r="E282" s="14" t="n">
        <v>0</v>
      </c>
      <c r="F282" s="17" t="n">
        <v>20</v>
      </c>
      <c r="G282" s="15" t="n">
        <v>0</v>
      </c>
      <c r="H282" s="16" t="n">
        <v>0</v>
      </c>
    </row>
    <row r="283">
      <c r="A283" t="s">
        <v>30</v>
      </c>
      <c r="B283" t="s">
        <v>1058</v>
      </c>
      <c r="C283" t="s">
        <v>1060</v>
      </c>
      <c r="D283" t="s">
        <v>611</v>
      </c>
      <c r="E283" s="14" t="n">
        <v>0</v>
      </c>
      <c r="F283" s="17" t="n">
        <v>29</v>
      </c>
      <c r="G283" s="15" t="n">
        <v>0</v>
      </c>
      <c r="H283" s="16" t="n">
        <v>0</v>
      </c>
    </row>
    <row r="284">
      <c r="A284" t="s">
        <v>31</v>
      </c>
      <c r="B284" t="s">
        <v>1061</v>
      </c>
      <c r="C284" t="s">
        <v>1062</v>
      </c>
      <c r="D284" t="s">
        <v>611</v>
      </c>
      <c r="E284" s="14" t="n">
        <v>0.25</v>
      </c>
      <c r="F284" s="17" t="n">
        <v>80</v>
      </c>
      <c r="G284" s="15" t="n">
        <v>-0.234923155196477</v>
      </c>
      <c r="H284" s="16" t="n">
        <v>0.0855050358314172</v>
      </c>
    </row>
    <row r="285">
      <c r="A285" t="s">
        <v>31</v>
      </c>
      <c r="B285" t="s">
        <v>1061</v>
      </c>
      <c r="C285" t="s">
        <v>1063</v>
      </c>
      <c r="D285" t="s">
        <v>611</v>
      </c>
      <c r="E285" s="14" t="n">
        <v>0.25</v>
      </c>
      <c r="F285" s="17" t="n">
        <v>87</v>
      </c>
      <c r="G285" s="15" t="n">
        <v>-0.248630473842068</v>
      </c>
      <c r="H285" s="16" t="n">
        <v>0.0261321158169134</v>
      </c>
    </row>
    <row r="286">
      <c r="A286" t="s">
        <v>32</v>
      </c>
      <c r="B286" t="s">
        <v>1064</v>
      </c>
      <c r="C286" t="s">
        <v>1065</v>
      </c>
      <c r="D286" t="s">
        <v>611</v>
      </c>
      <c r="E286" s="14" t="n">
        <v>0</v>
      </c>
      <c r="F286" s="17" t="n">
        <v>36</v>
      </c>
      <c r="G286" s="15" t="n">
        <v>0</v>
      </c>
      <c r="H286" s="16" t="n">
        <v>0</v>
      </c>
    </row>
    <row r="287">
      <c r="A287" t="s">
        <v>32</v>
      </c>
      <c r="B287" t="s">
        <v>1064</v>
      </c>
      <c r="C287" t="s">
        <v>1066</v>
      </c>
      <c r="D287" t="s">
        <v>611</v>
      </c>
      <c r="E287" s="14" t="n">
        <v>0.75</v>
      </c>
      <c r="F287" s="17" t="n">
        <v>52</v>
      </c>
      <c r="G287" s="15" t="n">
        <v>-0.181441421699751</v>
      </c>
      <c r="H287" s="16" t="n">
        <v>0.727721794706997</v>
      </c>
    </row>
    <row r="288">
      <c r="A288" t="s">
        <v>32</v>
      </c>
      <c r="B288" t="s">
        <v>1067</v>
      </c>
      <c r="C288" t="s">
        <v>1068</v>
      </c>
      <c r="D288" t="s">
        <v>611</v>
      </c>
      <c r="E288" s="14" t="n">
        <v>0.25</v>
      </c>
      <c r="F288" s="17" t="n">
        <v>39</v>
      </c>
      <c r="G288" s="15" t="n">
        <v>0.0519779227044398</v>
      </c>
      <c r="H288" s="16" t="n">
        <v>0.244536900183451</v>
      </c>
    </row>
    <row r="289">
      <c r="A289" t="s">
        <v>30</v>
      </c>
      <c r="B289" t="s">
        <v>1069</v>
      </c>
      <c r="C289" t="s">
        <v>1070</v>
      </c>
      <c r="D289" t="s">
        <v>611</v>
      </c>
      <c r="E289" s="14" t="n">
        <v>0</v>
      </c>
      <c r="F289" s="17" t="n">
        <v>141</v>
      </c>
      <c r="G289" s="15" t="n">
        <v>0</v>
      </c>
      <c r="H289" s="16" t="n">
        <v>0</v>
      </c>
    </row>
    <row r="290">
      <c r="A290" t="s">
        <v>30</v>
      </c>
      <c r="B290" t="s">
        <v>1069</v>
      </c>
      <c r="C290" t="s">
        <v>1071</v>
      </c>
      <c r="D290" t="s">
        <v>611</v>
      </c>
      <c r="E290" s="14" t="n">
        <v>0.25</v>
      </c>
      <c r="F290" s="17" t="n">
        <v>65</v>
      </c>
      <c r="G290" s="15" t="n">
        <v>-0.160696902421635</v>
      </c>
      <c r="H290" s="16" t="n">
        <v>0.191511110779745</v>
      </c>
    </row>
    <row r="291">
      <c r="A291" t="s">
        <v>30</v>
      </c>
      <c r="B291" t="s">
        <v>1072</v>
      </c>
      <c r="C291" t="s">
        <v>1073</v>
      </c>
      <c r="D291" t="s">
        <v>611</v>
      </c>
      <c r="E291" s="14" t="n">
        <v>0.25</v>
      </c>
      <c r="F291" s="17" t="n">
        <v>20</v>
      </c>
      <c r="G291" s="15" t="n">
        <v>0.191511110779745</v>
      </c>
      <c r="H291" s="16" t="n">
        <v>0.160696902421635</v>
      </c>
    </row>
    <row r="292">
      <c r="A292" t="s">
        <v>30</v>
      </c>
      <c r="B292" t="s">
        <v>1072</v>
      </c>
      <c r="C292" t="s">
        <v>1074</v>
      </c>
      <c r="D292" t="s">
        <v>611</v>
      </c>
      <c r="E292" s="14" t="n">
        <v>0.25</v>
      </c>
      <c r="F292" s="17" t="n">
        <v>159</v>
      </c>
      <c r="G292" s="15" t="n">
        <v>0.185786206369348</v>
      </c>
      <c r="H292" s="16" t="n">
        <v>-0.167282651589715</v>
      </c>
    </row>
    <row r="293">
      <c r="A293" t="s">
        <v>30</v>
      </c>
      <c r="B293" t="s">
        <v>1075</v>
      </c>
      <c r="C293" t="s">
        <v>1076</v>
      </c>
      <c r="D293" t="s">
        <v>611</v>
      </c>
      <c r="E293" s="14" t="n">
        <v>0.25</v>
      </c>
      <c r="F293" s="17" t="n">
        <v>96</v>
      </c>
      <c r="G293" s="15" t="n">
        <v>-0.244536900183451</v>
      </c>
      <c r="H293" s="16" t="n">
        <v>-0.0519779227044398</v>
      </c>
    </row>
    <row r="294">
      <c r="A294" t="s">
        <v>30</v>
      </c>
      <c r="B294" t="s">
        <v>1075</v>
      </c>
      <c r="C294" t="s">
        <v>1077</v>
      </c>
      <c r="D294" t="s">
        <v>611</v>
      </c>
      <c r="E294" s="14" t="n">
        <v>0.25</v>
      </c>
      <c r="F294" s="17" t="n">
        <v>169</v>
      </c>
      <c r="G294" s="15" t="n">
        <v>0.231795963641697</v>
      </c>
      <c r="H294" s="16" t="n">
        <v>-0.093651648353978</v>
      </c>
    </row>
    <row r="295">
      <c r="A295" t="s">
        <v>31</v>
      </c>
      <c r="B295" t="s">
        <v>1078</v>
      </c>
      <c r="C295" t="s">
        <v>1079</v>
      </c>
      <c r="D295" t="s">
        <v>611</v>
      </c>
      <c r="E295" s="14" t="n">
        <v>0</v>
      </c>
      <c r="F295" s="17" t="n">
        <v>0</v>
      </c>
      <c r="G295" s="15" t="n">
        <v>0</v>
      </c>
      <c r="H295" s="16" t="n">
        <v>0</v>
      </c>
    </row>
    <row r="296">
      <c r="A296" t="s">
        <v>31</v>
      </c>
      <c r="B296" t="s">
        <v>1078</v>
      </c>
      <c r="C296" t="s">
        <v>1080</v>
      </c>
      <c r="D296" t="s">
        <v>611</v>
      </c>
      <c r="E296" s="14" t="n">
        <v>0.25</v>
      </c>
      <c r="F296" s="17" t="n">
        <v>116</v>
      </c>
      <c r="G296" s="15" t="n">
        <v>-0.153915368831415</v>
      </c>
      <c r="H296" s="16" t="n">
        <v>-0.197002688401681</v>
      </c>
    </row>
    <row r="297">
      <c r="A297" t="s">
        <v>30</v>
      </c>
      <c r="B297" t="s">
        <v>1081</v>
      </c>
      <c r="C297" t="s">
        <v>1082</v>
      </c>
      <c r="D297" t="s">
        <v>611</v>
      </c>
      <c r="E297" s="14" t="n">
        <v>0.5</v>
      </c>
      <c r="F297" s="17" t="n">
        <v>98</v>
      </c>
      <c r="G297" s="15" t="n">
        <v>-0.48063084796916</v>
      </c>
      <c r="H297" s="16" t="n">
        <v>-0.137818677908499</v>
      </c>
    </row>
    <row r="298">
      <c r="A298" t="s">
        <v>30</v>
      </c>
      <c r="B298" t="s">
        <v>1081</v>
      </c>
      <c r="C298" t="s">
        <v>1083</v>
      </c>
      <c r="D298" t="s">
        <v>611</v>
      </c>
      <c r="E298" s="14" t="n">
        <v>0.25</v>
      </c>
      <c r="F298" s="17" t="n">
        <v>87</v>
      </c>
      <c r="G298" s="15" t="n">
        <v>-0.248630473842068</v>
      </c>
      <c r="H298" s="16" t="n">
        <v>0.0261321158169134</v>
      </c>
    </row>
    <row r="299">
      <c r="A299" t="s">
        <v>30</v>
      </c>
      <c r="B299" t="s">
        <v>1084</v>
      </c>
      <c r="C299" t="s">
        <v>1085</v>
      </c>
      <c r="D299" t="s">
        <v>611</v>
      </c>
      <c r="E299" s="14" t="n">
        <v>1</v>
      </c>
      <c r="F299" s="17" t="n">
        <v>32</v>
      </c>
      <c r="G299" s="15" t="n">
        <v>0.438371146789077</v>
      </c>
      <c r="H299" s="16" t="n">
        <v>0.898794046299167</v>
      </c>
    </row>
    <row r="300">
      <c r="A300" t="s">
        <v>31</v>
      </c>
      <c r="B300" t="s">
        <v>1086</v>
      </c>
      <c r="C300" t="s">
        <v>1087</v>
      </c>
      <c r="D300" t="s">
        <v>611</v>
      </c>
      <c r="E300" s="14" t="n">
        <v>0.25</v>
      </c>
      <c r="F300" s="17" t="n">
        <v>90</v>
      </c>
      <c r="G300" s="15" t="n">
        <v>-0.25</v>
      </c>
      <c r="H300" s="16" t="n">
        <v>0</v>
      </c>
    </row>
    <row r="301">
      <c r="A301" t="s">
        <v>31</v>
      </c>
      <c r="B301" t="s">
        <v>1086</v>
      </c>
      <c r="C301" t="s">
        <v>1088</v>
      </c>
      <c r="D301" t="s">
        <v>611</v>
      </c>
      <c r="E301" s="14" t="n">
        <v>0</v>
      </c>
      <c r="F301" s="17" t="n">
        <v>162</v>
      </c>
      <c r="G301" s="15" t="n">
        <v>0</v>
      </c>
      <c r="H301" s="16" t="n">
        <v>0</v>
      </c>
    </row>
    <row r="302">
      <c r="A302" t="s">
        <v>32</v>
      </c>
      <c r="B302" t="s">
        <v>1089</v>
      </c>
      <c r="C302" t="s">
        <v>1090</v>
      </c>
      <c r="D302" t="s">
        <v>611</v>
      </c>
      <c r="E302" s="14" t="n">
        <v>0.25</v>
      </c>
      <c r="F302" s="17" t="n">
        <v>73</v>
      </c>
      <c r="G302" s="15" t="n">
        <v>-0.20725939313876</v>
      </c>
      <c r="H302" s="16" t="n">
        <v>0.139798225867687</v>
      </c>
    </row>
    <row r="303">
      <c r="A303" t="s">
        <v>32</v>
      </c>
      <c r="B303" t="s">
        <v>1089</v>
      </c>
      <c r="C303" t="s">
        <v>1091</v>
      </c>
      <c r="D303" t="s">
        <v>611</v>
      </c>
      <c r="E303" s="14" t="n">
        <v>0.25</v>
      </c>
      <c r="F303" s="17" t="n">
        <v>136</v>
      </c>
      <c r="G303" s="15" t="n">
        <v>0.0087248741756251</v>
      </c>
      <c r="H303" s="16" t="n">
        <v>-0.249847706754774</v>
      </c>
    </row>
    <row r="304">
      <c r="A304" t="s">
        <v>30</v>
      </c>
      <c r="B304" t="s">
        <v>1092</v>
      </c>
      <c r="C304" t="s">
        <v>1093</v>
      </c>
      <c r="D304" t="s">
        <v>611</v>
      </c>
      <c r="E304" s="14" t="n">
        <v>0</v>
      </c>
      <c r="F304" s="17" t="n">
        <v>14</v>
      </c>
      <c r="G304" s="15" t="n">
        <v>0</v>
      </c>
      <c r="H304" s="16" t="n">
        <v>0</v>
      </c>
    </row>
    <row r="305">
      <c r="A305" t="s">
        <v>30</v>
      </c>
      <c r="B305" t="s">
        <v>1094</v>
      </c>
      <c r="C305" t="s">
        <v>1095</v>
      </c>
      <c r="D305" t="s">
        <v>611</v>
      </c>
      <c r="E305" s="14" t="n">
        <v>0.5</v>
      </c>
      <c r="F305" s="17" t="n">
        <v>84</v>
      </c>
      <c r="G305" s="15" t="n">
        <v>-0.489073800366903</v>
      </c>
      <c r="H305" s="16" t="n">
        <v>0.10395584540888</v>
      </c>
    </row>
    <row r="306">
      <c r="A306" t="s">
        <v>30</v>
      </c>
      <c r="B306" t="s">
        <v>1094</v>
      </c>
      <c r="C306" t="s">
        <v>1096</v>
      </c>
      <c r="D306" t="s">
        <v>611</v>
      </c>
      <c r="E306" s="14" t="n">
        <v>0.75</v>
      </c>
      <c r="F306" s="17" t="n">
        <v>91</v>
      </c>
      <c r="G306" s="15" t="n">
        <v>-0.749543120264322</v>
      </c>
      <c r="H306" s="16" t="n">
        <v>-0.0261746225268759</v>
      </c>
    </row>
    <row r="307">
      <c r="A307" t="s">
        <v>30</v>
      </c>
      <c r="B307" t="s">
        <v>1097</v>
      </c>
      <c r="C307" t="s">
        <v>1098</v>
      </c>
      <c r="D307" t="s">
        <v>611</v>
      </c>
      <c r="E307" s="14" t="n">
        <v>0.5</v>
      </c>
      <c r="F307" s="17" t="n">
        <v>71</v>
      </c>
      <c r="G307" s="15" t="n">
        <v>-0.394005376803361</v>
      </c>
      <c r="H307" s="16" t="n">
        <v>0.307830737662829</v>
      </c>
    </row>
    <row r="308">
      <c r="A308" t="s">
        <v>31</v>
      </c>
      <c r="B308" t="s">
        <v>1099</v>
      </c>
      <c r="C308" t="s">
        <v>1100</v>
      </c>
      <c r="D308" t="s">
        <v>611</v>
      </c>
      <c r="E308" s="14" t="n">
        <v>0.25</v>
      </c>
      <c r="F308" s="17" t="n">
        <v>119</v>
      </c>
      <c r="G308" s="15" t="n">
        <v>-0.132479816058301</v>
      </c>
      <c r="H308" s="16" t="n">
        <v>-0.212012024039107</v>
      </c>
    </row>
    <row r="309">
      <c r="A309" t="s">
        <v>32</v>
      </c>
      <c r="B309" t="s">
        <v>1101</v>
      </c>
      <c r="C309" t="s">
        <v>1102</v>
      </c>
      <c r="D309" t="s">
        <v>611</v>
      </c>
      <c r="E309" s="14" t="n">
        <v>0.25</v>
      </c>
      <c r="F309" s="17" t="n">
        <v>142</v>
      </c>
      <c r="G309" s="15" t="n">
        <v>0.0604804738999169</v>
      </c>
      <c r="H309" s="16" t="n">
        <v>-0.242573931568999</v>
      </c>
    </row>
    <row r="310">
      <c r="A310" t="s">
        <v>32</v>
      </c>
      <c r="B310" t="s">
        <v>1101</v>
      </c>
      <c r="C310" t="s">
        <v>1103</v>
      </c>
      <c r="D310" t="s">
        <v>611</v>
      </c>
      <c r="E310" s="14" t="n">
        <v>0.25</v>
      </c>
      <c r="F310" s="17" t="n">
        <v>92</v>
      </c>
      <c r="G310" s="15" t="n">
        <v>-0.249391012564956</v>
      </c>
      <c r="H310" s="16" t="n">
        <v>-0.0174391184360313</v>
      </c>
    </row>
    <row r="311">
      <c r="A311" t="s">
        <v>30</v>
      </c>
      <c r="B311" t="s">
        <v>1104</v>
      </c>
      <c r="C311" t="s">
        <v>1105</v>
      </c>
      <c r="D311" t="s">
        <v>611</v>
      </c>
      <c r="E311" s="14" t="n">
        <v>1.5</v>
      </c>
      <c r="F311" s="17" t="n">
        <v>145</v>
      </c>
      <c r="G311" s="15" t="n">
        <v>0.513030214988504</v>
      </c>
      <c r="H311" s="16" t="n">
        <v>-1.40953893117886</v>
      </c>
    </row>
    <row r="312">
      <c r="A312" t="s">
        <v>30</v>
      </c>
      <c r="B312" t="s">
        <v>1104</v>
      </c>
      <c r="C312" t="s">
        <v>1106</v>
      </c>
      <c r="D312" t="s">
        <v>611</v>
      </c>
      <c r="E312" s="14" t="n">
        <v>0.5</v>
      </c>
      <c r="F312" s="17" t="n">
        <v>167</v>
      </c>
      <c r="G312" s="15" t="n">
        <v>0.449397023149583</v>
      </c>
      <c r="H312" s="16" t="n">
        <v>-0.219185573394539</v>
      </c>
    </row>
    <row r="313">
      <c r="A313" t="s">
        <v>31</v>
      </c>
      <c r="B313" t="s">
        <v>1107</v>
      </c>
      <c r="C313" t="s">
        <v>1108</v>
      </c>
      <c r="D313" t="s">
        <v>611</v>
      </c>
      <c r="E313" s="14" t="n">
        <v>0.25</v>
      </c>
      <c r="F313" s="17" t="n">
        <v>133</v>
      </c>
      <c r="G313" s="15" t="n">
        <v>-0.0174391184360314</v>
      </c>
      <c r="H313" s="16" t="n">
        <v>-0.249391012564956</v>
      </c>
    </row>
    <row r="314">
      <c r="A314" t="s">
        <v>32</v>
      </c>
      <c r="B314" t="s">
        <v>1109</v>
      </c>
      <c r="C314" t="s">
        <v>1110</v>
      </c>
      <c r="D314" t="s">
        <v>611</v>
      </c>
      <c r="E314" s="14" t="n">
        <v>0.25</v>
      </c>
      <c r="F314" s="17" t="n">
        <v>9</v>
      </c>
      <c r="G314" s="15" t="n">
        <v>0.237764129073788</v>
      </c>
      <c r="H314" s="16" t="n">
        <v>0.0772542485937368</v>
      </c>
    </row>
    <row r="315">
      <c r="A315" t="s">
        <v>31</v>
      </c>
      <c r="B315" t="s">
        <v>1111</v>
      </c>
      <c r="C315" t="s">
        <v>1112</v>
      </c>
      <c r="D315" t="s">
        <v>611</v>
      </c>
      <c r="E315" s="14" t="n">
        <v>0.25</v>
      </c>
      <c r="F315" s="17" t="n">
        <v>63</v>
      </c>
      <c r="G315" s="15" t="n">
        <v>-0.146946313073118</v>
      </c>
      <c r="H315" s="16" t="n">
        <v>0.202254248593737</v>
      </c>
    </row>
    <row r="316">
      <c r="A316" t="s">
        <v>31</v>
      </c>
      <c r="B316" t="s">
        <v>1111</v>
      </c>
      <c r="C316" t="s">
        <v>1113</v>
      </c>
      <c r="D316" t="s">
        <v>611</v>
      </c>
      <c r="E316" s="14" t="n">
        <v>0.25</v>
      </c>
      <c r="F316" s="17" t="n">
        <v>72</v>
      </c>
      <c r="G316" s="15" t="n">
        <v>-0.202254248593737</v>
      </c>
      <c r="H316" s="16" t="n">
        <v>0.146946313073118</v>
      </c>
    </row>
    <row r="317">
      <c r="A317" t="s">
        <v>31</v>
      </c>
      <c r="B317" t="s">
        <v>1114</v>
      </c>
      <c r="C317" t="s">
        <v>1115</v>
      </c>
      <c r="D317" t="s">
        <v>611</v>
      </c>
      <c r="E317" s="14" t="n">
        <v>0.5</v>
      </c>
      <c r="F317" s="17" t="n">
        <v>15</v>
      </c>
      <c r="G317" s="15" t="n">
        <v>0.433012701892219</v>
      </c>
      <c r="H317" s="16" t="n">
        <v>0.25</v>
      </c>
    </row>
    <row r="318">
      <c r="A318" t="s">
        <v>31</v>
      </c>
      <c r="B318" t="s">
        <v>1114</v>
      </c>
      <c r="C318" t="s">
        <v>1116</v>
      </c>
      <c r="D318" t="s">
        <v>611</v>
      </c>
      <c r="E318" s="14" t="n">
        <v>0.25</v>
      </c>
      <c r="F318" s="17" t="n">
        <v>148</v>
      </c>
      <c r="G318" s="15" t="n">
        <v>0.109592786697269</v>
      </c>
      <c r="H318" s="16" t="n">
        <v>-0.224698511574792</v>
      </c>
    </row>
    <row r="319">
      <c r="A319" t="s">
        <v>32</v>
      </c>
      <c r="B319" t="s">
        <v>1117</v>
      </c>
      <c r="C319" t="s">
        <v>1118</v>
      </c>
      <c r="D319" t="s">
        <v>611</v>
      </c>
      <c r="E319" s="14" t="n">
        <v>0.25</v>
      </c>
      <c r="F319" s="17" t="n">
        <v>171</v>
      </c>
      <c r="G319" s="15" t="n">
        <v>0.237764129073788</v>
      </c>
      <c r="H319" s="16" t="n">
        <v>-0.0772542485937369</v>
      </c>
    </row>
    <row r="320">
      <c r="A320" t="s">
        <v>30</v>
      </c>
      <c r="B320" t="s">
        <v>1119</v>
      </c>
      <c r="C320" t="s">
        <v>1120</v>
      </c>
      <c r="D320" t="s">
        <v>611</v>
      </c>
      <c r="E320" s="14" t="n">
        <v>0.75</v>
      </c>
      <c r="F320" s="17" t="n">
        <v>150</v>
      </c>
      <c r="G320" s="15" t="n">
        <v>0.375</v>
      </c>
      <c r="H320" s="16" t="n">
        <v>-0.649519052838329</v>
      </c>
    </row>
    <row r="321">
      <c r="A321" t="s">
        <v>30</v>
      </c>
      <c r="B321" t="s">
        <v>1119</v>
      </c>
      <c r="C321" t="s">
        <v>1121</v>
      </c>
      <c r="D321" t="s">
        <v>611</v>
      </c>
      <c r="E321" s="14" t="n">
        <v>0.25</v>
      </c>
      <c r="F321" s="17" t="n">
        <v>168</v>
      </c>
      <c r="G321" s="15" t="n">
        <v>0.22838636441065</v>
      </c>
      <c r="H321" s="16" t="n">
        <v>-0.10168416076895</v>
      </c>
    </row>
    <row r="322">
      <c r="A322" t="s">
        <v>30</v>
      </c>
      <c r="B322" t="s">
        <v>1122</v>
      </c>
      <c r="C322" t="s">
        <v>1123</v>
      </c>
      <c r="D322" t="s">
        <v>611</v>
      </c>
      <c r="E322" s="14" t="n">
        <v>0.25</v>
      </c>
      <c r="F322" s="17" t="n">
        <v>166</v>
      </c>
      <c r="G322" s="15" t="n">
        <v>0.220736898214732</v>
      </c>
      <c r="H322" s="16" t="n">
        <v>-0.117367890696473</v>
      </c>
    </row>
    <row r="323">
      <c r="A323" t="s">
        <v>31</v>
      </c>
      <c r="B323" t="s">
        <v>1124</v>
      </c>
      <c r="C323" t="s">
        <v>1125</v>
      </c>
      <c r="D323" t="s">
        <v>611</v>
      </c>
      <c r="E323" s="14" t="n">
        <v>0</v>
      </c>
      <c r="F323" s="17" t="n">
        <v>154</v>
      </c>
      <c r="G323" s="15" t="n">
        <v>0</v>
      </c>
      <c r="H323" s="16" t="n">
        <v>0</v>
      </c>
    </row>
    <row r="324">
      <c r="A324" t="s">
        <v>30</v>
      </c>
      <c r="B324" t="s">
        <v>1126</v>
      </c>
      <c r="C324" t="s">
        <v>1127</v>
      </c>
      <c r="D324" t="s">
        <v>611</v>
      </c>
      <c r="E324" s="14" t="n">
        <v>0</v>
      </c>
      <c r="F324" s="17" t="n">
        <v>137</v>
      </c>
      <c r="G324" s="15" t="n">
        <v>0</v>
      </c>
      <c r="H324" s="16" t="n">
        <v>0</v>
      </c>
    </row>
    <row r="325">
      <c r="A325" t="s">
        <v>30</v>
      </c>
      <c r="B325" t="s">
        <v>1126</v>
      </c>
      <c r="C325" t="s">
        <v>1128</v>
      </c>
      <c r="D325" t="s">
        <v>611</v>
      </c>
      <c r="E325" s="14" t="n">
        <v>0</v>
      </c>
      <c r="F325" s="17" t="n">
        <v>31</v>
      </c>
      <c r="G325" s="15" t="n">
        <v>0</v>
      </c>
      <c r="H325" s="16" t="n">
        <v>0</v>
      </c>
    </row>
    <row r="326">
      <c r="A326" t="s">
        <v>31</v>
      </c>
      <c r="B326" t="s">
        <v>1129</v>
      </c>
      <c r="C326" t="s">
        <v>1130</v>
      </c>
      <c r="D326" t="s">
        <v>611</v>
      </c>
      <c r="E326" s="14" t="n">
        <v>0.25</v>
      </c>
      <c r="F326" s="17" t="n">
        <v>152</v>
      </c>
      <c r="G326" s="15" t="n">
        <v>0.139798225867687</v>
      </c>
      <c r="H326" s="16" t="n">
        <v>-0.20725939313876</v>
      </c>
    </row>
    <row r="327">
      <c r="A327" t="s">
        <v>31</v>
      </c>
      <c r="B327" t="s">
        <v>1129</v>
      </c>
      <c r="C327" t="s">
        <v>1131</v>
      </c>
      <c r="D327" t="s">
        <v>611</v>
      </c>
      <c r="E327" s="14" t="n">
        <v>0</v>
      </c>
      <c r="F327" s="17" t="n">
        <v>142</v>
      </c>
      <c r="G327" s="15" t="n">
        <v>0</v>
      </c>
      <c r="H327" s="16" t="n">
        <v>0</v>
      </c>
    </row>
    <row r="328">
      <c r="A328" t="s">
        <v>31</v>
      </c>
      <c r="B328" t="s">
        <v>1132</v>
      </c>
      <c r="C328" t="s">
        <v>1133</v>
      </c>
      <c r="D328" t="s">
        <v>611</v>
      </c>
      <c r="E328" s="14" t="n">
        <v>0.25</v>
      </c>
      <c r="F328" s="17" t="n">
        <v>9</v>
      </c>
      <c r="G328" s="15" t="n">
        <v>0.237764129073788</v>
      </c>
      <c r="H328" s="16" t="n">
        <v>0.0772542485937368</v>
      </c>
    </row>
    <row r="329">
      <c r="A329" t="s">
        <v>31</v>
      </c>
      <c r="B329" t="s">
        <v>1132</v>
      </c>
      <c r="C329" t="s">
        <v>1134</v>
      </c>
      <c r="D329" t="s">
        <v>611</v>
      </c>
      <c r="E329" s="14" t="n">
        <v>0.25</v>
      </c>
      <c r="F329" s="17" t="n">
        <v>157</v>
      </c>
      <c r="G329" s="15" t="n">
        <v>0.173664592614749</v>
      </c>
      <c r="H329" s="16" t="n">
        <v>-0.179834950084663</v>
      </c>
    </row>
    <row r="330">
      <c r="A330" t="s">
        <v>31</v>
      </c>
      <c r="B330" t="s">
        <v>1135</v>
      </c>
      <c r="C330" t="s">
        <v>1136</v>
      </c>
      <c r="D330" t="s">
        <v>611</v>
      </c>
      <c r="E330" s="14" t="n">
        <v>0</v>
      </c>
      <c r="F330" s="17" t="n">
        <v>10</v>
      </c>
      <c r="G330" s="15" t="n">
        <v>0</v>
      </c>
      <c r="H330" s="16" t="n">
        <v>0</v>
      </c>
    </row>
    <row r="331">
      <c r="A331" t="s">
        <v>31</v>
      </c>
      <c r="B331" t="s">
        <v>1135</v>
      </c>
      <c r="C331" t="s">
        <v>1137</v>
      </c>
      <c r="D331" t="s">
        <v>611</v>
      </c>
      <c r="E331" s="14" t="n">
        <v>0.25</v>
      </c>
      <c r="F331" s="17" t="n">
        <v>92</v>
      </c>
      <c r="G331" s="15" t="n">
        <v>-0.249391012564956</v>
      </c>
      <c r="H331" s="16" t="n">
        <v>-0.0174391184360313</v>
      </c>
    </row>
    <row r="332">
      <c r="A332" t="s">
        <v>32</v>
      </c>
      <c r="B332" t="s">
        <v>1138</v>
      </c>
      <c r="C332" t="s">
        <v>1139</v>
      </c>
      <c r="D332" t="s">
        <v>611</v>
      </c>
      <c r="E332" s="14" t="n">
        <v>0</v>
      </c>
      <c r="F332" s="17" t="n">
        <v>145</v>
      </c>
      <c r="G332" s="15" t="n">
        <v>0</v>
      </c>
      <c r="H332" s="16" t="n">
        <v>0</v>
      </c>
    </row>
    <row r="333">
      <c r="A333" t="s">
        <v>32</v>
      </c>
      <c r="B333" t="s">
        <v>1138</v>
      </c>
      <c r="C333" t="s">
        <v>1140</v>
      </c>
      <c r="D333" t="s">
        <v>611</v>
      </c>
      <c r="E333" s="14" t="n">
        <v>0</v>
      </c>
      <c r="F333" s="17" t="n">
        <v>119</v>
      </c>
      <c r="G333" s="15" t="n">
        <v>0</v>
      </c>
      <c r="H333" s="16" t="n">
        <v>0</v>
      </c>
    </row>
    <row r="334">
      <c r="A334" t="s">
        <v>31</v>
      </c>
      <c r="B334" t="s">
        <v>1141</v>
      </c>
      <c r="C334" t="s">
        <v>1142</v>
      </c>
      <c r="D334" t="s">
        <v>611</v>
      </c>
      <c r="E334" s="14" t="n">
        <v>0</v>
      </c>
      <c r="F334" s="17" t="n">
        <v>166</v>
      </c>
      <c r="G334" s="15" t="n">
        <v>0</v>
      </c>
      <c r="H334" s="16" t="n">
        <v>0</v>
      </c>
    </row>
    <row r="335">
      <c r="A335" t="s">
        <v>31</v>
      </c>
      <c r="B335" t="s">
        <v>1141</v>
      </c>
      <c r="C335" t="s">
        <v>1143</v>
      </c>
      <c r="D335" t="s">
        <v>611</v>
      </c>
      <c r="E335" s="14" t="n">
        <v>0.25</v>
      </c>
      <c r="F335" s="17" t="n">
        <v>141</v>
      </c>
      <c r="G335" s="15" t="n">
        <v>0.0519779227044399</v>
      </c>
      <c r="H335" s="16" t="n">
        <v>-0.244536900183451</v>
      </c>
    </row>
    <row r="336">
      <c r="A336" t="s">
        <v>31</v>
      </c>
      <c r="B336" t="s">
        <v>1144</v>
      </c>
      <c r="C336" t="s">
        <v>1145</v>
      </c>
      <c r="D336" t="s">
        <v>611</v>
      </c>
      <c r="E336" s="14" t="n">
        <v>0.25</v>
      </c>
      <c r="F336" s="17" t="n">
        <v>92</v>
      </c>
      <c r="G336" s="15" t="n">
        <v>-0.249391012564956</v>
      </c>
      <c r="H336" s="16" t="n">
        <v>-0.0174391184360313</v>
      </c>
    </row>
    <row r="337">
      <c r="A337" t="s">
        <v>31</v>
      </c>
      <c r="B337" t="s">
        <v>1144</v>
      </c>
      <c r="C337" t="s">
        <v>1146</v>
      </c>
      <c r="D337" t="s">
        <v>611</v>
      </c>
      <c r="E337" s="14" t="n">
        <v>0.25</v>
      </c>
      <c r="F337" s="17" t="n">
        <v>154</v>
      </c>
      <c r="G337" s="15" t="n">
        <v>0.153915368831414</v>
      </c>
      <c r="H337" s="16" t="n">
        <v>-0.197002688401681</v>
      </c>
    </row>
    <row r="338">
      <c r="A338" t="s">
        <v>30</v>
      </c>
      <c r="B338" t="s">
        <v>1147</v>
      </c>
      <c r="C338" t="s">
        <v>1148</v>
      </c>
      <c r="D338" t="s">
        <v>611</v>
      </c>
      <c r="E338" s="14" t="n">
        <v>0.5</v>
      </c>
      <c r="F338" s="17" t="n">
        <v>69</v>
      </c>
      <c r="G338" s="15" t="n">
        <v>-0.371572412738697</v>
      </c>
      <c r="H338" s="16" t="n">
        <v>0.334565303179429</v>
      </c>
    </row>
    <row r="339">
      <c r="A339" t="s">
        <v>30</v>
      </c>
      <c r="B339" t="s">
        <v>1147</v>
      </c>
      <c r="C339" t="s">
        <v>1149</v>
      </c>
      <c r="D339" t="s">
        <v>611</v>
      </c>
      <c r="E339" s="14" t="n">
        <v>0.25</v>
      </c>
      <c r="F339" s="17" t="n">
        <v>70</v>
      </c>
      <c r="G339" s="15" t="n">
        <v>-0.191511110779744</v>
      </c>
      <c r="H339" s="16" t="n">
        <v>0.160696902421635</v>
      </c>
    </row>
    <row r="340">
      <c r="A340" t="s">
        <v>31</v>
      </c>
      <c r="B340" t="s">
        <v>1150</v>
      </c>
      <c r="C340" t="s">
        <v>1151</v>
      </c>
      <c r="D340" t="s">
        <v>611</v>
      </c>
      <c r="E340" s="14" t="n">
        <v>0</v>
      </c>
      <c r="F340" s="17" t="n">
        <v>62</v>
      </c>
      <c r="G340" s="15" t="n">
        <v>0</v>
      </c>
      <c r="H340" s="16" t="n">
        <v>0</v>
      </c>
    </row>
    <row r="341">
      <c r="A341" t="s">
        <v>30</v>
      </c>
      <c r="B341" t="s">
        <v>1152</v>
      </c>
      <c r="C341" t="s">
        <v>1153</v>
      </c>
      <c r="D341" t="s">
        <v>611</v>
      </c>
      <c r="E341" s="14" t="n">
        <v>0.25</v>
      </c>
      <c r="F341" s="17" t="n">
        <v>32</v>
      </c>
      <c r="G341" s="15" t="n">
        <v>0.109592786697269</v>
      </c>
      <c r="H341" s="16" t="n">
        <v>0.224698511574792</v>
      </c>
    </row>
    <row r="342">
      <c r="A342" t="s">
        <v>30</v>
      </c>
      <c r="B342" t="s">
        <v>1152</v>
      </c>
      <c r="C342" t="s">
        <v>1154</v>
      </c>
      <c r="D342" t="s">
        <v>611</v>
      </c>
      <c r="E342" s="14" t="n">
        <v>0.25</v>
      </c>
      <c r="F342" s="17" t="n">
        <v>168</v>
      </c>
      <c r="G342" s="15" t="n">
        <v>0.22838636441065</v>
      </c>
      <c r="H342" s="16" t="n">
        <v>-0.10168416076895</v>
      </c>
    </row>
    <row r="343">
      <c r="A343" t="s">
        <v>30</v>
      </c>
      <c r="B343" t="s">
        <v>1155</v>
      </c>
      <c r="C343" t="s">
        <v>1156</v>
      </c>
      <c r="D343" t="s">
        <v>611</v>
      </c>
      <c r="E343" s="14" t="n">
        <v>0.5</v>
      </c>
      <c r="F343" s="17" t="n">
        <v>129</v>
      </c>
      <c r="G343" s="15" t="n">
        <v>-0.10395584540888</v>
      </c>
      <c r="H343" s="16" t="n">
        <v>-0.489073800366903</v>
      </c>
    </row>
    <row r="344">
      <c r="A344" t="s">
        <v>31</v>
      </c>
      <c r="B344" t="s">
        <v>1157</v>
      </c>
      <c r="C344" t="s">
        <v>1158</v>
      </c>
      <c r="D344" t="s">
        <v>611</v>
      </c>
      <c r="E344" s="14" t="n">
        <v>0.25</v>
      </c>
      <c r="F344" s="17" t="n">
        <v>165</v>
      </c>
      <c r="G344" s="15" t="n">
        <v>0.21650635094611</v>
      </c>
      <c r="H344" s="16" t="n">
        <v>-0.125</v>
      </c>
    </row>
    <row r="345">
      <c r="A345" t="s">
        <v>31</v>
      </c>
      <c r="B345" t="s">
        <v>1157</v>
      </c>
      <c r="C345" t="s">
        <v>1159</v>
      </c>
      <c r="D345" t="s">
        <v>611</v>
      </c>
      <c r="E345" s="14" t="n">
        <v>0.25</v>
      </c>
      <c r="F345" s="17" t="n">
        <v>30</v>
      </c>
      <c r="G345" s="15" t="n">
        <v>0.125</v>
      </c>
      <c r="H345" s="16" t="n">
        <v>0.21650635094611</v>
      </c>
    </row>
    <row r="346">
      <c r="A346" t="s">
        <v>32</v>
      </c>
      <c r="B346" t="s">
        <v>1160</v>
      </c>
      <c r="C346" t="s">
        <v>1161</v>
      </c>
      <c r="D346" t="s">
        <v>611</v>
      </c>
      <c r="E346" s="14" t="n">
        <v>0.25</v>
      </c>
      <c r="F346" s="17" t="n">
        <v>164</v>
      </c>
      <c r="G346" s="15" t="n">
        <v>0.212012024039106</v>
      </c>
      <c r="H346" s="16" t="n">
        <v>-0.132479816058301</v>
      </c>
    </row>
    <row r="347">
      <c r="A347" t="s">
        <v>32</v>
      </c>
      <c r="B347" t="s">
        <v>1160</v>
      </c>
      <c r="C347" t="s">
        <v>1162</v>
      </c>
      <c r="D347" t="s">
        <v>611</v>
      </c>
      <c r="E347" s="14" t="n">
        <v>0.25</v>
      </c>
      <c r="F347" s="17" t="n">
        <v>45</v>
      </c>
      <c r="G347" s="15" t="n">
        <v>0</v>
      </c>
      <c r="H347" s="16" t="n">
        <v>0.25</v>
      </c>
    </row>
    <row r="348">
      <c r="A348" t="s">
        <v>30</v>
      </c>
      <c r="B348" t="s">
        <v>1163</v>
      </c>
      <c r="C348" t="s">
        <v>1164</v>
      </c>
      <c r="D348" t="s">
        <v>611</v>
      </c>
      <c r="E348" s="14" t="n">
        <v>0.25</v>
      </c>
      <c r="F348" s="17" t="n">
        <v>124</v>
      </c>
      <c r="G348" s="15" t="n">
        <v>-0.0936516483539781</v>
      </c>
      <c r="H348" s="16" t="n">
        <v>-0.231795963641697</v>
      </c>
    </row>
    <row r="349">
      <c r="A349" t="s">
        <v>31</v>
      </c>
      <c r="B349" t="s">
        <v>1165</v>
      </c>
      <c r="C349" t="s">
        <v>1166</v>
      </c>
      <c r="D349" t="s">
        <v>611</v>
      </c>
      <c r="E349" s="14" t="n">
        <v>0.25</v>
      </c>
      <c r="F349" s="17" t="n">
        <v>17</v>
      </c>
      <c r="G349" s="15" t="n">
        <v>0.20725939313876</v>
      </c>
      <c r="H349" s="16" t="n">
        <v>0.139798225867687</v>
      </c>
    </row>
    <row r="350">
      <c r="A350" t="s">
        <v>30</v>
      </c>
      <c r="B350" t="s">
        <v>1167</v>
      </c>
      <c r="C350" t="s">
        <v>1168</v>
      </c>
      <c r="D350" t="s">
        <v>611</v>
      </c>
      <c r="E350" s="14" t="n">
        <v>0</v>
      </c>
      <c r="F350" s="17" t="n">
        <v>138</v>
      </c>
      <c r="G350" s="15" t="n">
        <v>0</v>
      </c>
      <c r="H350" s="16" t="n">
        <v>0</v>
      </c>
    </row>
    <row r="351">
      <c r="A351" t="s">
        <v>30</v>
      </c>
      <c r="B351" t="s">
        <v>1167</v>
      </c>
      <c r="C351" t="s">
        <v>1169</v>
      </c>
      <c r="D351" t="s">
        <v>611</v>
      </c>
      <c r="E351" s="14" t="n">
        <v>0.25</v>
      </c>
      <c r="F351" s="17" t="n">
        <v>121</v>
      </c>
      <c r="G351" s="15" t="n">
        <v>-0.117367890696473</v>
      </c>
      <c r="H351" s="16" t="n">
        <v>-0.220736898214732</v>
      </c>
    </row>
    <row r="352">
      <c r="A352" t="s">
        <v>31</v>
      </c>
      <c r="B352" t="s">
        <v>1170</v>
      </c>
      <c r="C352" t="s">
        <v>1171</v>
      </c>
      <c r="D352" t="s">
        <v>611</v>
      </c>
      <c r="E352" s="14" t="n">
        <v>0.25</v>
      </c>
      <c r="F352" s="17" t="n">
        <v>97</v>
      </c>
      <c r="G352" s="15" t="n">
        <v>-0.242573931568999</v>
      </c>
      <c r="H352" s="16" t="n">
        <v>-0.0604804738999169</v>
      </c>
    </row>
    <row r="353">
      <c r="A353" t="s">
        <v>31</v>
      </c>
      <c r="B353" t="s">
        <v>1170</v>
      </c>
      <c r="C353" t="s">
        <v>1172</v>
      </c>
      <c r="D353" t="s">
        <v>611</v>
      </c>
      <c r="E353" s="14" t="n">
        <v>0.25</v>
      </c>
      <c r="F353" s="17" t="n">
        <v>86</v>
      </c>
      <c r="G353" s="15" t="n">
        <v>-0.247567017185393</v>
      </c>
      <c r="H353" s="16" t="n">
        <v>0.0347932752400163</v>
      </c>
    </row>
    <row r="354">
      <c r="A354" t="s">
        <v>31</v>
      </c>
      <c r="B354" t="s">
        <v>1173</v>
      </c>
      <c r="C354" t="s">
        <v>1174</v>
      </c>
      <c r="D354" t="s">
        <v>611</v>
      </c>
      <c r="E354" s="14" t="n">
        <v>0.25</v>
      </c>
      <c r="F354" s="17" t="n">
        <v>42</v>
      </c>
      <c r="G354" s="15" t="n">
        <v>0.0261321158169134</v>
      </c>
      <c r="H354" s="16" t="n">
        <v>0.248630473842068</v>
      </c>
    </row>
    <row r="355">
      <c r="A355" t="s">
        <v>31</v>
      </c>
      <c r="B355" t="s">
        <v>1173</v>
      </c>
      <c r="C355" t="s">
        <v>1175</v>
      </c>
      <c r="D355" t="s">
        <v>611</v>
      </c>
      <c r="E355" s="14" t="n">
        <v>0.25</v>
      </c>
      <c r="F355" s="17" t="n">
        <v>121</v>
      </c>
      <c r="G355" s="15" t="n">
        <v>-0.117367890696473</v>
      </c>
      <c r="H355" s="16" t="n">
        <v>-0.220736898214732</v>
      </c>
    </row>
    <row r="356">
      <c r="A356" t="s">
        <v>31</v>
      </c>
      <c r="B356" t="s">
        <v>1176</v>
      </c>
      <c r="C356" t="s">
        <v>1177</v>
      </c>
      <c r="D356" t="s">
        <v>611</v>
      </c>
      <c r="E356" s="14" t="n">
        <v>0.25</v>
      </c>
      <c r="F356" s="17" t="n">
        <v>21</v>
      </c>
      <c r="G356" s="15" t="n">
        <v>0.185786206369349</v>
      </c>
      <c r="H356" s="16" t="n">
        <v>0.167282651589715</v>
      </c>
    </row>
    <row r="357">
      <c r="A357" t="s">
        <v>31</v>
      </c>
      <c r="B357" t="s">
        <v>1176</v>
      </c>
      <c r="C357" t="s">
        <v>1178</v>
      </c>
      <c r="D357" t="s">
        <v>611</v>
      </c>
      <c r="E357" s="14" t="n">
        <v>0.25</v>
      </c>
      <c r="F357" s="17" t="n">
        <v>173</v>
      </c>
      <c r="G357" s="15" t="n">
        <v>0.242573931568999</v>
      </c>
      <c r="H357" s="16" t="n">
        <v>-0.0604804738999169</v>
      </c>
    </row>
    <row r="358">
      <c r="A358" t="s">
        <v>31</v>
      </c>
      <c r="B358" t="s">
        <v>1179</v>
      </c>
      <c r="C358" t="s">
        <v>1180</v>
      </c>
      <c r="D358" t="s">
        <v>611</v>
      </c>
      <c r="E358" s="14" t="n">
        <v>0.75</v>
      </c>
      <c r="F358" s="17" t="n">
        <v>58</v>
      </c>
      <c r="G358" s="15" t="n">
        <v>-0.328778360091808</v>
      </c>
      <c r="H358" s="16" t="n">
        <v>0.674095534724375</v>
      </c>
    </row>
    <row r="359">
      <c r="A359" t="s">
        <v>31</v>
      </c>
      <c r="B359" t="s">
        <v>1179</v>
      </c>
      <c r="C359" t="s">
        <v>1181</v>
      </c>
      <c r="D359" t="s">
        <v>611</v>
      </c>
      <c r="E359" s="14" t="n">
        <v>0.25</v>
      </c>
      <c r="F359" s="17" t="n">
        <v>122</v>
      </c>
      <c r="G359" s="15" t="n">
        <v>-0.109592786697269</v>
      </c>
      <c r="H359" s="16" t="n">
        <v>-0.224698511574792</v>
      </c>
    </row>
    <row r="360">
      <c r="A360" t="s">
        <v>30</v>
      </c>
      <c r="B360" t="s">
        <v>1182</v>
      </c>
      <c r="C360" t="s">
        <v>1183</v>
      </c>
      <c r="D360" t="s">
        <v>611</v>
      </c>
      <c r="E360" s="14" t="n">
        <v>0.25</v>
      </c>
      <c r="F360" s="17" t="n">
        <v>48</v>
      </c>
      <c r="G360" s="15" t="n">
        <v>-0.0261321158169133</v>
      </c>
      <c r="H360" s="16" t="n">
        <v>0.248630473842068</v>
      </c>
    </row>
    <row r="361">
      <c r="A361" t="s">
        <v>32</v>
      </c>
      <c r="B361" t="s">
        <v>1184</v>
      </c>
      <c r="C361" t="s">
        <v>1185</v>
      </c>
      <c r="D361" t="s">
        <v>611</v>
      </c>
      <c r="E361" s="14" t="n">
        <v>0.25</v>
      </c>
      <c r="F361" s="17" t="n">
        <v>128</v>
      </c>
      <c r="G361" s="15" t="n">
        <v>-0.0604804738999169</v>
      </c>
      <c r="H361" s="16" t="n">
        <v>-0.242573931568999</v>
      </c>
    </row>
    <row r="362">
      <c r="A362" t="s">
        <v>32</v>
      </c>
      <c r="B362" t="s">
        <v>1184</v>
      </c>
      <c r="C362" t="s">
        <v>1186</v>
      </c>
      <c r="D362" t="s">
        <v>611</v>
      </c>
      <c r="E362" s="14" t="n">
        <v>0.25</v>
      </c>
      <c r="F362" s="17" t="n">
        <v>54</v>
      </c>
      <c r="G362" s="15" t="n">
        <v>-0.0772542485937368</v>
      </c>
      <c r="H362" s="16" t="n">
        <v>0.237764129073788</v>
      </c>
    </row>
    <row r="363">
      <c r="A363" t="s">
        <v>30</v>
      </c>
      <c r="B363" t="s">
        <v>1187</v>
      </c>
      <c r="C363" t="s">
        <v>1188</v>
      </c>
      <c r="D363" t="s">
        <v>611</v>
      </c>
      <c r="E363" s="14" t="n">
        <v>0.25</v>
      </c>
      <c r="F363" s="17" t="n">
        <v>33</v>
      </c>
      <c r="G363" s="15" t="n">
        <v>0.10168416076895</v>
      </c>
      <c r="H363" s="16" t="n">
        <v>0.22838636441065</v>
      </c>
    </row>
    <row r="364">
      <c r="A364" t="s">
        <v>30</v>
      </c>
      <c r="B364" t="s">
        <v>1187</v>
      </c>
      <c r="C364" t="s">
        <v>1189</v>
      </c>
      <c r="D364" t="s">
        <v>611</v>
      </c>
      <c r="E364" s="14" t="n">
        <v>0</v>
      </c>
      <c r="F364" s="17" t="n">
        <v>71</v>
      </c>
      <c r="G364" s="15" t="n">
        <v>0</v>
      </c>
      <c r="H364" s="16" t="n">
        <v>0</v>
      </c>
    </row>
    <row r="365">
      <c r="A365" t="s">
        <v>30</v>
      </c>
      <c r="B365" t="s">
        <v>1190</v>
      </c>
      <c r="C365" t="s">
        <v>1191</v>
      </c>
      <c r="D365" t="s">
        <v>611</v>
      </c>
      <c r="E365" s="14" t="n">
        <v>0.25</v>
      </c>
      <c r="F365" s="17" t="n">
        <v>103</v>
      </c>
      <c r="G365" s="15" t="n">
        <v>-0.224698511574792</v>
      </c>
      <c r="H365" s="16" t="n">
        <v>-0.109592786697269</v>
      </c>
    </row>
    <row r="366">
      <c r="A366" t="s">
        <v>30</v>
      </c>
      <c r="B366" t="s">
        <v>1190</v>
      </c>
      <c r="C366" t="s">
        <v>1192</v>
      </c>
      <c r="D366" t="s">
        <v>611</v>
      </c>
      <c r="E366" s="14" t="n">
        <v>0.25</v>
      </c>
      <c r="F366" s="17" t="n">
        <v>137</v>
      </c>
      <c r="G366" s="15" t="n">
        <v>0.0174391184360313</v>
      </c>
      <c r="H366" s="16" t="n">
        <v>-0.249391012564956</v>
      </c>
    </row>
    <row r="367">
      <c r="A367" t="s">
        <v>31</v>
      </c>
      <c r="B367" t="s">
        <v>1193</v>
      </c>
      <c r="C367" t="s">
        <v>1194</v>
      </c>
      <c r="D367" t="s">
        <v>611</v>
      </c>
      <c r="E367" s="14" t="n">
        <v>0.25</v>
      </c>
      <c r="F367" s="17" t="n">
        <v>86</v>
      </c>
      <c r="G367" s="15" t="n">
        <v>-0.247567017185393</v>
      </c>
      <c r="H367" s="16" t="n">
        <v>0.0347932752400163</v>
      </c>
    </row>
    <row r="368">
      <c r="A368" t="s">
        <v>31</v>
      </c>
      <c r="B368" t="s">
        <v>1193</v>
      </c>
      <c r="C368" t="s">
        <v>1195</v>
      </c>
      <c r="D368" t="s">
        <v>611</v>
      </c>
      <c r="E368" s="14" t="n">
        <v>0.25</v>
      </c>
      <c r="F368" s="17" t="n">
        <v>130</v>
      </c>
      <c r="G368" s="15" t="n">
        <v>-0.0434120444167326</v>
      </c>
      <c r="H368" s="16" t="n">
        <v>-0.246201938253052</v>
      </c>
    </row>
    <row r="369">
      <c r="A369" t="s">
        <v>31</v>
      </c>
      <c r="B369" t="s">
        <v>1196</v>
      </c>
      <c r="C369" t="s">
        <v>1197</v>
      </c>
      <c r="D369" t="s">
        <v>611</v>
      </c>
      <c r="E369" s="14" t="n">
        <v>0.25</v>
      </c>
      <c r="F369" s="17" t="n">
        <v>35</v>
      </c>
      <c r="G369" s="15" t="n">
        <v>0.0855050358314172</v>
      </c>
      <c r="H369" s="16" t="n">
        <v>0.234923155196477</v>
      </c>
    </row>
    <row r="370">
      <c r="A370" t="s">
        <v>32</v>
      </c>
      <c r="B370" t="s">
        <v>1198</v>
      </c>
      <c r="C370" t="s">
        <v>1199</v>
      </c>
      <c r="D370" t="s">
        <v>611</v>
      </c>
      <c r="E370" s="14" t="n">
        <v>0</v>
      </c>
      <c r="F370" s="17" t="n">
        <v>122</v>
      </c>
      <c r="G370" s="15" t="n">
        <v>0</v>
      </c>
      <c r="H370" s="16" t="n">
        <v>0</v>
      </c>
    </row>
    <row r="371">
      <c r="A371" t="s">
        <v>32</v>
      </c>
      <c r="B371" t="s">
        <v>1200</v>
      </c>
      <c r="C371" t="s">
        <v>1201</v>
      </c>
      <c r="D371" t="s">
        <v>611</v>
      </c>
      <c r="E371" s="14" t="n">
        <v>0</v>
      </c>
      <c r="F371" s="17" t="n">
        <v>63</v>
      </c>
      <c r="G371" s="15" t="n">
        <v>0</v>
      </c>
      <c r="H371" s="16" t="n">
        <v>0</v>
      </c>
    </row>
    <row r="372">
      <c r="A372" t="s">
        <v>32</v>
      </c>
      <c r="B372" t="s">
        <v>1202</v>
      </c>
      <c r="C372" t="s">
        <v>1203</v>
      </c>
      <c r="D372" t="s">
        <v>611</v>
      </c>
      <c r="E372" s="14" t="n">
        <v>0.25</v>
      </c>
      <c r="F372" s="17" t="n">
        <v>45</v>
      </c>
      <c r="G372" s="15" t="n">
        <v>0</v>
      </c>
      <c r="H372" s="16" t="n">
        <v>0.25</v>
      </c>
    </row>
    <row r="373">
      <c r="A373" t="s">
        <v>32</v>
      </c>
      <c r="B373" t="s">
        <v>1202</v>
      </c>
      <c r="C373" t="s">
        <v>1204</v>
      </c>
      <c r="D373" t="s">
        <v>611</v>
      </c>
      <c r="E373" s="14" t="n">
        <v>0.25</v>
      </c>
      <c r="F373" s="17" t="n">
        <v>132</v>
      </c>
      <c r="G373" s="15" t="n">
        <v>-0.0261321158169136</v>
      </c>
      <c r="H373" s="16" t="n">
        <v>-0.248630473842068</v>
      </c>
    </row>
    <row r="374">
      <c r="A374" t="s">
        <v>30</v>
      </c>
      <c r="B374" t="s">
        <v>1205</v>
      </c>
      <c r="C374" t="s">
        <v>1206</v>
      </c>
      <c r="D374" t="s">
        <v>611</v>
      </c>
      <c r="E374" s="14" t="n">
        <v>0</v>
      </c>
      <c r="F374" s="17" t="n">
        <v>132</v>
      </c>
      <c r="G374" s="15" t="n">
        <v>0</v>
      </c>
      <c r="H374" s="16" t="n">
        <v>0</v>
      </c>
    </row>
    <row r="375">
      <c r="A375" t="s">
        <v>30</v>
      </c>
      <c r="B375" t="s">
        <v>1205</v>
      </c>
      <c r="C375" t="s">
        <v>1207</v>
      </c>
      <c r="D375" t="s">
        <v>611</v>
      </c>
      <c r="E375" s="14" t="n">
        <v>0</v>
      </c>
      <c r="F375" s="17" t="n">
        <v>1</v>
      </c>
      <c r="G375" s="15" t="n">
        <v>0</v>
      </c>
      <c r="H375" s="16" t="n">
        <v>0</v>
      </c>
    </row>
    <row r="376">
      <c r="A376" t="s">
        <v>30</v>
      </c>
      <c r="B376" t="s">
        <v>1208</v>
      </c>
      <c r="C376" t="s">
        <v>1209</v>
      </c>
      <c r="D376" t="s">
        <v>611</v>
      </c>
      <c r="E376" s="14" t="n">
        <v>0.25</v>
      </c>
      <c r="F376" s="17" t="n">
        <v>55</v>
      </c>
      <c r="G376" s="15" t="n">
        <v>-0.0855050358314172</v>
      </c>
      <c r="H376" s="16" t="n">
        <v>0.234923155196477</v>
      </c>
    </row>
    <row r="377">
      <c r="A377" t="s">
        <v>30</v>
      </c>
      <c r="B377" t="s">
        <v>1210</v>
      </c>
      <c r="C377" t="s">
        <v>1211</v>
      </c>
      <c r="D377" t="s">
        <v>611</v>
      </c>
      <c r="E377" s="14" t="n">
        <v>0.25</v>
      </c>
      <c r="F377" s="17" t="n">
        <v>42</v>
      </c>
      <c r="G377" s="15" t="n">
        <v>0.0261321158169134</v>
      </c>
      <c r="H377" s="16" t="n">
        <v>0.248630473842068</v>
      </c>
    </row>
    <row r="378">
      <c r="A378" t="s">
        <v>32</v>
      </c>
      <c r="B378" t="s">
        <v>1212</v>
      </c>
      <c r="C378" t="s">
        <v>1213</v>
      </c>
      <c r="D378" t="s">
        <v>611</v>
      </c>
      <c r="E378" s="14" t="n">
        <v>0.25</v>
      </c>
      <c r="F378" s="17" t="n">
        <v>129</v>
      </c>
      <c r="G378" s="15" t="n">
        <v>-0.0519779227044399</v>
      </c>
      <c r="H378" s="16" t="n">
        <v>-0.244536900183451</v>
      </c>
    </row>
    <row r="379">
      <c r="A379" t="s">
        <v>32</v>
      </c>
      <c r="B379" t="s">
        <v>1212</v>
      </c>
      <c r="C379" t="s">
        <v>1214</v>
      </c>
      <c r="D379" t="s">
        <v>611</v>
      </c>
      <c r="E379" s="14" t="n">
        <v>0.5</v>
      </c>
      <c r="F379" s="17" t="n">
        <v>114</v>
      </c>
      <c r="G379" s="15" t="n">
        <v>-0.334565303179429</v>
      </c>
      <c r="H379" s="16" t="n">
        <v>-0.371572412738697</v>
      </c>
    </row>
    <row r="380">
      <c r="A380" t="s">
        <v>31</v>
      </c>
      <c r="B380" t="s">
        <v>1215</v>
      </c>
      <c r="C380" t="s">
        <v>1216</v>
      </c>
      <c r="D380" t="s">
        <v>611</v>
      </c>
      <c r="E380" s="14" t="n">
        <v>0.5</v>
      </c>
      <c r="F380" s="17" t="n">
        <v>112</v>
      </c>
      <c r="G380" s="15" t="n">
        <v>-0.359669900169326</v>
      </c>
      <c r="H380" s="16" t="n">
        <v>-0.347329185229499</v>
      </c>
    </row>
    <row r="381">
      <c r="A381" t="s">
        <v>31</v>
      </c>
      <c r="B381" t="s">
        <v>1215</v>
      </c>
      <c r="C381" t="s">
        <v>1217</v>
      </c>
      <c r="D381" t="s">
        <v>611</v>
      </c>
      <c r="E381" s="14" t="n">
        <v>0.25</v>
      </c>
      <c r="F381" s="17" t="n">
        <v>75</v>
      </c>
      <c r="G381" s="15" t="n">
        <v>-0.21650635094611</v>
      </c>
      <c r="H381" s="16" t="n">
        <v>0.125</v>
      </c>
    </row>
    <row r="382">
      <c r="A382" t="s">
        <v>32</v>
      </c>
      <c r="B382" t="s">
        <v>1218</v>
      </c>
      <c r="C382" t="s">
        <v>1219</v>
      </c>
      <c r="D382" t="s">
        <v>611</v>
      </c>
      <c r="E382" s="14" t="n">
        <v>0.25</v>
      </c>
      <c r="F382" s="17" t="n">
        <v>26</v>
      </c>
      <c r="G382" s="15" t="n">
        <v>0.153915368831415</v>
      </c>
      <c r="H382" s="16" t="n">
        <v>0.19700268840168</v>
      </c>
    </row>
    <row r="383">
      <c r="A383" t="s">
        <v>31</v>
      </c>
      <c r="B383" t="s">
        <v>1220</v>
      </c>
      <c r="C383" t="s">
        <v>1221</v>
      </c>
      <c r="D383" t="s">
        <v>611</v>
      </c>
      <c r="E383" s="14" t="n">
        <v>0.25</v>
      </c>
      <c r="F383" s="17" t="n">
        <v>121</v>
      </c>
      <c r="G383" s="15" t="n">
        <v>-0.117367890696473</v>
      </c>
      <c r="H383" s="16" t="n">
        <v>-0.220736898214732</v>
      </c>
    </row>
    <row r="384">
      <c r="A384" t="s">
        <v>31</v>
      </c>
      <c r="B384" t="s">
        <v>1220</v>
      </c>
      <c r="C384" t="s">
        <v>1222</v>
      </c>
      <c r="D384" t="s">
        <v>611</v>
      </c>
      <c r="E384" s="14" t="n">
        <v>0.5</v>
      </c>
      <c r="F384" s="17" t="n">
        <v>60</v>
      </c>
      <c r="G384" s="15" t="n">
        <v>-0.25</v>
      </c>
      <c r="H384" s="16" t="n">
        <v>0.433012701892219</v>
      </c>
    </row>
    <row r="385">
      <c r="A385" t="s">
        <v>30</v>
      </c>
      <c r="B385" t="s">
        <v>1223</v>
      </c>
      <c r="C385" t="s">
        <v>1224</v>
      </c>
      <c r="D385" t="s">
        <v>611</v>
      </c>
      <c r="E385" s="14" t="n">
        <v>0.75</v>
      </c>
      <c r="F385" s="17" t="n">
        <v>41</v>
      </c>
      <c r="G385" s="15" t="n">
        <v>0.104379825720049</v>
      </c>
      <c r="H385" s="16" t="n">
        <v>0.742701051556178</v>
      </c>
    </row>
    <row r="386">
      <c r="A386" t="s">
        <v>31</v>
      </c>
      <c r="B386" t="s">
        <v>1225</v>
      </c>
      <c r="C386" t="s">
        <v>1226</v>
      </c>
      <c r="D386" t="s">
        <v>611</v>
      </c>
      <c r="E386" s="14" t="n">
        <v>0.25</v>
      </c>
      <c r="F386" s="17" t="n">
        <v>92</v>
      </c>
      <c r="G386" s="15" t="n">
        <v>-0.249391012564956</v>
      </c>
      <c r="H386" s="16" t="n">
        <v>-0.0174391184360313</v>
      </c>
    </row>
    <row r="387">
      <c r="A387" t="s">
        <v>31</v>
      </c>
      <c r="B387" t="s">
        <v>1225</v>
      </c>
      <c r="C387" t="s">
        <v>1227</v>
      </c>
      <c r="D387" t="s">
        <v>611</v>
      </c>
      <c r="E387" s="14" t="n">
        <v>0.25</v>
      </c>
      <c r="F387" s="17" t="n">
        <v>57</v>
      </c>
      <c r="G387" s="15" t="n">
        <v>-0.10168416076895</v>
      </c>
      <c r="H387" s="16" t="n">
        <v>0.22838636441065</v>
      </c>
    </row>
    <row r="388">
      <c r="A388" t="s">
        <v>31</v>
      </c>
      <c r="B388" t="s">
        <v>1228</v>
      </c>
      <c r="C388" t="s">
        <v>1229</v>
      </c>
      <c r="D388" t="s">
        <v>611</v>
      </c>
      <c r="E388" s="14" t="n">
        <v>0.25</v>
      </c>
      <c r="F388" s="17" t="n">
        <v>45</v>
      </c>
      <c r="G388" s="15" t="n">
        <v>0</v>
      </c>
      <c r="H388" s="16" t="n">
        <v>0.25</v>
      </c>
    </row>
    <row r="389">
      <c r="A389" t="s">
        <v>31</v>
      </c>
      <c r="B389" t="s">
        <v>1228</v>
      </c>
      <c r="C389" t="s">
        <v>1230</v>
      </c>
      <c r="D389" t="s">
        <v>611</v>
      </c>
      <c r="E389" s="14" t="n">
        <v>0.25</v>
      </c>
      <c r="F389" s="17" t="n">
        <v>122</v>
      </c>
      <c r="G389" s="15" t="n">
        <v>-0.109592786697269</v>
      </c>
      <c r="H389" s="16" t="n">
        <v>-0.224698511574792</v>
      </c>
    </row>
    <row r="390">
      <c r="A390" t="s">
        <v>30</v>
      </c>
      <c r="B390" t="s">
        <v>1231</v>
      </c>
      <c r="C390" t="s">
        <v>1232</v>
      </c>
      <c r="D390" t="s">
        <v>611</v>
      </c>
      <c r="E390" s="14" t="n">
        <v>0.5</v>
      </c>
      <c r="F390" s="17" t="n">
        <v>37</v>
      </c>
      <c r="G390" s="15" t="n">
        <v>0.1378186779085</v>
      </c>
      <c r="H390" s="16" t="n">
        <v>0.480630847969159</v>
      </c>
    </row>
    <row r="391">
      <c r="A391" t="s">
        <v>30</v>
      </c>
      <c r="B391" t="s">
        <v>1233</v>
      </c>
      <c r="C391" t="s">
        <v>1234</v>
      </c>
      <c r="D391" t="s">
        <v>611</v>
      </c>
      <c r="E391" s="14" t="n">
        <v>0</v>
      </c>
      <c r="F391" s="17" t="n">
        <v>66</v>
      </c>
      <c r="G391" s="15" t="n">
        <v>0</v>
      </c>
      <c r="H391" s="16" t="n">
        <v>0</v>
      </c>
    </row>
    <row r="392">
      <c r="A392" t="s">
        <v>30</v>
      </c>
      <c r="B392" t="s">
        <v>1233</v>
      </c>
      <c r="C392" t="s">
        <v>1235</v>
      </c>
      <c r="D392" t="s">
        <v>611</v>
      </c>
      <c r="E392" s="14" t="n">
        <v>0.25</v>
      </c>
      <c r="F392" s="17" t="n">
        <v>22</v>
      </c>
      <c r="G392" s="15" t="n">
        <v>0.179834950084663</v>
      </c>
      <c r="H392" s="16" t="n">
        <v>0.173664592614749</v>
      </c>
    </row>
    <row r="393">
      <c r="A393" t="s">
        <v>30</v>
      </c>
      <c r="B393" t="s">
        <v>1236</v>
      </c>
      <c r="C393" t="s">
        <v>1237</v>
      </c>
      <c r="D393" t="s">
        <v>611</v>
      </c>
      <c r="E393" s="14" t="n">
        <v>0.25</v>
      </c>
      <c r="F393" s="17" t="n">
        <v>66</v>
      </c>
      <c r="G393" s="15" t="n">
        <v>-0.167282651589714</v>
      </c>
      <c r="H393" s="16" t="n">
        <v>0.185786206369349</v>
      </c>
    </row>
    <row r="394">
      <c r="A394" t="s">
        <v>32</v>
      </c>
      <c r="B394" t="s">
        <v>1238</v>
      </c>
      <c r="C394" t="s">
        <v>1239</v>
      </c>
      <c r="D394" t="s">
        <v>611</v>
      </c>
      <c r="E394" s="14" t="n">
        <v>0.5</v>
      </c>
      <c r="F394" s="17" t="n">
        <v>43</v>
      </c>
      <c r="G394" s="15" t="n">
        <v>0.0348782368720626</v>
      </c>
      <c r="H394" s="16" t="n">
        <v>0.498782025129912</v>
      </c>
    </row>
    <row r="395">
      <c r="A395" t="s">
        <v>32</v>
      </c>
      <c r="B395" t="s">
        <v>1238</v>
      </c>
      <c r="C395" t="s">
        <v>1240</v>
      </c>
      <c r="D395" t="s">
        <v>611</v>
      </c>
      <c r="E395" s="14" t="n">
        <v>0.5</v>
      </c>
      <c r="F395" s="17" t="n">
        <v>125</v>
      </c>
      <c r="G395" s="15" t="n">
        <v>-0.171010071662835</v>
      </c>
      <c r="H395" s="16" t="n">
        <v>-0.469846310392954</v>
      </c>
    </row>
    <row r="396">
      <c r="A396" t="s">
        <v>30</v>
      </c>
      <c r="B396" t="s">
        <v>1241</v>
      </c>
      <c r="C396" t="s">
        <v>1242</v>
      </c>
      <c r="D396" t="s">
        <v>611</v>
      </c>
      <c r="E396" s="14" t="n">
        <v>0</v>
      </c>
      <c r="F396" s="17" t="n">
        <v>166</v>
      </c>
      <c r="G396" s="15" t="n">
        <v>0</v>
      </c>
      <c r="H396" s="16" t="n">
        <v>0</v>
      </c>
    </row>
    <row r="397">
      <c r="A397" t="s">
        <v>30</v>
      </c>
      <c r="B397" t="s">
        <v>1243</v>
      </c>
      <c r="C397" t="s">
        <v>1244</v>
      </c>
      <c r="D397" t="s">
        <v>611</v>
      </c>
      <c r="E397" s="14" t="n">
        <v>0.5</v>
      </c>
      <c r="F397" s="17" t="n">
        <v>78</v>
      </c>
      <c r="G397" s="15" t="n">
        <v>-0.4567727288213</v>
      </c>
      <c r="H397" s="16" t="n">
        <v>0.2033683215379</v>
      </c>
    </row>
    <row r="398">
      <c r="A398" t="s">
        <v>30</v>
      </c>
      <c r="B398" t="s">
        <v>1243</v>
      </c>
      <c r="C398" t="s">
        <v>1245</v>
      </c>
      <c r="D398" t="s">
        <v>611</v>
      </c>
      <c r="E398" s="14" t="n">
        <v>0.5</v>
      </c>
      <c r="F398" s="17" t="n">
        <v>130</v>
      </c>
      <c r="G398" s="15" t="n">
        <v>-0.0868240888334652</v>
      </c>
      <c r="H398" s="16" t="n">
        <v>-0.492403876506104</v>
      </c>
    </row>
    <row r="399">
      <c r="A399" t="s">
        <v>31</v>
      </c>
      <c r="B399" t="s">
        <v>1246</v>
      </c>
      <c r="C399" t="s">
        <v>1247</v>
      </c>
      <c r="D399" t="s">
        <v>611</v>
      </c>
      <c r="E399" s="14" t="n">
        <v>0</v>
      </c>
      <c r="F399" s="17" t="n">
        <v>171</v>
      </c>
      <c r="G399" s="15" t="n">
        <v>0</v>
      </c>
      <c r="H399" s="16" t="n">
        <v>0</v>
      </c>
    </row>
    <row r="400">
      <c r="A400" t="s">
        <v>31</v>
      </c>
      <c r="B400" t="s">
        <v>1248</v>
      </c>
      <c r="C400" t="s">
        <v>1249</v>
      </c>
      <c r="D400" t="s">
        <v>611</v>
      </c>
      <c r="E400" s="14" t="n">
        <v>0.25</v>
      </c>
      <c r="F400" s="17" t="n">
        <v>139</v>
      </c>
      <c r="G400" s="15" t="n">
        <v>0.0347932752400164</v>
      </c>
      <c r="H400" s="16" t="n">
        <v>-0.247567017185393</v>
      </c>
    </row>
    <row r="401">
      <c r="A401" t="s">
        <v>30</v>
      </c>
      <c r="B401" t="s">
        <v>1250</v>
      </c>
      <c r="C401" t="s">
        <v>1251</v>
      </c>
      <c r="D401" t="s">
        <v>611</v>
      </c>
      <c r="E401" s="14" t="n">
        <v>0.5</v>
      </c>
      <c r="F401" s="17" t="n">
        <v>1</v>
      </c>
      <c r="G401" s="15" t="n">
        <v>0.499695413509548</v>
      </c>
      <c r="H401" s="16" t="n">
        <v>0.0174497483512505</v>
      </c>
    </row>
    <row r="402">
      <c r="A402" t="s">
        <v>30</v>
      </c>
      <c r="B402" t="s">
        <v>1250</v>
      </c>
      <c r="C402" t="s">
        <v>1252</v>
      </c>
      <c r="D402" t="s">
        <v>611</v>
      </c>
      <c r="E402" s="14" t="n">
        <v>0.25</v>
      </c>
      <c r="F402" s="17" t="n">
        <v>177</v>
      </c>
      <c r="G402" s="15" t="n">
        <v>0.248630473842068</v>
      </c>
      <c r="H402" s="16" t="n">
        <v>-0.0261321158169134</v>
      </c>
    </row>
    <row r="403">
      <c r="A403" t="s">
        <v>32</v>
      </c>
      <c r="B403" t="s">
        <v>1253</v>
      </c>
      <c r="C403" t="s">
        <v>1254</v>
      </c>
      <c r="D403" t="s">
        <v>611</v>
      </c>
      <c r="E403" s="14" t="n">
        <v>0.5</v>
      </c>
      <c r="F403" s="17" t="n">
        <v>114</v>
      </c>
      <c r="G403" s="15" t="n">
        <v>-0.334565303179429</v>
      </c>
      <c r="H403" s="16" t="n">
        <v>-0.371572412738697</v>
      </c>
    </row>
    <row r="404">
      <c r="A404" t="s">
        <v>32</v>
      </c>
      <c r="B404" t="s">
        <v>1253</v>
      </c>
      <c r="C404" t="s">
        <v>1255</v>
      </c>
      <c r="D404" t="s">
        <v>611</v>
      </c>
      <c r="E404" s="14" t="n">
        <v>0.25</v>
      </c>
      <c r="F404" s="17" t="n">
        <v>65</v>
      </c>
      <c r="G404" s="15" t="n">
        <v>-0.160696902421635</v>
      </c>
      <c r="H404" s="16" t="n">
        <v>0.191511110779745</v>
      </c>
    </row>
    <row r="405">
      <c r="A405" t="s">
        <v>32</v>
      </c>
      <c r="B405" t="s">
        <v>1256</v>
      </c>
      <c r="C405" t="s">
        <v>1257</v>
      </c>
      <c r="D405" t="s">
        <v>611</v>
      </c>
      <c r="E405" s="14" t="n">
        <v>0</v>
      </c>
      <c r="F405" s="17" t="n">
        <v>34</v>
      </c>
      <c r="G405" s="15" t="n">
        <v>0</v>
      </c>
      <c r="H405" s="16" t="n">
        <v>0</v>
      </c>
    </row>
    <row r="406">
      <c r="A406" t="s">
        <v>32</v>
      </c>
      <c r="B406" t="s">
        <v>1256</v>
      </c>
      <c r="C406" t="s">
        <v>1258</v>
      </c>
      <c r="D406" t="s">
        <v>611</v>
      </c>
      <c r="E406" s="14" t="n">
        <v>0.25</v>
      </c>
      <c r="F406" s="17" t="n">
        <v>63</v>
      </c>
      <c r="G406" s="15" t="n">
        <v>-0.146946313073118</v>
      </c>
      <c r="H406" s="16" t="n">
        <v>0.202254248593737</v>
      </c>
    </row>
    <row r="407">
      <c r="A407" t="s">
        <v>31</v>
      </c>
      <c r="B407" t="s">
        <v>1259</v>
      </c>
      <c r="C407" t="s">
        <v>1260</v>
      </c>
      <c r="D407" t="s">
        <v>611</v>
      </c>
      <c r="E407" s="14" t="n">
        <v>0</v>
      </c>
      <c r="F407" s="17" t="n">
        <v>114</v>
      </c>
      <c r="G407" s="15" t="n">
        <v>0</v>
      </c>
      <c r="H407" s="16" t="n">
        <v>0</v>
      </c>
    </row>
    <row r="408">
      <c r="A408" t="s">
        <v>31</v>
      </c>
      <c r="B408" t="s">
        <v>1259</v>
      </c>
      <c r="C408" t="s">
        <v>1261</v>
      </c>
      <c r="D408" t="s">
        <v>611</v>
      </c>
      <c r="E408" s="14" t="n">
        <v>0.25</v>
      </c>
      <c r="F408" s="17" t="n">
        <v>138</v>
      </c>
      <c r="G408" s="15" t="n">
        <v>0.0261321158169135</v>
      </c>
      <c r="H408" s="16" t="n">
        <v>-0.248630473842068</v>
      </c>
    </row>
    <row r="409">
      <c r="A409" t="s">
        <v>30</v>
      </c>
      <c r="B409" t="s">
        <v>1262</v>
      </c>
      <c r="C409" t="s">
        <v>1263</v>
      </c>
      <c r="D409" t="s">
        <v>611</v>
      </c>
      <c r="E409" s="14" t="n">
        <v>0.75</v>
      </c>
      <c r="F409" s="17" t="n">
        <v>62</v>
      </c>
      <c r="G409" s="15" t="n">
        <v>-0.41939467760306</v>
      </c>
      <c r="H409" s="16" t="n">
        <v>0.621778179416281</v>
      </c>
    </row>
    <row r="410">
      <c r="A410" t="s">
        <v>30</v>
      </c>
      <c r="B410" t="s">
        <v>1262</v>
      </c>
      <c r="C410" t="s">
        <v>1264</v>
      </c>
      <c r="D410" t="s">
        <v>611</v>
      </c>
      <c r="E410" s="14" t="n">
        <v>0.75</v>
      </c>
      <c r="F410" s="17" t="n">
        <v>116</v>
      </c>
      <c r="G410" s="15" t="n">
        <v>-0.461746106494244</v>
      </c>
      <c r="H410" s="16" t="n">
        <v>-0.591008065205042</v>
      </c>
    </row>
    <row r="411">
      <c r="A411" t="s">
        <v>30</v>
      </c>
      <c r="B411" t="s">
        <v>1265</v>
      </c>
      <c r="C411" t="s">
        <v>1266</v>
      </c>
      <c r="D411" t="s">
        <v>611</v>
      </c>
      <c r="E411" s="14" t="n">
        <v>0.25</v>
      </c>
      <c r="F411" s="17" t="n">
        <v>138</v>
      </c>
      <c r="G411" s="15" t="n">
        <v>0.0261321158169135</v>
      </c>
      <c r="H411" s="16" t="n">
        <v>-0.248630473842068</v>
      </c>
    </row>
    <row r="412">
      <c r="A412" t="s">
        <v>30</v>
      </c>
      <c r="B412" t="s">
        <v>1265</v>
      </c>
      <c r="C412" t="s">
        <v>1267</v>
      </c>
      <c r="D412" t="s">
        <v>611</v>
      </c>
      <c r="E412" s="14" t="n">
        <v>0.5</v>
      </c>
      <c r="F412" s="17" t="n">
        <v>87</v>
      </c>
      <c r="G412" s="15" t="n">
        <v>-0.497260947684137</v>
      </c>
      <c r="H412" s="16" t="n">
        <v>0.0522642316338269</v>
      </c>
    </row>
    <row r="413">
      <c r="A413" t="s">
        <v>32</v>
      </c>
      <c r="B413" t="s">
        <v>1268</v>
      </c>
      <c r="C413" t="s">
        <v>1269</v>
      </c>
      <c r="D413" t="s">
        <v>611</v>
      </c>
      <c r="E413" s="14" t="n">
        <v>0.5</v>
      </c>
      <c r="F413" s="17" t="n">
        <v>62</v>
      </c>
      <c r="G413" s="15" t="n">
        <v>-0.279596451735373</v>
      </c>
      <c r="H413" s="16" t="n">
        <v>0.414518786277521</v>
      </c>
    </row>
    <row r="414">
      <c r="A414" t="s">
        <v>32</v>
      </c>
      <c r="B414" t="s">
        <v>1268</v>
      </c>
      <c r="C414" t="s">
        <v>1270</v>
      </c>
      <c r="D414" t="s">
        <v>611</v>
      </c>
      <c r="E414" s="14" t="n">
        <v>0.5</v>
      </c>
      <c r="F414" s="17" t="n">
        <v>132</v>
      </c>
      <c r="G414" s="15" t="n">
        <v>-0.0522642316338271</v>
      </c>
      <c r="H414" s="16" t="n">
        <v>-0.497260947684137</v>
      </c>
    </row>
    <row r="415">
      <c r="A415" t="s">
        <v>30</v>
      </c>
      <c r="B415" t="s">
        <v>1271</v>
      </c>
      <c r="C415" t="s">
        <v>1272</v>
      </c>
      <c r="D415" t="s">
        <v>611</v>
      </c>
      <c r="E415" s="14" t="n">
        <v>0.25</v>
      </c>
      <c r="F415" s="17" t="n">
        <v>67</v>
      </c>
      <c r="G415" s="15" t="n">
        <v>-0.173664592614749</v>
      </c>
      <c r="H415" s="16" t="n">
        <v>0.179834950084663</v>
      </c>
    </row>
    <row r="416">
      <c r="A416" t="s">
        <v>30</v>
      </c>
      <c r="B416" t="s">
        <v>1271</v>
      </c>
      <c r="C416" t="s">
        <v>1273</v>
      </c>
      <c r="D416" t="s">
        <v>611</v>
      </c>
      <c r="E416" s="14" t="n">
        <v>0</v>
      </c>
      <c r="F416" s="17" t="n">
        <v>110</v>
      </c>
      <c r="G416" s="15" t="n">
        <v>0</v>
      </c>
      <c r="H416" s="16" t="n">
        <v>0</v>
      </c>
    </row>
    <row r="417">
      <c r="A417" t="s">
        <v>30</v>
      </c>
      <c r="B417" t="s">
        <v>1274</v>
      </c>
      <c r="C417" t="s">
        <v>1275</v>
      </c>
      <c r="D417" t="s">
        <v>611</v>
      </c>
      <c r="E417" s="14" t="n">
        <v>0.25</v>
      </c>
      <c r="F417" s="17" t="n">
        <v>144</v>
      </c>
      <c r="G417" s="15" t="n">
        <v>0.0772542485937368</v>
      </c>
      <c r="H417" s="16" t="n">
        <v>-0.237764129073788</v>
      </c>
    </row>
    <row r="418">
      <c r="A418" t="s">
        <v>30</v>
      </c>
      <c r="B418" t="s">
        <v>1274</v>
      </c>
      <c r="C418" t="s">
        <v>1276</v>
      </c>
      <c r="D418" t="s">
        <v>611</v>
      </c>
      <c r="E418" s="14" t="n">
        <v>0.25</v>
      </c>
      <c r="F418" s="17" t="n">
        <v>64</v>
      </c>
      <c r="G418" s="15" t="n">
        <v>-0.153915368831415</v>
      </c>
      <c r="H418" s="16" t="n">
        <v>0.197002688401681</v>
      </c>
    </row>
    <row r="419">
      <c r="A419" t="s">
        <v>31</v>
      </c>
      <c r="B419" t="s">
        <v>1277</v>
      </c>
      <c r="C419" t="s">
        <v>1278</v>
      </c>
      <c r="D419" t="s">
        <v>611</v>
      </c>
      <c r="E419" s="14" t="n">
        <v>0.25</v>
      </c>
      <c r="F419" s="17" t="n">
        <v>18</v>
      </c>
      <c r="G419" s="15" t="n">
        <v>0.202254248593737</v>
      </c>
      <c r="H419" s="16" t="n">
        <v>0.146946313073118</v>
      </c>
    </row>
    <row r="420">
      <c r="A420" t="s">
        <v>31</v>
      </c>
      <c r="B420" t="s">
        <v>1277</v>
      </c>
      <c r="C420" t="s">
        <v>1279</v>
      </c>
      <c r="D420" t="s">
        <v>611</v>
      </c>
      <c r="E420" s="14" t="n">
        <v>0.25</v>
      </c>
      <c r="F420" s="17" t="n">
        <v>165</v>
      </c>
      <c r="G420" s="15" t="n">
        <v>0.21650635094611</v>
      </c>
      <c r="H420" s="16" t="n">
        <v>-0.125</v>
      </c>
    </row>
    <row r="421">
      <c r="A421" t="s">
        <v>32</v>
      </c>
      <c r="B421" t="s">
        <v>1280</v>
      </c>
      <c r="C421" t="s">
        <v>1281</v>
      </c>
      <c r="D421" t="s">
        <v>611</v>
      </c>
      <c r="E421" s="14" t="n">
        <v>0</v>
      </c>
      <c r="F421" s="17" t="n">
        <v>175</v>
      </c>
      <c r="G421" s="15" t="n">
        <v>0</v>
      </c>
      <c r="H421" s="16" t="n">
        <v>0</v>
      </c>
    </row>
    <row r="422">
      <c r="A422" t="s">
        <v>30</v>
      </c>
      <c r="B422" t="s">
        <v>1282</v>
      </c>
      <c r="C422" t="s">
        <v>1283</v>
      </c>
      <c r="D422" t="s">
        <v>611</v>
      </c>
      <c r="E422" s="14" t="n">
        <v>0.25</v>
      </c>
      <c r="F422" s="17" t="n">
        <v>158</v>
      </c>
      <c r="G422" s="15" t="n">
        <v>0.179834950084663</v>
      </c>
      <c r="H422" s="16" t="n">
        <v>-0.173664592614749</v>
      </c>
    </row>
    <row r="423">
      <c r="A423" t="s">
        <v>30</v>
      </c>
      <c r="B423" t="s">
        <v>1282</v>
      </c>
      <c r="C423" t="s">
        <v>1284</v>
      </c>
      <c r="D423" t="s">
        <v>611</v>
      </c>
      <c r="E423" s="14" t="n">
        <v>0.25</v>
      </c>
      <c r="F423" s="17" t="n">
        <v>131</v>
      </c>
      <c r="G423" s="15" t="n">
        <v>-0.0347932752400165</v>
      </c>
      <c r="H423" s="16" t="n">
        <v>-0.247567017185393</v>
      </c>
    </row>
    <row r="424">
      <c r="A424" t="s">
        <v>30</v>
      </c>
      <c r="B424" t="s">
        <v>1285</v>
      </c>
      <c r="C424" t="s">
        <v>1286</v>
      </c>
      <c r="D424" t="s">
        <v>611</v>
      </c>
      <c r="E424" s="14" t="n">
        <v>0.25</v>
      </c>
      <c r="F424" s="17" t="n">
        <v>27</v>
      </c>
      <c r="G424" s="15" t="n">
        <v>0.146946313073118</v>
      </c>
      <c r="H424" s="16" t="n">
        <v>0.202254248593737</v>
      </c>
    </row>
    <row r="425">
      <c r="A425" t="s">
        <v>31</v>
      </c>
      <c r="B425" t="s">
        <v>1287</v>
      </c>
      <c r="C425" t="s">
        <v>1288</v>
      </c>
      <c r="D425" t="s">
        <v>611</v>
      </c>
      <c r="E425" s="14" t="n">
        <v>0</v>
      </c>
      <c r="F425" s="17" t="n">
        <v>23</v>
      </c>
      <c r="G425" s="15" t="n">
        <v>0</v>
      </c>
      <c r="H425" s="16" t="n">
        <v>0</v>
      </c>
    </row>
    <row r="426">
      <c r="A426" t="s">
        <v>31</v>
      </c>
      <c r="B426" t="s">
        <v>1287</v>
      </c>
      <c r="C426" t="s">
        <v>1289</v>
      </c>
      <c r="D426" t="s">
        <v>611</v>
      </c>
      <c r="E426" s="14" t="n">
        <v>0.25</v>
      </c>
      <c r="F426" s="17" t="n">
        <v>141</v>
      </c>
      <c r="G426" s="15" t="n">
        <v>0.0519779227044399</v>
      </c>
      <c r="H426" s="16" t="n">
        <v>-0.244536900183451</v>
      </c>
    </row>
    <row r="427">
      <c r="A427" t="s">
        <v>30</v>
      </c>
      <c r="B427" t="s">
        <v>1290</v>
      </c>
      <c r="C427" t="s">
        <v>1291</v>
      </c>
      <c r="D427" t="s">
        <v>611</v>
      </c>
      <c r="E427" s="14" t="n">
        <v>0</v>
      </c>
      <c r="F427" s="17" t="n">
        <v>108</v>
      </c>
      <c r="G427" s="15" t="n">
        <v>0</v>
      </c>
      <c r="H427" s="16" t="n">
        <v>0</v>
      </c>
    </row>
    <row r="428">
      <c r="A428" t="s">
        <v>30</v>
      </c>
      <c r="B428" t="s">
        <v>1290</v>
      </c>
      <c r="C428" t="s">
        <v>1292</v>
      </c>
      <c r="D428" t="s">
        <v>611</v>
      </c>
      <c r="E428" s="14" t="n">
        <v>0</v>
      </c>
      <c r="F428" s="17" t="n">
        <v>97</v>
      </c>
      <c r="G428" s="15" t="n">
        <v>0</v>
      </c>
      <c r="H428" s="16" t="n">
        <v>0</v>
      </c>
    </row>
    <row r="429">
      <c r="A429" t="s">
        <v>31</v>
      </c>
      <c r="B429" t="s">
        <v>1293</v>
      </c>
      <c r="C429" t="s">
        <v>1294</v>
      </c>
      <c r="D429" t="s">
        <v>611</v>
      </c>
      <c r="E429" s="14" t="n">
        <v>0</v>
      </c>
      <c r="F429" s="17" t="n">
        <v>167</v>
      </c>
      <c r="G429" s="15" t="n">
        <v>0</v>
      </c>
      <c r="H429" s="16" t="n">
        <v>0</v>
      </c>
    </row>
    <row r="430">
      <c r="A430" t="s">
        <v>31</v>
      </c>
      <c r="B430" t="s">
        <v>1293</v>
      </c>
      <c r="C430" t="s">
        <v>1295</v>
      </c>
      <c r="D430" t="s">
        <v>611</v>
      </c>
      <c r="E430" s="14" t="n">
        <v>0</v>
      </c>
      <c r="F430" s="17" t="n">
        <v>163</v>
      </c>
      <c r="G430" s="15" t="n">
        <v>0</v>
      </c>
      <c r="H430" s="16" t="n">
        <v>0</v>
      </c>
    </row>
    <row r="431">
      <c r="A431" t="s">
        <v>32</v>
      </c>
      <c r="B431" t="s">
        <v>1296</v>
      </c>
      <c r="C431" t="s">
        <v>1297</v>
      </c>
      <c r="D431" t="s">
        <v>611</v>
      </c>
      <c r="E431" s="14" t="n">
        <v>0.5</v>
      </c>
      <c r="F431" s="17" t="n">
        <v>18</v>
      </c>
      <c r="G431" s="15" t="n">
        <v>0.404508497187474</v>
      </c>
      <c r="H431" s="16" t="n">
        <v>0.293892626146237</v>
      </c>
    </row>
    <row r="432">
      <c r="A432" t="s">
        <v>32</v>
      </c>
      <c r="B432" t="s">
        <v>1296</v>
      </c>
      <c r="C432" t="s">
        <v>1298</v>
      </c>
      <c r="D432" t="s">
        <v>611</v>
      </c>
      <c r="E432" s="14" t="n">
        <v>0.25</v>
      </c>
      <c r="F432" s="17" t="n">
        <v>13</v>
      </c>
      <c r="G432" s="15" t="n">
        <v>0.224698511574792</v>
      </c>
      <c r="H432" s="16" t="n">
        <v>0.109592786697269</v>
      </c>
    </row>
    <row r="433">
      <c r="A433" t="s">
        <v>32</v>
      </c>
      <c r="B433" t="s">
        <v>1299</v>
      </c>
      <c r="C433" t="s">
        <v>1300</v>
      </c>
      <c r="D433" t="s">
        <v>611</v>
      </c>
      <c r="E433" s="14" t="n">
        <v>0.25</v>
      </c>
      <c r="F433" s="17" t="n">
        <v>160</v>
      </c>
      <c r="G433" s="15" t="n">
        <v>0.191511110779744</v>
      </c>
      <c r="H433" s="16" t="n">
        <v>-0.160696902421635</v>
      </c>
    </row>
    <row r="434">
      <c r="A434" t="s">
        <v>32</v>
      </c>
      <c r="B434" t="s">
        <v>1299</v>
      </c>
      <c r="C434" t="s">
        <v>1301</v>
      </c>
      <c r="D434" t="s">
        <v>611</v>
      </c>
      <c r="E434" s="14" t="n">
        <v>0.25</v>
      </c>
      <c r="F434" s="17" t="n">
        <v>179</v>
      </c>
      <c r="G434" s="15" t="n">
        <v>0.249847706754774</v>
      </c>
      <c r="H434" s="16" t="n">
        <v>-0.00872487417562521</v>
      </c>
    </row>
    <row r="435">
      <c r="A435" t="s">
        <v>30</v>
      </c>
      <c r="B435" t="s">
        <v>1302</v>
      </c>
      <c r="C435" t="s">
        <v>1303</v>
      </c>
      <c r="D435" t="s">
        <v>611</v>
      </c>
      <c r="E435" s="14" t="n">
        <v>0.25</v>
      </c>
      <c r="F435" s="17" t="n">
        <v>162</v>
      </c>
      <c r="G435" s="15" t="n">
        <v>0.202254248593737</v>
      </c>
      <c r="H435" s="16" t="n">
        <v>-0.146946313073118</v>
      </c>
    </row>
    <row r="436">
      <c r="A436" t="s">
        <v>30</v>
      </c>
      <c r="B436" t="s">
        <v>1302</v>
      </c>
      <c r="C436" t="s">
        <v>1304</v>
      </c>
      <c r="D436" t="s">
        <v>611</v>
      </c>
      <c r="E436" s="14" t="n">
        <v>0</v>
      </c>
      <c r="F436" s="17" t="n">
        <v>132</v>
      </c>
      <c r="G436" s="15" t="n">
        <v>0</v>
      </c>
      <c r="H436" s="16" t="n">
        <v>0</v>
      </c>
    </row>
    <row r="437">
      <c r="A437" t="s">
        <v>32</v>
      </c>
      <c r="B437" t="s">
        <v>1305</v>
      </c>
      <c r="C437" t="s">
        <v>1306</v>
      </c>
      <c r="D437" t="s">
        <v>611</v>
      </c>
      <c r="E437" s="14" t="n">
        <v>0.25</v>
      </c>
      <c r="F437" s="17" t="n">
        <v>76</v>
      </c>
      <c r="G437" s="15" t="n">
        <v>-0.220736898214732</v>
      </c>
      <c r="H437" s="16" t="n">
        <v>0.117367890696473</v>
      </c>
    </row>
    <row r="438">
      <c r="A438" t="s">
        <v>32</v>
      </c>
      <c r="B438" t="s">
        <v>1305</v>
      </c>
      <c r="C438" t="s">
        <v>1307</v>
      </c>
      <c r="D438" t="s">
        <v>611</v>
      </c>
      <c r="E438" s="14" t="n">
        <v>0.25</v>
      </c>
      <c r="F438" s="17" t="n">
        <v>156</v>
      </c>
      <c r="G438" s="15" t="n">
        <v>0.167282651589715</v>
      </c>
      <c r="H438" s="16" t="n">
        <v>-0.185786206369349</v>
      </c>
    </row>
    <row r="439">
      <c r="A439" t="s">
        <v>31</v>
      </c>
      <c r="B439" t="s">
        <v>1308</v>
      </c>
      <c r="C439" t="s">
        <v>1309</v>
      </c>
      <c r="D439" t="s">
        <v>611</v>
      </c>
      <c r="E439" s="14" t="n">
        <v>0.25</v>
      </c>
      <c r="F439" s="17" t="n">
        <v>20</v>
      </c>
      <c r="G439" s="15" t="n">
        <v>0.191511110779745</v>
      </c>
      <c r="H439" s="16" t="n">
        <v>0.160696902421635</v>
      </c>
    </row>
    <row r="440">
      <c r="A440" t="s">
        <v>32</v>
      </c>
      <c r="B440" t="s">
        <v>1310</v>
      </c>
      <c r="C440" t="s">
        <v>1311</v>
      </c>
      <c r="D440" t="s">
        <v>611</v>
      </c>
      <c r="E440" s="14" t="n">
        <v>0.25</v>
      </c>
      <c r="F440" s="17" t="n">
        <v>79</v>
      </c>
      <c r="G440" s="15" t="n">
        <v>-0.231795963641697</v>
      </c>
      <c r="H440" s="16" t="n">
        <v>0.0936516483539781</v>
      </c>
    </row>
    <row r="441">
      <c r="A441" t="s">
        <v>32</v>
      </c>
      <c r="B441" t="s">
        <v>1312</v>
      </c>
      <c r="C441" t="s">
        <v>1313</v>
      </c>
      <c r="D441" t="s">
        <v>611</v>
      </c>
      <c r="E441" s="14" t="n">
        <v>0.25</v>
      </c>
      <c r="F441" s="17" t="n">
        <v>117</v>
      </c>
      <c r="G441" s="15" t="n">
        <v>-0.146946313073118</v>
      </c>
      <c r="H441" s="16" t="n">
        <v>-0.202254248593737</v>
      </c>
    </row>
    <row r="442">
      <c r="A442" t="s">
        <v>32</v>
      </c>
      <c r="B442" t="s">
        <v>1312</v>
      </c>
      <c r="C442" t="s">
        <v>1314</v>
      </c>
      <c r="D442" t="s">
        <v>611</v>
      </c>
      <c r="E442" s="14" t="n">
        <v>0.25</v>
      </c>
      <c r="F442" s="17" t="n">
        <v>91</v>
      </c>
      <c r="G442" s="15" t="n">
        <v>-0.249847706754774</v>
      </c>
      <c r="H442" s="16" t="n">
        <v>-0.00872487417562529</v>
      </c>
    </row>
    <row r="443">
      <c r="A443" t="s">
        <v>30</v>
      </c>
      <c r="B443" t="s">
        <v>1315</v>
      </c>
      <c r="C443" t="s">
        <v>1316</v>
      </c>
      <c r="D443" t="s">
        <v>611</v>
      </c>
      <c r="E443" s="14" t="n">
        <v>0</v>
      </c>
      <c r="F443" s="17" t="n">
        <v>142</v>
      </c>
      <c r="G443" s="15" t="n">
        <v>0</v>
      </c>
      <c r="H443" s="16" t="n">
        <v>0</v>
      </c>
    </row>
    <row r="444">
      <c r="A444" t="s">
        <v>30</v>
      </c>
      <c r="B444" t="s">
        <v>1315</v>
      </c>
      <c r="C444" t="s">
        <v>1317</v>
      </c>
      <c r="D444" t="s">
        <v>611</v>
      </c>
      <c r="E444" s="14" t="n">
        <v>0.25</v>
      </c>
      <c r="F444" s="17" t="n">
        <v>48</v>
      </c>
      <c r="G444" s="15" t="n">
        <v>-0.0261321158169133</v>
      </c>
      <c r="H444" s="16" t="n">
        <v>0.248630473842068</v>
      </c>
    </row>
    <row r="445">
      <c r="A445" t="s">
        <v>32</v>
      </c>
      <c r="B445" t="s">
        <v>1318</v>
      </c>
      <c r="C445" t="s">
        <v>1319</v>
      </c>
      <c r="D445" t="s">
        <v>611</v>
      </c>
      <c r="E445" s="14" t="n">
        <v>0.25</v>
      </c>
      <c r="F445" s="17" t="n">
        <v>134</v>
      </c>
      <c r="G445" s="15" t="n">
        <v>-0.00872487417562519</v>
      </c>
      <c r="H445" s="16" t="n">
        <v>-0.249847706754774</v>
      </c>
    </row>
    <row r="446">
      <c r="A446" t="s">
        <v>32</v>
      </c>
      <c r="B446" t="s">
        <v>1318</v>
      </c>
      <c r="C446" t="s">
        <v>1320</v>
      </c>
      <c r="D446" t="s">
        <v>611</v>
      </c>
      <c r="E446" s="14" t="n">
        <v>0.25</v>
      </c>
      <c r="F446" s="17" t="n">
        <v>56</v>
      </c>
      <c r="G446" s="15" t="n">
        <v>-0.093651648353978</v>
      </c>
      <c r="H446" s="16" t="n">
        <v>0.231795963641697</v>
      </c>
    </row>
    <row r="447">
      <c r="A447" t="s">
        <v>30</v>
      </c>
      <c r="B447" t="s">
        <v>1321</v>
      </c>
      <c r="C447" t="s">
        <v>1322</v>
      </c>
      <c r="D447" t="s">
        <v>611</v>
      </c>
      <c r="E447" s="14" t="n">
        <v>0.25</v>
      </c>
      <c r="F447" s="17" t="n">
        <v>51</v>
      </c>
      <c r="G447" s="15" t="n">
        <v>-0.0519779227044398</v>
      </c>
      <c r="H447" s="16" t="n">
        <v>0.244536900183451</v>
      </c>
    </row>
    <row r="448">
      <c r="A448" t="s">
        <v>32</v>
      </c>
      <c r="B448" t="s">
        <v>1323</v>
      </c>
      <c r="C448" t="s">
        <v>1324</v>
      </c>
      <c r="D448" t="s">
        <v>611</v>
      </c>
      <c r="E448" s="14" t="n">
        <v>0</v>
      </c>
      <c r="F448" s="17" t="n">
        <v>56</v>
      </c>
      <c r="G448" s="15" t="n">
        <v>0</v>
      </c>
      <c r="H448" s="16" t="n">
        <v>0</v>
      </c>
    </row>
    <row r="449">
      <c r="A449" t="s">
        <v>32</v>
      </c>
      <c r="B449" t="s">
        <v>1323</v>
      </c>
      <c r="C449" t="s">
        <v>1325</v>
      </c>
      <c r="D449" t="s">
        <v>611</v>
      </c>
      <c r="E449" s="14" t="n">
        <v>0.25</v>
      </c>
      <c r="F449" s="17" t="n">
        <v>105</v>
      </c>
      <c r="G449" s="15" t="n">
        <v>-0.21650635094611</v>
      </c>
      <c r="H449" s="16" t="n">
        <v>-0.125</v>
      </c>
    </row>
    <row r="450">
      <c r="A450" t="s">
        <v>30</v>
      </c>
      <c r="B450" t="s">
        <v>1326</v>
      </c>
      <c r="C450" t="s">
        <v>1327</v>
      </c>
      <c r="D450" t="s">
        <v>611</v>
      </c>
      <c r="E450" s="14" t="n">
        <v>0.25</v>
      </c>
      <c r="F450" s="17" t="n">
        <v>156</v>
      </c>
      <c r="G450" s="15" t="n">
        <v>0.167282651589715</v>
      </c>
      <c r="H450" s="16" t="n">
        <v>-0.185786206369349</v>
      </c>
    </row>
    <row r="451">
      <c r="A451" t="s">
        <v>30</v>
      </c>
      <c r="B451" t="s">
        <v>1326</v>
      </c>
      <c r="C451" t="s">
        <v>1328</v>
      </c>
      <c r="D451" t="s">
        <v>611</v>
      </c>
      <c r="E451" s="14" t="n">
        <v>0</v>
      </c>
      <c r="F451" s="17" t="n">
        <v>31</v>
      </c>
      <c r="G451" s="15" t="n">
        <v>0</v>
      </c>
      <c r="H451" s="16" t="n">
        <v>0</v>
      </c>
    </row>
    <row r="452">
      <c r="A452" t="s">
        <v>30</v>
      </c>
      <c r="B452" t="s">
        <v>1329</v>
      </c>
      <c r="C452" t="s">
        <v>1330</v>
      </c>
      <c r="D452" t="s">
        <v>611</v>
      </c>
      <c r="E452" s="14" t="n">
        <v>0.25</v>
      </c>
      <c r="F452" s="17" t="n">
        <v>6</v>
      </c>
      <c r="G452" s="15" t="n">
        <v>0.244536900183451</v>
      </c>
      <c r="H452" s="16" t="n">
        <v>0.0519779227044398</v>
      </c>
    </row>
    <row r="453">
      <c r="A453" t="s">
        <v>32</v>
      </c>
      <c r="B453" t="s">
        <v>1331</v>
      </c>
      <c r="C453" t="s">
        <v>1332</v>
      </c>
      <c r="D453" t="s">
        <v>611</v>
      </c>
      <c r="E453" s="14" t="n">
        <v>0.25</v>
      </c>
      <c r="F453" s="17" t="n">
        <v>1</v>
      </c>
      <c r="G453" s="15" t="n">
        <v>0.249847706754774</v>
      </c>
      <c r="H453" s="16" t="n">
        <v>0.00872487417562524</v>
      </c>
    </row>
    <row r="454">
      <c r="A454" t="s">
        <v>32</v>
      </c>
      <c r="B454" t="s">
        <v>1333</v>
      </c>
      <c r="C454" t="s">
        <v>1334</v>
      </c>
      <c r="D454" t="s">
        <v>611</v>
      </c>
      <c r="E454" s="14" t="n">
        <v>0.25</v>
      </c>
      <c r="F454" s="17" t="n">
        <v>22</v>
      </c>
      <c r="G454" s="15" t="n">
        <v>0.179834950084663</v>
      </c>
      <c r="H454" s="16" t="n">
        <v>0.173664592614749</v>
      </c>
    </row>
    <row r="455">
      <c r="A455" t="s">
        <v>32</v>
      </c>
      <c r="B455" t="s">
        <v>1333</v>
      </c>
      <c r="C455" t="s">
        <v>1335</v>
      </c>
      <c r="D455" t="s">
        <v>611</v>
      </c>
      <c r="E455" s="14" t="n">
        <v>0.25</v>
      </c>
      <c r="F455" s="17" t="n">
        <v>29</v>
      </c>
      <c r="G455" s="15" t="n">
        <v>0.132479816058301</v>
      </c>
      <c r="H455" s="16" t="n">
        <v>0.212012024039106</v>
      </c>
    </row>
    <row r="456">
      <c r="A456" t="s">
        <v>30</v>
      </c>
      <c r="B456" t="s">
        <v>1336</v>
      </c>
      <c r="C456" t="s">
        <v>1337</v>
      </c>
      <c r="D456" t="s">
        <v>611</v>
      </c>
      <c r="E456" s="14" t="n">
        <v>0</v>
      </c>
      <c r="F456" s="17" t="n">
        <v>9</v>
      </c>
      <c r="G456" s="15" t="n">
        <v>0</v>
      </c>
      <c r="H456" s="16" t="n">
        <v>0</v>
      </c>
    </row>
    <row r="457">
      <c r="A457" t="s">
        <v>30</v>
      </c>
      <c r="B457" t="s">
        <v>1336</v>
      </c>
      <c r="C457" t="s">
        <v>1338</v>
      </c>
      <c r="D457" t="s">
        <v>611</v>
      </c>
      <c r="E457" s="14" t="n">
        <v>0.25</v>
      </c>
      <c r="F457" s="17" t="n">
        <v>55</v>
      </c>
      <c r="G457" s="15" t="n">
        <v>-0.0855050358314172</v>
      </c>
      <c r="H457" s="16" t="n">
        <v>0.234923155196477</v>
      </c>
    </row>
    <row r="458">
      <c r="A458" t="s">
        <v>32</v>
      </c>
      <c r="B458" t="s">
        <v>1339</v>
      </c>
      <c r="C458" t="s">
        <v>1340</v>
      </c>
      <c r="D458" t="s">
        <v>611</v>
      </c>
      <c r="E458" s="14" t="n">
        <v>0.25</v>
      </c>
      <c r="F458" s="17" t="n">
        <v>30</v>
      </c>
      <c r="G458" s="15" t="n">
        <v>0.125</v>
      </c>
      <c r="H458" s="16" t="n">
        <v>0.21650635094611</v>
      </c>
    </row>
    <row r="459">
      <c r="A459" t="s">
        <v>32</v>
      </c>
      <c r="B459" t="s">
        <v>1341</v>
      </c>
      <c r="C459" t="s">
        <v>1342</v>
      </c>
      <c r="D459" t="s">
        <v>611</v>
      </c>
      <c r="E459" s="14" t="n">
        <v>0.5</v>
      </c>
      <c r="F459" s="17" t="n">
        <v>53</v>
      </c>
      <c r="G459" s="15" t="n">
        <v>-0.1378186779085</v>
      </c>
      <c r="H459" s="16" t="n">
        <v>0.480630847969159</v>
      </c>
    </row>
    <row r="460">
      <c r="A460" t="s">
        <v>32</v>
      </c>
      <c r="B460" t="s">
        <v>1341</v>
      </c>
      <c r="C460" t="s">
        <v>1343</v>
      </c>
      <c r="D460" t="s">
        <v>611</v>
      </c>
      <c r="E460" s="14" t="n">
        <v>1.25</v>
      </c>
      <c r="F460" s="17" t="n">
        <v>133</v>
      </c>
      <c r="G460" s="15" t="n">
        <v>-0.087195592180157</v>
      </c>
      <c r="H460" s="16" t="n">
        <v>-1.24695506282478</v>
      </c>
    </row>
    <row r="461">
      <c r="A461" t="s">
        <v>30</v>
      </c>
      <c r="B461" t="s">
        <v>1344</v>
      </c>
      <c r="C461" t="s">
        <v>1345</v>
      </c>
      <c r="D461" t="s">
        <v>611</v>
      </c>
      <c r="E461" s="14" t="n">
        <v>0.25</v>
      </c>
      <c r="F461" s="17" t="n">
        <v>160</v>
      </c>
      <c r="G461" s="15" t="n">
        <v>0.191511110779744</v>
      </c>
      <c r="H461" s="16" t="n">
        <v>-0.160696902421635</v>
      </c>
    </row>
    <row r="462">
      <c r="A462" t="s">
        <v>30</v>
      </c>
      <c r="B462" t="s">
        <v>1344</v>
      </c>
      <c r="C462" t="s">
        <v>1346</v>
      </c>
      <c r="D462" t="s">
        <v>611</v>
      </c>
      <c r="E462" s="14" t="n">
        <v>0.25</v>
      </c>
      <c r="F462" s="17" t="n">
        <v>20</v>
      </c>
      <c r="G462" s="15" t="n">
        <v>0.191511110779745</v>
      </c>
      <c r="H462" s="16" t="n">
        <v>0.160696902421635</v>
      </c>
    </row>
    <row r="463">
      <c r="A463" t="s">
        <v>31</v>
      </c>
      <c r="B463" t="s">
        <v>1347</v>
      </c>
      <c r="C463" t="s">
        <v>1348</v>
      </c>
      <c r="D463" t="s">
        <v>611</v>
      </c>
      <c r="E463" s="14" t="n">
        <v>0</v>
      </c>
      <c r="F463" s="17" t="n">
        <v>32</v>
      </c>
      <c r="G463" s="15" t="n">
        <v>0</v>
      </c>
      <c r="H463" s="16" t="n">
        <v>0</v>
      </c>
    </row>
    <row r="464">
      <c r="A464" t="s">
        <v>32</v>
      </c>
      <c r="B464" t="s">
        <v>1349</v>
      </c>
      <c r="C464" t="s">
        <v>1350</v>
      </c>
      <c r="D464" t="s">
        <v>611</v>
      </c>
      <c r="E464" s="14" t="n">
        <v>0.25</v>
      </c>
      <c r="F464" s="17" t="n">
        <v>146</v>
      </c>
      <c r="G464" s="15" t="n">
        <v>0.093651648353978</v>
      </c>
      <c r="H464" s="16" t="n">
        <v>-0.231795963641697</v>
      </c>
    </row>
    <row r="465">
      <c r="A465" t="s">
        <v>32</v>
      </c>
      <c r="B465" t="s">
        <v>1349</v>
      </c>
      <c r="C465" t="s">
        <v>1351</v>
      </c>
      <c r="D465" t="s">
        <v>611</v>
      </c>
      <c r="E465" s="14" t="n">
        <v>0</v>
      </c>
      <c r="F465" s="17" t="n">
        <v>29</v>
      </c>
      <c r="G465" s="15" t="n">
        <v>0</v>
      </c>
      <c r="H465" s="16" t="n">
        <v>0</v>
      </c>
    </row>
    <row r="466">
      <c r="A466" t="s">
        <v>30</v>
      </c>
      <c r="B466" t="s">
        <v>1352</v>
      </c>
      <c r="C466" t="s">
        <v>1353</v>
      </c>
      <c r="D466" t="s">
        <v>611</v>
      </c>
      <c r="E466" s="14" t="n">
        <v>0.25</v>
      </c>
      <c r="F466" s="17" t="n">
        <v>67</v>
      </c>
      <c r="G466" s="15" t="n">
        <v>-0.173664592614749</v>
      </c>
      <c r="H466" s="16" t="n">
        <v>0.179834950084663</v>
      </c>
    </row>
    <row r="467">
      <c r="A467" t="s">
        <v>30</v>
      </c>
      <c r="B467" t="s">
        <v>1352</v>
      </c>
      <c r="C467" t="s">
        <v>1354</v>
      </c>
      <c r="D467" t="s">
        <v>611</v>
      </c>
      <c r="E467" s="14" t="n">
        <v>0.25</v>
      </c>
      <c r="F467" s="17" t="n">
        <v>132</v>
      </c>
      <c r="G467" s="15" t="n">
        <v>-0.0261321158169136</v>
      </c>
      <c r="H467" s="16" t="n">
        <v>-0.248630473842068</v>
      </c>
    </row>
    <row r="468">
      <c r="A468" t="s">
        <v>31</v>
      </c>
      <c r="B468" t="s">
        <v>1355</v>
      </c>
      <c r="C468" t="s">
        <v>1356</v>
      </c>
      <c r="D468" t="s">
        <v>611</v>
      </c>
      <c r="E468" s="14" t="n">
        <v>0.25</v>
      </c>
      <c r="F468" s="17" t="n">
        <v>174</v>
      </c>
      <c r="G468" s="15" t="n">
        <v>0.244536900183451</v>
      </c>
      <c r="H468" s="16" t="n">
        <v>-0.0519779227044398</v>
      </c>
    </row>
    <row r="469">
      <c r="A469" t="s">
        <v>31</v>
      </c>
      <c r="B469" t="s">
        <v>1355</v>
      </c>
      <c r="C469" t="s">
        <v>1357</v>
      </c>
      <c r="D469" t="s">
        <v>611</v>
      </c>
      <c r="E469" s="14" t="n">
        <v>0.25</v>
      </c>
      <c r="F469" s="17" t="n">
        <v>138</v>
      </c>
      <c r="G469" s="15" t="n">
        <v>0.0261321158169135</v>
      </c>
      <c r="H469" s="16" t="n">
        <v>-0.248630473842068</v>
      </c>
    </row>
    <row r="470">
      <c r="A470" t="s">
        <v>32</v>
      </c>
      <c r="B470" t="s">
        <v>1358</v>
      </c>
      <c r="C470" t="s">
        <v>1359</v>
      </c>
      <c r="D470" t="s">
        <v>611</v>
      </c>
      <c r="E470" s="14" t="n">
        <v>0.25</v>
      </c>
      <c r="F470" s="17" t="n">
        <v>92</v>
      </c>
      <c r="G470" s="15" t="n">
        <v>-0.249391012564956</v>
      </c>
      <c r="H470" s="16" t="n">
        <v>-0.0174391184360313</v>
      </c>
    </row>
    <row r="471">
      <c r="A471" t="s">
        <v>32</v>
      </c>
      <c r="B471" t="s">
        <v>1358</v>
      </c>
      <c r="C471" t="s">
        <v>1360</v>
      </c>
      <c r="D471" t="s">
        <v>611</v>
      </c>
      <c r="E471" s="14" t="n">
        <v>0.25</v>
      </c>
      <c r="F471" s="17" t="n">
        <v>75</v>
      </c>
      <c r="G471" s="15" t="n">
        <v>-0.21650635094611</v>
      </c>
      <c r="H471" s="16" t="n">
        <v>0.125</v>
      </c>
    </row>
    <row r="472">
      <c r="A472" t="s">
        <v>31</v>
      </c>
      <c r="B472" t="s">
        <v>1361</v>
      </c>
      <c r="C472" t="s">
        <v>1362</v>
      </c>
      <c r="D472" t="s">
        <v>611</v>
      </c>
      <c r="E472" s="14" t="n">
        <v>0.25</v>
      </c>
      <c r="F472" s="17" t="n">
        <v>99</v>
      </c>
      <c r="G472" s="15" t="n">
        <v>-0.237764129073788</v>
      </c>
      <c r="H472" s="16" t="n">
        <v>-0.077254248593737</v>
      </c>
    </row>
    <row r="473">
      <c r="A473" t="s">
        <v>31</v>
      </c>
      <c r="B473" t="s">
        <v>1361</v>
      </c>
      <c r="C473" t="s">
        <v>1363</v>
      </c>
      <c r="D473" t="s">
        <v>611</v>
      </c>
      <c r="E473" s="14" t="n">
        <v>0.25</v>
      </c>
      <c r="F473" s="17" t="n">
        <v>44</v>
      </c>
      <c r="G473" s="15" t="n">
        <v>0.00872487417562527</v>
      </c>
      <c r="H473" s="16" t="n">
        <v>0.249847706754774</v>
      </c>
    </row>
    <row r="474">
      <c r="A474" t="s">
        <v>30</v>
      </c>
      <c r="B474" t="s">
        <v>1364</v>
      </c>
      <c r="C474" t="s">
        <v>1365</v>
      </c>
      <c r="D474" t="s">
        <v>611</v>
      </c>
      <c r="E474" s="14" t="n">
        <v>0.25</v>
      </c>
      <c r="F474" s="17" t="n">
        <v>161</v>
      </c>
      <c r="G474" s="15" t="n">
        <v>0.197002688401681</v>
      </c>
      <c r="H474" s="16" t="n">
        <v>-0.153915368831415</v>
      </c>
    </row>
    <row r="475">
      <c r="A475" t="s">
        <v>30</v>
      </c>
      <c r="B475" t="s">
        <v>1364</v>
      </c>
      <c r="C475" t="s">
        <v>1366</v>
      </c>
      <c r="D475" t="s">
        <v>611</v>
      </c>
      <c r="E475" s="14" t="n">
        <v>0.25</v>
      </c>
      <c r="F475" s="17" t="n">
        <v>46</v>
      </c>
      <c r="G475" s="15" t="n">
        <v>-0.00872487417562518</v>
      </c>
      <c r="H475" s="16" t="n">
        <v>0.249847706754774</v>
      </c>
    </row>
    <row r="476">
      <c r="A476" t="s">
        <v>30</v>
      </c>
      <c r="B476" t="s">
        <v>1367</v>
      </c>
      <c r="C476" t="s">
        <v>1368</v>
      </c>
      <c r="D476" t="s">
        <v>611</v>
      </c>
      <c r="E476" s="14" t="n">
        <v>0</v>
      </c>
      <c r="F476" s="17" t="n">
        <v>80</v>
      </c>
      <c r="G476" s="15" t="n">
        <v>0</v>
      </c>
      <c r="H476" s="16" t="n">
        <v>0</v>
      </c>
    </row>
    <row r="477">
      <c r="A477" t="s">
        <v>30</v>
      </c>
      <c r="B477" t="s">
        <v>1367</v>
      </c>
      <c r="C477" t="s">
        <v>1369</v>
      </c>
      <c r="D477" t="s">
        <v>611</v>
      </c>
      <c r="E477" s="14" t="n">
        <v>0.25</v>
      </c>
      <c r="F477" s="17" t="n">
        <v>75</v>
      </c>
      <c r="G477" s="15" t="n">
        <v>-0.21650635094611</v>
      </c>
      <c r="H477" s="16" t="n">
        <v>0.125</v>
      </c>
    </row>
    <row r="478">
      <c r="A478" t="s">
        <v>30</v>
      </c>
      <c r="B478" t="s">
        <v>1370</v>
      </c>
      <c r="C478" t="s">
        <v>1371</v>
      </c>
      <c r="D478" t="s">
        <v>611</v>
      </c>
      <c r="E478" s="14" t="n">
        <v>0.25</v>
      </c>
      <c r="F478" s="17" t="n">
        <v>91</v>
      </c>
      <c r="G478" s="15" t="n">
        <v>-0.249847706754774</v>
      </c>
      <c r="H478" s="16" t="n">
        <v>-0.00872487417562529</v>
      </c>
    </row>
    <row r="479">
      <c r="A479" t="s">
        <v>31</v>
      </c>
      <c r="B479" t="s">
        <v>1372</v>
      </c>
      <c r="C479" t="s">
        <v>1373</v>
      </c>
      <c r="D479" t="s">
        <v>611</v>
      </c>
      <c r="E479" s="14" t="n">
        <v>0.25</v>
      </c>
      <c r="F479" s="17" t="n">
        <v>66</v>
      </c>
      <c r="G479" s="15" t="n">
        <v>-0.167282651589714</v>
      </c>
      <c r="H479" s="16" t="n">
        <v>0.185786206369349</v>
      </c>
    </row>
    <row r="480">
      <c r="A480" t="s">
        <v>31</v>
      </c>
      <c r="B480" t="s">
        <v>1372</v>
      </c>
      <c r="C480" t="s">
        <v>1374</v>
      </c>
      <c r="D480" t="s">
        <v>611</v>
      </c>
      <c r="E480" s="14" t="n">
        <v>0.25</v>
      </c>
      <c r="F480" s="17" t="n">
        <v>47</v>
      </c>
      <c r="G480" s="15" t="n">
        <v>-0.0174391184360313</v>
      </c>
      <c r="H480" s="16" t="n">
        <v>0.249391012564956</v>
      </c>
    </row>
    <row r="481">
      <c r="A481" t="s">
        <v>30</v>
      </c>
      <c r="B481" t="s">
        <v>1375</v>
      </c>
      <c r="C481" t="s">
        <v>1376</v>
      </c>
      <c r="D481" t="s">
        <v>611</v>
      </c>
      <c r="E481" s="14" t="n">
        <v>0.5</v>
      </c>
      <c r="F481" s="17" t="n">
        <v>154</v>
      </c>
      <c r="G481" s="15" t="n">
        <v>0.307830737662829</v>
      </c>
      <c r="H481" s="16" t="n">
        <v>-0.394005376803361</v>
      </c>
    </row>
    <row r="482">
      <c r="A482" t="s">
        <v>30</v>
      </c>
      <c r="B482" t="s">
        <v>1377</v>
      </c>
      <c r="C482" t="s">
        <v>1378</v>
      </c>
      <c r="D482" t="s">
        <v>611</v>
      </c>
      <c r="E482" s="14" t="n">
        <v>0.25</v>
      </c>
      <c r="F482" s="17" t="n">
        <v>95</v>
      </c>
      <c r="G482" s="15" t="n">
        <v>-0.246201938253052</v>
      </c>
      <c r="H482" s="16" t="n">
        <v>-0.0434120444167327</v>
      </c>
    </row>
    <row r="483">
      <c r="A483" t="s">
        <v>32</v>
      </c>
      <c r="B483" t="s">
        <v>1379</v>
      </c>
      <c r="C483" t="s">
        <v>1380</v>
      </c>
      <c r="D483" t="s">
        <v>611</v>
      </c>
      <c r="E483" s="14" t="n">
        <v>0.25</v>
      </c>
      <c r="F483" s="17" t="n">
        <v>114</v>
      </c>
      <c r="G483" s="15" t="n">
        <v>-0.167282651589715</v>
      </c>
      <c r="H483" s="16" t="n">
        <v>-0.185786206369349</v>
      </c>
    </row>
    <row r="484">
      <c r="A484" t="s">
        <v>32</v>
      </c>
      <c r="B484" t="s">
        <v>1379</v>
      </c>
      <c r="C484" t="s">
        <v>1381</v>
      </c>
      <c r="D484" t="s">
        <v>611</v>
      </c>
      <c r="E484" s="14" t="n">
        <v>0</v>
      </c>
      <c r="F484" s="17" t="n">
        <v>145</v>
      </c>
      <c r="G484" s="15" t="n">
        <v>0</v>
      </c>
      <c r="H484" s="16" t="n">
        <v>0</v>
      </c>
    </row>
    <row r="485">
      <c r="A485" t="s">
        <v>32</v>
      </c>
      <c r="B485" t="s">
        <v>1382</v>
      </c>
      <c r="C485" t="s">
        <v>1383</v>
      </c>
      <c r="D485" t="s">
        <v>611</v>
      </c>
      <c r="E485" s="14" t="n">
        <v>0</v>
      </c>
      <c r="F485" s="17" t="n">
        <v>78</v>
      </c>
      <c r="G485" s="15" t="n">
        <v>0</v>
      </c>
      <c r="H485" s="16" t="n">
        <v>0</v>
      </c>
    </row>
    <row r="486">
      <c r="A486" t="s">
        <v>32</v>
      </c>
      <c r="B486" t="s">
        <v>1382</v>
      </c>
      <c r="C486" t="s">
        <v>1384</v>
      </c>
      <c r="D486" t="s">
        <v>611</v>
      </c>
      <c r="E486" s="14" t="n">
        <v>0.25</v>
      </c>
      <c r="F486" s="17" t="n">
        <v>69</v>
      </c>
      <c r="G486" s="15" t="n">
        <v>-0.185786206369349</v>
      </c>
      <c r="H486" s="16" t="n">
        <v>0.167282651589715</v>
      </c>
    </row>
    <row r="487">
      <c r="A487" t="s">
        <v>32</v>
      </c>
      <c r="B487" t="s">
        <v>1385</v>
      </c>
      <c r="C487" t="s">
        <v>1386</v>
      </c>
      <c r="D487" t="s">
        <v>611</v>
      </c>
      <c r="E487" s="14" t="n">
        <v>0.25</v>
      </c>
      <c r="F487" s="17" t="n">
        <v>46</v>
      </c>
      <c r="G487" s="15" t="n">
        <v>-0.00872487417562518</v>
      </c>
      <c r="H487" s="16" t="n">
        <v>0.249847706754774</v>
      </c>
    </row>
    <row r="488">
      <c r="A488" t="s">
        <v>30</v>
      </c>
      <c r="B488" t="s">
        <v>609</v>
      </c>
      <c r="C488" t="s">
        <v>610</v>
      </c>
      <c r="D488" t="s">
        <v>1387</v>
      </c>
      <c r="E488" s="14" t="n">
        <v>0.701665839331418</v>
      </c>
      <c r="F488" s="17" t="n">
        <v>131.835091072272</v>
      </c>
      <c r="G488" s="15" t="n">
        <v>-0.0773597625930865</v>
      </c>
      <c r="H488" s="16" t="n">
        <v>-0.697388282964522</v>
      </c>
    </row>
    <row r="489">
      <c r="A489" t="s">
        <v>30</v>
      </c>
      <c r="B489" t="s">
        <v>609</v>
      </c>
      <c r="C489" t="s">
        <v>612</v>
      </c>
      <c r="D489" t="s">
        <v>1387</v>
      </c>
      <c r="E489" s="14" t="n">
        <v>0.696076524147333</v>
      </c>
      <c r="F489" s="17" t="n">
        <v>31.2744093150821</v>
      </c>
      <c r="G489" s="15" t="n">
        <v>0.320886176666159</v>
      </c>
      <c r="H489" s="16" t="n">
        <v>0.617701051556178</v>
      </c>
    </row>
    <row r="490">
      <c r="A490" t="s">
        <v>30</v>
      </c>
      <c r="B490" t="s">
        <v>613</v>
      </c>
      <c r="C490" t="s">
        <v>614</v>
      </c>
      <c r="D490" t="s">
        <v>1387</v>
      </c>
      <c r="E490" s="14" t="n">
        <v>0.302578465932824</v>
      </c>
      <c r="F490" s="17" t="n">
        <v>56.4520633993617</v>
      </c>
      <c r="G490" s="15" t="n">
        <v>-0.117760603517933</v>
      </c>
      <c r="H490" s="16" t="n">
        <v>0.278722385727005</v>
      </c>
    </row>
    <row r="491">
      <c r="A491" t="s">
        <v>31</v>
      </c>
      <c r="B491" t="s">
        <v>615</v>
      </c>
      <c r="C491" t="s">
        <v>616</v>
      </c>
      <c r="D491" t="s">
        <v>1387</v>
      </c>
      <c r="E491" s="14" t="n">
        <v>0.278526201287281</v>
      </c>
      <c r="F491" s="17" t="n">
        <v>13.9389935721666</v>
      </c>
      <c r="G491" s="15" t="n">
        <v>0.246201938253052</v>
      </c>
      <c r="H491" s="16" t="n">
        <v>0.130236133250198</v>
      </c>
    </row>
    <row r="492">
      <c r="A492" t="s">
        <v>31</v>
      </c>
      <c r="B492" t="s">
        <v>615</v>
      </c>
      <c r="C492" t="s">
        <v>617</v>
      </c>
      <c r="D492" t="s">
        <v>1387</v>
      </c>
      <c r="E492" s="14" t="n">
        <v>0.21130913087035</v>
      </c>
      <c r="F492" s="17" t="n">
        <v>139.5</v>
      </c>
      <c r="G492" s="15" t="n">
        <v>0.0330560308458193</v>
      </c>
      <c r="H492" s="16" t="n">
        <v>-0.208707564821937</v>
      </c>
    </row>
    <row r="493">
      <c r="A493" t="s">
        <v>32</v>
      </c>
      <c r="B493" t="s">
        <v>618</v>
      </c>
      <c r="C493" t="s">
        <v>619</v>
      </c>
      <c r="D493" t="s">
        <v>1387</v>
      </c>
      <c r="E493" s="14" t="n">
        <v>0.25</v>
      </c>
      <c r="F493" s="17" t="n">
        <v>147</v>
      </c>
      <c r="G493" s="15" t="n">
        <v>0.10168416076895</v>
      </c>
      <c r="H493" s="16" t="n">
        <v>-0.22838636441065</v>
      </c>
    </row>
    <row r="494">
      <c r="A494" t="s">
        <v>30</v>
      </c>
      <c r="B494" t="s">
        <v>620</v>
      </c>
      <c r="C494" t="s">
        <v>621</v>
      </c>
      <c r="D494" t="s">
        <v>1387</v>
      </c>
      <c r="E494" s="14" t="n">
        <v>0.697255041297479</v>
      </c>
      <c r="F494" s="17" t="n">
        <v>171.526706498309</v>
      </c>
      <c r="G494" s="15" t="n">
        <v>0.666978065099262</v>
      </c>
      <c r="H494" s="16" t="n">
        <v>-0.203235954720599</v>
      </c>
    </row>
    <row r="495">
      <c r="A495" t="s">
        <v>30</v>
      </c>
      <c r="B495" t="s">
        <v>620</v>
      </c>
      <c r="C495" t="s">
        <v>622</v>
      </c>
      <c r="D495" t="s">
        <v>1387</v>
      </c>
      <c r="E495" s="14" t="n">
        <v>1.11831679937903</v>
      </c>
      <c r="F495" s="17" t="n">
        <v>10.4975856353608</v>
      </c>
      <c r="G495" s="15" t="n">
        <v>1.04407244650596</v>
      </c>
      <c r="H495" s="16" t="n">
        <v>0.400680908230509</v>
      </c>
    </row>
    <row r="496">
      <c r="A496" t="s">
        <v>31</v>
      </c>
      <c r="B496" t="s">
        <v>623</v>
      </c>
      <c r="C496" t="s">
        <v>624</v>
      </c>
      <c r="D496" t="s">
        <v>1387</v>
      </c>
      <c r="E496" s="14" t="n">
        <v>0.25</v>
      </c>
      <c r="F496" s="17" t="n">
        <v>9.00000000000001</v>
      </c>
      <c r="G496" s="15" t="n">
        <v>0.237764129073788</v>
      </c>
      <c r="H496" s="16" t="n">
        <v>0.077254248593737</v>
      </c>
    </row>
    <row r="497">
      <c r="A497" t="s">
        <v>30</v>
      </c>
      <c r="B497" t="s">
        <v>625</v>
      </c>
      <c r="C497" t="s">
        <v>626</v>
      </c>
      <c r="D497" t="s">
        <v>1387</v>
      </c>
      <c r="E497" s="14" t="n">
        <v>0.502050086382721</v>
      </c>
      <c r="F497" s="17" t="n">
        <v>96.4918201359158</v>
      </c>
      <c r="G497" s="15" t="n">
        <v>-0.4892148021942</v>
      </c>
      <c r="H497" s="16" t="n">
        <v>-0.112797014814166</v>
      </c>
    </row>
    <row r="498">
      <c r="A498" t="s">
        <v>30</v>
      </c>
      <c r="B498" t="s">
        <v>625</v>
      </c>
      <c r="C498" t="s">
        <v>627</v>
      </c>
      <c r="D498" t="s">
        <v>1387</v>
      </c>
      <c r="E498" s="14" t="n">
        <v>0.324408086923306</v>
      </c>
      <c r="F498" s="17" t="n">
        <v>93.2365999646575</v>
      </c>
      <c r="G498" s="15" t="n">
        <v>-0.322339887309263</v>
      </c>
      <c r="H498" s="16" t="n">
        <v>-0.0365732677059522</v>
      </c>
    </row>
    <row r="499">
      <c r="A499" t="s">
        <v>30</v>
      </c>
      <c r="B499" t="s">
        <v>628</v>
      </c>
      <c r="C499" t="s">
        <v>629</v>
      </c>
      <c r="D499" t="s">
        <v>1387</v>
      </c>
      <c r="E499" s="14" t="n">
        <v>0.644439804169847</v>
      </c>
      <c r="F499" s="17" t="n">
        <v>13.3802114236752</v>
      </c>
      <c r="G499" s="15" t="n">
        <v>0.575418399966463</v>
      </c>
      <c r="H499" s="16" t="n">
        <v>0.290166032089398</v>
      </c>
    </row>
    <row r="500">
      <c r="A500" t="s">
        <v>30</v>
      </c>
      <c r="B500" t="s">
        <v>630</v>
      </c>
      <c r="C500" t="s">
        <v>631</v>
      </c>
      <c r="D500" t="s">
        <v>1387</v>
      </c>
      <c r="E500" s="14" t="n">
        <v>1.75041797450606</v>
      </c>
      <c r="F500" s="17" t="n">
        <v>18.9044518775901</v>
      </c>
      <c r="G500" s="15" t="n">
        <v>1.38293479989296</v>
      </c>
      <c r="H500" s="16" t="n">
        <v>1.07305844422329</v>
      </c>
    </row>
    <row r="501">
      <c r="A501" t="s">
        <v>30</v>
      </c>
      <c r="B501" t="s">
        <v>630</v>
      </c>
      <c r="C501" t="s">
        <v>632</v>
      </c>
      <c r="D501" t="s">
        <v>1387</v>
      </c>
      <c r="E501" s="14" t="n">
        <v>1.52069063257456</v>
      </c>
      <c r="F501" s="17" t="n">
        <v>167.268838895987</v>
      </c>
      <c r="G501" s="15" t="n">
        <v>1.37298320495323</v>
      </c>
      <c r="H501" s="16" t="n">
        <v>-0.653771457710079</v>
      </c>
    </row>
    <row r="502">
      <c r="A502" t="s">
        <v>30</v>
      </c>
      <c r="B502" t="s">
        <v>633</v>
      </c>
      <c r="C502" t="s">
        <v>634</v>
      </c>
      <c r="D502" t="s">
        <v>1387</v>
      </c>
      <c r="E502" s="14" t="n">
        <v>1.01517962810309</v>
      </c>
      <c r="F502" s="17" t="n">
        <v>173.182188084866</v>
      </c>
      <c r="G502" s="15" t="n">
        <v>0.986566396775205</v>
      </c>
      <c r="H502" s="16" t="n">
        <v>-0.239324929895566</v>
      </c>
    </row>
    <row r="503">
      <c r="A503" t="s">
        <v>30</v>
      </c>
      <c r="B503" t="s">
        <v>633</v>
      </c>
      <c r="C503" t="s">
        <v>635</v>
      </c>
      <c r="D503" t="s">
        <v>1387</v>
      </c>
      <c r="E503" s="14" t="n">
        <v>0.398226858924138</v>
      </c>
      <c r="F503" s="17" t="n">
        <v>7.17502650940258</v>
      </c>
      <c r="G503" s="15" t="n">
        <v>0.385802015986239</v>
      </c>
      <c r="H503" s="16" t="n">
        <v>0.0986987113874304</v>
      </c>
    </row>
    <row r="504">
      <c r="A504" t="s">
        <v>30</v>
      </c>
      <c r="B504" t="s">
        <v>636</v>
      </c>
      <c r="C504" t="s">
        <v>637</v>
      </c>
      <c r="D504" t="s">
        <v>1387</v>
      </c>
      <c r="E504" s="14" t="n">
        <v>0.25</v>
      </c>
      <c r="F504" s="17" t="n">
        <v>165</v>
      </c>
      <c r="G504" s="15" t="n">
        <v>0.21650635094611</v>
      </c>
      <c r="H504" s="16" t="n">
        <v>-0.125</v>
      </c>
    </row>
    <row r="505">
      <c r="A505" t="s">
        <v>31</v>
      </c>
      <c r="B505" t="s">
        <v>638</v>
      </c>
      <c r="C505" t="s">
        <v>639</v>
      </c>
      <c r="D505" t="s">
        <v>1387</v>
      </c>
      <c r="E505" s="14" t="n">
        <v>0.756842181131559</v>
      </c>
      <c r="F505" s="17" t="n">
        <v>6.54658355721604</v>
      </c>
      <c r="G505" s="15" t="n">
        <v>0.73716654735058</v>
      </c>
      <c r="H505" s="16" t="n">
        <v>0.171451359304034</v>
      </c>
    </row>
    <row r="506">
      <c r="A506" t="s">
        <v>31</v>
      </c>
      <c r="B506" t="s">
        <v>638</v>
      </c>
      <c r="C506" t="s">
        <v>640</v>
      </c>
      <c r="D506" t="s">
        <v>1387</v>
      </c>
      <c r="E506" s="14" t="n">
        <v>0.279596451735374</v>
      </c>
      <c r="F506" s="17" t="n">
        <v>166</v>
      </c>
      <c r="G506" s="15" t="n">
        <v>0.246869014031645</v>
      </c>
      <c r="H506" s="16" t="n">
        <v>-0.131262583145596</v>
      </c>
    </row>
    <row r="507">
      <c r="A507" t="s">
        <v>31</v>
      </c>
      <c r="B507" t="s">
        <v>641</v>
      </c>
      <c r="C507" t="s">
        <v>642</v>
      </c>
      <c r="D507" t="s">
        <v>1387</v>
      </c>
      <c r="E507" s="14" t="n">
        <v>0.838670567945424</v>
      </c>
      <c r="F507" s="17" t="n">
        <v>107.5</v>
      </c>
      <c r="G507" s="15" t="n">
        <v>-0.686998710217504</v>
      </c>
      <c r="H507" s="16" t="n">
        <v>-0.481041675634644</v>
      </c>
    </row>
    <row r="508">
      <c r="A508" t="s">
        <v>31</v>
      </c>
      <c r="B508" t="s">
        <v>641</v>
      </c>
      <c r="C508" t="s">
        <v>643</v>
      </c>
      <c r="D508" t="s">
        <v>1387</v>
      </c>
      <c r="E508" s="14" t="n">
        <v>0.478152377981518</v>
      </c>
      <c r="F508" s="17" t="n">
        <v>67.5</v>
      </c>
      <c r="G508" s="15" t="n">
        <v>-0.338104788911204</v>
      </c>
      <c r="H508" s="16" t="n">
        <v>0.338104788911204</v>
      </c>
    </row>
    <row r="509">
      <c r="A509" t="s">
        <v>30</v>
      </c>
      <c r="B509" t="s">
        <v>644</v>
      </c>
      <c r="C509" t="s">
        <v>645</v>
      </c>
      <c r="D509" t="s">
        <v>1387</v>
      </c>
      <c r="E509" s="14" t="n">
        <v>0.470629296575296</v>
      </c>
      <c r="F509" s="17" t="n">
        <v>70.4250866319866</v>
      </c>
      <c r="G509" s="15" t="n">
        <v>-0.364971914643143</v>
      </c>
      <c r="H509" s="16" t="n">
        <v>0.297132018329692</v>
      </c>
    </row>
    <row r="510">
      <c r="A510" t="s">
        <v>30</v>
      </c>
      <c r="B510" t="s">
        <v>646</v>
      </c>
      <c r="C510" t="s">
        <v>647</v>
      </c>
      <c r="D510" t="s">
        <v>1387</v>
      </c>
      <c r="E510" s="14" t="n">
        <v>0.5</v>
      </c>
      <c r="F510" s="17" t="n">
        <v>85</v>
      </c>
      <c r="G510" s="15" t="n">
        <v>-0.492403876506104</v>
      </c>
      <c r="H510" s="16" t="n">
        <v>0.0868240888334653</v>
      </c>
    </row>
    <row r="511">
      <c r="A511" t="s">
        <v>31</v>
      </c>
      <c r="B511" t="s">
        <v>648</v>
      </c>
      <c r="C511" t="s">
        <v>649</v>
      </c>
      <c r="D511" t="s">
        <v>1387</v>
      </c>
      <c r="E511" s="14" t="n">
        <v>0.264194906165547</v>
      </c>
      <c r="F511" s="17" t="n">
        <v>81.3643173027078</v>
      </c>
      <c r="G511" s="15" t="n">
        <v>-0.252282172580185</v>
      </c>
      <c r="H511" s="16" t="n">
        <v>0.0784388541607024</v>
      </c>
    </row>
    <row r="512">
      <c r="A512" t="s">
        <v>31</v>
      </c>
      <c r="B512" t="s">
        <v>648</v>
      </c>
      <c r="C512" t="s">
        <v>650</v>
      </c>
      <c r="D512" t="s">
        <v>1387</v>
      </c>
      <c r="E512" s="14" t="n">
        <v>1.25018273853692</v>
      </c>
      <c r="F512" s="17" t="n">
        <v>98.199931781823</v>
      </c>
      <c r="G512" s="15" t="n">
        <v>-1.19931861233848</v>
      </c>
      <c r="H512" s="16" t="n">
        <v>-0.352975559825581</v>
      </c>
    </row>
    <row r="513">
      <c r="A513" t="s">
        <v>30</v>
      </c>
      <c r="B513" t="s">
        <v>651</v>
      </c>
      <c r="C513" t="s">
        <v>652</v>
      </c>
      <c r="D513" t="s">
        <v>1387</v>
      </c>
      <c r="E513" s="14" t="n">
        <v>1.5</v>
      </c>
      <c r="F513" s="17" t="n">
        <v>57</v>
      </c>
      <c r="G513" s="15" t="n">
        <v>-0.610104964613699</v>
      </c>
      <c r="H513" s="16" t="n">
        <v>1.3703181864639</v>
      </c>
    </row>
    <row r="514">
      <c r="A514" t="s">
        <v>30</v>
      </c>
      <c r="B514" t="s">
        <v>651</v>
      </c>
      <c r="C514" t="s">
        <v>653</v>
      </c>
      <c r="D514" t="s">
        <v>1387</v>
      </c>
      <c r="E514" s="14" t="n">
        <v>1</v>
      </c>
      <c r="F514" s="17" t="n">
        <v>128</v>
      </c>
      <c r="G514" s="15" t="n">
        <v>-0.241921895599668</v>
      </c>
      <c r="H514" s="16" t="n">
        <v>-0.970295726275996</v>
      </c>
    </row>
    <row r="515">
      <c r="A515" t="s">
        <v>30</v>
      </c>
      <c r="B515" t="s">
        <v>654</v>
      </c>
      <c r="C515" t="s">
        <v>655</v>
      </c>
      <c r="D515" t="s">
        <v>1387</v>
      </c>
      <c r="E515" s="14" t="n">
        <v>0.955680516478539</v>
      </c>
      <c r="F515" s="17" t="n">
        <v>4.34430295936188</v>
      </c>
      <c r="G515" s="15" t="n">
        <v>0.944713076822049</v>
      </c>
      <c r="H515" s="16" t="n">
        <v>0.144369152030841</v>
      </c>
    </row>
    <row r="516">
      <c r="A516" t="s">
        <v>30</v>
      </c>
      <c r="B516" t="s">
        <v>654</v>
      </c>
      <c r="C516" t="s">
        <v>656</v>
      </c>
      <c r="D516" t="s">
        <v>1387</v>
      </c>
      <c r="E516" s="14" t="n">
        <v>0.364232137400501</v>
      </c>
      <c r="F516" s="17" t="n">
        <v>20.2381908710744</v>
      </c>
      <c r="G516" s="15" t="n">
        <v>0.277061776327796</v>
      </c>
      <c r="H516" s="16" t="n">
        <v>0.236435661467181</v>
      </c>
    </row>
    <row r="517">
      <c r="A517" t="s">
        <v>30</v>
      </c>
      <c r="B517" t="s">
        <v>657</v>
      </c>
      <c r="C517" t="s">
        <v>658</v>
      </c>
      <c r="D517" t="s">
        <v>1387</v>
      </c>
      <c r="E517" s="14" t="n">
        <v>1.5782663796472</v>
      </c>
      <c r="F517" s="17" t="n">
        <v>31.1217683389765</v>
      </c>
      <c r="G517" s="15" t="n">
        <v>0.735021300334086</v>
      </c>
      <c r="H517" s="16" t="n">
        <v>1.39666332850114</v>
      </c>
    </row>
    <row r="518">
      <c r="A518" t="s">
        <v>30</v>
      </c>
      <c r="B518" t="s">
        <v>657</v>
      </c>
      <c r="C518" t="s">
        <v>659</v>
      </c>
      <c r="D518" t="s">
        <v>1387</v>
      </c>
      <c r="E518" s="14" t="n">
        <v>0.678683151370428</v>
      </c>
      <c r="F518" s="17" t="n">
        <v>158.667174296987</v>
      </c>
      <c r="G518" s="15" t="n">
        <v>0.499049985162536</v>
      </c>
      <c r="H518" s="16" t="n">
        <v>-0.459956446050458</v>
      </c>
    </row>
    <row r="519">
      <c r="A519" t="s">
        <v>32</v>
      </c>
      <c r="B519" t="s">
        <v>660</v>
      </c>
      <c r="C519" t="s">
        <v>661</v>
      </c>
      <c r="D519" t="s">
        <v>1387</v>
      </c>
      <c r="E519" s="14" t="n">
        <v>0.25</v>
      </c>
      <c r="F519" s="17" t="n">
        <v>14</v>
      </c>
      <c r="G519" s="15" t="n">
        <v>0.220736898214732</v>
      </c>
      <c r="H519" s="16" t="n">
        <v>0.117367890696473</v>
      </c>
    </row>
    <row r="520">
      <c r="A520" t="s">
        <v>30</v>
      </c>
      <c r="B520" t="s">
        <v>662</v>
      </c>
      <c r="C520" t="s">
        <v>663</v>
      </c>
      <c r="D520" t="s">
        <v>1387</v>
      </c>
      <c r="E520" s="14" t="n">
        <v>1.99880130539462</v>
      </c>
      <c r="F520" s="17" t="n">
        <v>107.625449863648</v>
      </c>
      <c r="G520" s="15" t="n">
        <v>-1.63228609110227</v>
      </c>
      <c r="H520" s="16" t="n">
        <v>-1.15362419151183</v>
      </c>
    </row>
    <row r="521">
      <c r="A521" t="s">
        <v>30</v>
      </c>
      <c r="B521" t="s">
        <v>662</v>
      </c>
      <c r="C521" t="s">
        <v>664</v>
      </c>
      <c r="D521" t="s">
        <v>1387</v>
      </c>
      <c r="E521" s="14" t="n">
        <v>1.24805209601634</v>
      </c>
      <c r="F521" s="17" t="n">
        <v>67.7987511677608</v>
      </c>
      <c r="G521" s="15" t="n">
        <v>-0.891661058860678</v>
      </c>
      <c r="H521" s="16" t="n">
        <v>0.873255169170066</v>
      </c>
    </row>
    <row r="522">
      <c r="A522" t="s">
        <v>31</v>
      </c>
      <c r="B522" t="s">
        <v>665</v>
      </c>
      <c r="C522" t="s">
        <v>666</v>
      </c>
      <c r="D522" t="s">
        <v>1387</v>
      </c>
      <c r="E522" s="14" t="n">
        <v>1.07322361628472</v>
      </c>
      <c r="F522" s="17" t="n">
        <v>165.107755766053</v>
      </c>
      <c r="G522" s="15" t="n">
        <v>0.931450740071945</v>
      </c>
      <c r="H522" s="16" t="n">
        <v>-0.533112042042454</v>
      </c>
    </row>
    <row r="523">
      <c r="A523" t="s">
        <v>30</v>
      </c>
      <c r="B523" t="s">
        <v>667</v>
      </c>
      <c r="C523" t="s">
        <v>668</v>
      </c>
      <c r="D523" t="s">
        <v>1387</v>
      </c>
      <c r="E523" s="14" t="n">
        <v>1</v>
      </c>
      <c r="F523" s="17" t="n">
        <v>109</v>
      </c>
      <c r="G523" s="15" t="n">
        <v>-0.788010753606722</v>
      </c>
      <c r="H523" s="16" t="n">
        <v>-0.615661475325658</v>
      </c>
    </row>
    <row r="524">
      <c r="A524" t="s">
        <v>32</v>
      </c>
      <c r="B524" t="s">
        <v>669</v>
      </c>
      <c r="C524" t="s">
        <v>670</v>
      </c>
      <c r="D524" t="s">
        <v>1387</v>
      </c>
      <c r="E524" s="14" t="n">
        <v>0.75</v>
      </c>
      <c r="F524" s="17" t="n">
        <v>156</v>
      </c>
      <c r="G524" s="15" t="n">
        <v>0.501847954769144</v>
      </c>
      <c r="H524" s="16" t="n">
        <v>-0.557358619108046</v>
      </c>
    </row>
    <row r="525">
      <c r="A525" t="s">
        <v>32</v>
      </c>
      <c r="B525" t="s">
        <v>669</v>
      </c>
      <c r="C525" t="s">
        <v>671</v>
      </c>
      <c r="D525" t="s">
        <v>1387</v>
      </c>
      <c r="E525" s="14" t="n">
        <v>0.799046902203986</v>
      </c>
      <c r="F525" s="17" t="n">
        <v>21.2282229212206</v>
      </c>
      <c r="G525" s="15" t="n">
        <v>0.589529359508745</v>
      </c>
      <c r="H525" s="16" t="n">
        <v>0.539380279764654</v>
      </c>
    </row>
    <row r="526">
      <c r="A526" t="s">
        <v>32</v>
      </c>
      <c r="B526" t="s">
        <v>672</v>
      </c>
      <c r="C526" t="s">
        <v>673</v>
      </c>
      <c r="D526" t="s">
        <v>1387</v>
      </c>
      <c r="E526" s="14" t="n">
        <v>0.798803675043773</v>
      </c>
      <c r="F526" s="17" t="n">
        <v>172.886656384353</v>
      </c>
      <c r="G526" s="15" t="n">
        <v>0.774305153511782</v>
      </c>
      <c r="H526" s="16" t="n">
        <v>-0.196313118533974</v>
      </c>
    </row>
    <row r="527">
      <c r="A527" t="s">
        <v>32</v>
      </c>
      <c r="B527" t="s">
        <v>672</v>
      </c>
      <c r="C527" t="s">
        <v>674</v>
      </c>
      <c r="D527" t="s">
        <v>1387</v>
      </c>
      <c r="E527" s="14" t="n">
        <v>1.85326032414559</v>
      </c>
      <c r="F527" s="17" t="n">
        <v>3.80647756861189</v>
      </c>
      <c r="G527" s="15" t="n">
        <v>1.83692496570663</v>
      </c>
      <c r="H527" s="16" t="n">
        <v>0.245520873686789</v>
      </c>
    </row>
    <row r="528">
      <c r="A528" t="s">
        <v>32</v>
      </c>
      <c r="B528" t="s">
        <v>675</v>
      </c>
      <c r="C528" t="s">
        <v>676</v>
      </c>
      <c r="D528" t="s">
        <v>1387</v>
      </c>
      <c r="E528" s="14" t="n">
        <v>0.930615577793781</v>
      </c>
      <c r="F528" s="17" t="n">
        <v>170.937865938604</v>
      </c>
      <c r="G528" s="15" t="n">
        <v>0.884442208034806</v>
      </c>
      <c r="H528" s="16" t="n">
        <v>-0.289494964168583</v>
      </c>
    </row>
    <row r="529">
      <c r="A529" t="s">
        <v>32</v>
      </c>
      <c r="B529" t="s">
        <v>675</v>
      </c>
      <c r="C529" t="s">
        <v>677</v>
      </c>
      <c r="D529" t="s">
        <v>1387</v>
      </c>
      <c r="E529" s="14" t="n">
        <v>1.19752762504199</v>
      </c>
      <c r="F529" s="17" t="n">
        <v>22.0149545696287</v>
      </c>
      <c r="G529" s="15" t="n">
        <v>0.860994917079388</v>
      </c>
      <c r="H529" s="16" t="n">
        <v>0.832322152475925</v>
      </c>
    </row>
    <row r="530">
      <c r="A530" t="s">
        <v>31</v>
      </c>
      <c r="B530" t="s">
        <v>678</v>
      </c>
      <c r="C530" t="s">
        <v>679</v>
      </c>
      <c r="D530" t="s">
        <v>1387</v>
      </c>
      <c r="E530" s="14" t="n">
        <v>1.99349160030623</v>
      </c>
      <c r="F530" s="17" t="n">
        <v>3.13071925634203</v>
      </c>
      <c r="G530" s="15" t="n">
        <v>1.98159959413982</v>
      </c>
      <c r="H530" s="16" t="n">
        <v>0.217420810863202</v>
      </c>
    </row>
    <row r="531">
      <c r="A531" t="s">
        <v>31</v>
      </c>
      <c r="B531" t="s">
        <v>678</v>
      </c>
      <c r="C531" t="s">
        <v>680</v>
      </c>
      <c r="D531" t="s">
        <v>1387</v>
      </c>
      <c r="E531" s="14" t="n">
        <v>1.24987815946577</v>
      </c>
      <c r="F531" s="17" t="n">
        <v>1.8000194966076</v>
      </c>
      <c r="G531" s="15" t="n">
        <v>1.2474117570146</v>
      </c>
      <c r="H531" s="16" t="n">
        <v>0.0784813479197503</v>
      </c>
    </row>
    <row r="532">
      <c r="A532" t="s">
        <v>30</v>
      </c>
      <c r="B532" t="s">
        <v>681</v>
      </c>
      <c r="C532" t="s">
        <v>682</v>
      </c>
      <c r="D532" t="s">
        <v>1387</v>
      </c>
      <c r="E532" s="14" t="n">
        <v>0.469846310392954</v>
      </c>
      <c r="F532" s="17" t="n">
        <v>4</v>
      </c>
      <c r="G532" s="15" t="n">
        <v>0.465273798398183</v>
      </c>
      <c r="H532" s="16" t="n">
        <v>0.0653899679920329</v>
      </c>
    </row>
    <row r="533">
      <c r="A533" t="s">
        <v>30</v>
      </c>
      <c r="B533" t="s">
        <v>683</v>
      </c>
      <c r="C533" t="s">
        <v>684</v>
      </c>
      <c r="D533" t="s">
        <v>1387</v>
      </c>
      <c r="E533" s="14" t="n">
        <v>1.10600982994995</v>
      </c>
      <c r="F533" s="17" t="n">
        <v>6.98565361760673</v>
      </c>
      <c r="G533" s="15" t="n">
        <v>1.07329047021003</v>
      </c>
      <c r="H533" s="16" t="n">
        <v>0.267030542264819</v>
      </c>
    </row>
    <row r="534">
      <c r="A534" t="s">
        <v>31</v>
      </c>
      <c r="B534" t="s">
        <v>685</v>
      </c>
      <c r="C534" t="s">
        <v>686</v>
      </c>
      <c r="D534" t="s">
        <v>1387</v>
      </c>
      <c r="E534" s="14" t="n">
        <v>0.739616871051046</v>
      </c>
      <c r="F534" s="17" t="n">
        <v>72.3465985817567</v>
      </c>
      <c r="G534" s="15" t="n">
        <v>-0.603578381257266</v>
      </c>
      <c r="H534" s="16" t="n">
        <v>0.427464915077481</v>
      </c>
    </row>
    <row r="535">
      <c r="A535" t="s">
        <v>32</v>
      </c>
      <c r="B535" t="s">
        <v>687</v>
      </c>
      <c r="C535" t="s">
        <v>688</v>
      </c>
      <c r="D535" t="s">
        <v>1387</v>
      </c>
      <c r="E535" s="14" t="n">
        <v>0.664065513052027</v>
      </c>
      <c r="F535" s="17" t="n">
        <v>160.133849276149</v>
      </c>
      <c r="G535" s="15" t="n">
        <v>0.51069248848468</v>
      </c>
      <c r="H535" s="16" t="n">
        <v>-0.424471657275698</v>
      </c>
    </row>
    <row r="536">
      <c r="A536" t="s">
        <v>32</v>
      </c>
      <c r="B536" t="s">
        <v>687</v>
      </c>
      <c r="C536" t="s">
        <v>689</v>
      </c>
      <c r="D536" t="s">
        <v>1387</v>
      </c>
      <c r="E536" s="14" t="n">
        <v>1.22528788036353</v>
      </c>
      <c r="F536" s="17" t="n">
        <v>46.5434647699637</v>
      </c>
      <c r="G536" s="15" t="n">
        <v>-0.0659830056250522</v>
      </c>
      <c r="H536" s="16" t="n">
        <v>1.22350996429716</v>
      </c>
    </row>
    <row r="537">
      <c r="A537" t="s">
        <v>31</v>
      </c>
      <c r="B537" t="s">
        <v>690</v>
      </c>
      <c r="C537" t="s">
        <v>691</v>
      </c>
      <c r="D537" t="s">
        <v>1387</v>
      </c>
      <c r="E537" s="14" t="n">
        <v>1.35736630274086</v>
      </c>
      <c r="F537" s="17" t="n">
        <v>28.3328257030126</v>
      </c>
      <c r="G537" s="15" t="n">
        <v>0.745905064958991</v>
      </c>
      <c r="H537" s="16" t="n">
        <v>1.13404978457072</v>
      </c>
    </row>
    <row r="538">
      <c r="A538" t="s">
        <v>31</v>
      </c>
      <c r="B538" t="s">
        <v>690</v>
      </c>
      <c r="C538" t="s">
        <v>692</v>
      </c>
      <c r="D538" t="s">
        <v>1387</v>
      </c>
      <c r="E538" s="14" t="n">
        <v>1.25291617774048</v>
      </c>
      <c r="F538" s="17" t="n">
        <v>131.204350549853</v>
      </c>
      <c r="G538" s="15" t="n">
        <v>-0.165517569077105</v>
      </c>
      <c r="H538" s="16" t="n">
        <v>-1.24193513629764</v>
      </c>
    </row>
    <row r="539">
      <c r="A539" t="s">
        <v>31</v>
      </c>
      <c r="B539" t="s">
        <v>693</v>
      </c>
      <c r="C539" t="s">
        <v>694</v>
      </c>
      <c r="D539" t="s">
        <v>1387</v>
      </c>
      <c r="E539" s="14" t="n">
        <v>0.264435376663186</v>
      </c>
      <c r="F539" s="17" t="n">
        <v>162.389269668407</v>
      </c>
      <c r="G539" s="15" t="n">
        <v>0.216024910098001</v>
      </c>
      <c r="H539" s="16" t="n">
        <v>-0.15251002146794</v>
      </c>
    </row>
    <row r="540">
      <c r="A540" t="s">
        <v>31</v>
      </c>
      <c r="B540" t="s">
        <v>693</v>
      </c>
      <c r="C540" t="s">
        <v>695</v>
      </c>
      <c r="D540" t="s">
        <v>1387</v>
      </c>
      <c r="E540" s="14" t="n">
        <v>0.510413633532217</v>
      </c>
      <c r="F540" s="17" t="n">
        <v>23.3131737851372</v>
      </c>
      <c r="G540" s="15" t="n">
        <v>0.350528258147577</v>
      </c>
      <c r="H540" s="16" t="n">
        <v>0.371014848133584</v>
      </c>
    </row>
    <row r="541">
      <c r="A541" t="s">
        <v>30</v>
      </c>
      <c r="B541" t="s">
        <v>696</v>
      </c>
      <c r="C541" t="s">
        <v>697</v>
      </c>
      <c r="D541" t="s">
        <v>1387</v>
      </c>
      <c r="E541" s="14" t="n">
        <v>1.34560471358823</v>
      </c>
      <c r="F541" s="17" t="n">
        <v>172.031940467281</v>
      </c>
      <c r="G541" s="15" t="n">
        <v>1.29389099233261</v>
      </c>
      <c r="H541" s="16" t="n">
        <v>-0.369456553861733</v>
      </c>
    </row>
    <row r="542">
      <c r="A542" t="s">
        <v>30</v>
      </c>
      <c r="B542" t="s">
        <v>696</v>
      </c>
      <c r="C542" t="s">
        <v>698</v>
      </c>
      <c r="D542" t="s">
        <v>1387</v>
      </c>
      <c r="E542" s="14" t="n">
        <v>0.909815486022883</v>
      </c>
      <c r="F542" s="17" t="n">
        <v>13.9794689621658</v>
      </c>
      <c r="G542" s="15" t="n">
        <v>0.803625299377311</v>
      </c>
      <c r="H542" s="16" t="n">
        <v>0.426556674789859</v>
      </c>
    </row>
    <row r="543">
      <c r="A543" t="s">
        <v>32</v>
      </c>
      <c r="B543" t="s">
        <v>699</v>
      </c>
      <c r="C543" t="s">
        <v>700</v>
      </c>
      <c r="D543" t="s">
        <v>1387</v>
      </c>
      <c r="E543" s="14" t="n">
        <v>0.649686683484639</v>
      </c>
      <c r="F543" s="17" t="n">
        <v>101.882948754977</v>
      </c>
      <c r="G543" s="15" t="n">
        <v>-0.594593055365803</v>
      </c>
      <c r="H543" s="16" t="n">
        <v>-0.261824149398081</v>
      </c>
    </row>
    <row r="544">
      <c r="A544" t="s">
        <v>32</v>
      </c>
      <c r="B544" t="s">
        <v>699</v>
      </c>
      <c r="C544" t="s">
        <v>701</v>
      </c>
      <c r="D544" t="s">
        <v>1387</v>
      </c>
      <c r="E544" s="14" t="n">
        <v>0.25</v>
      </c>
      <c r="F544" s="17" t="n">
        <v>64</v>
      </c>
      <c r="G544" s="15" t="n">
        <v>-0.153915368831414</v>
      </c>
      <c r="H544" s="16" t="n">
        <v>0.197002688401681</v>
      </c>
    </row>
    <row r="545">
      <c r="A545" t="s">
        <v>32</v>
      </c>
      <c r="B545" t="s">
        <v>702</v>
      </c>
      <c r="C545" t="s">
        <v>703</v>
      </c>
      <c r="D545" t="s">
        <v>1387</v>
      </c>
      <c r="E545" s="14" t="n">
        <v>2.81735691739616</v>
      </c>
      <c r="F545" s="17" t="n">
        <v>164.271461952031</v>
      </c>
      <c r="G545" s="15" t="n">
        <v>2.40329380813831</v>
      </c>
      <c r="H545" s="16" t="n">
        <v>-1.47026489850097</v>
      </c>
    </row>
    <row r="546">
      <c r="A546" t="s">
        <v>32</v>
      </c>
      <c r="B546" t="s">
        <v>702</v>
      </c>
      <c r="C546" t="s">
        <v>704</v>
      </c>
      <c r="D546" t="s">
        <v>1387</v>
      </c>
      <c r="E546" s="14" t="n">
        <v>2.03265441185503</v>
      </c>
      <c r="F546" s="17" t="n">
        <v>171.344916110801</v>
      </c>
      <c r="G546" s="15" t="n">
        <v>1.94059145255199</v>
      </c>
      <c r="H546" s="16" t="n">
        <v>-0.604804738999168</v>
      </c>
    </row>
    <row r="547">
      <c r="A547" t="s">
        <v>30</v>
      </c>
      <c r="B547" t="s">
        <v>705</v>
      </c>
      <c r="C547" t="s">
        <v>706</v>
      </c>
      <c r="D547" t="s">
        <v>1387</v>
      </c>
      <c r="E547" s="14" t="n">
        <v>0.860875249473889</v>
      </c>
      <c r="F547" s="17" t="n">
        <v>173.426808321276</v>
      </c>
      <c r="G547" s="15" t="n">
        <v>0.83831357239925</v>
      </c>
      <c r="H547" s="16" t="n">
        <v>-0.195797215220079</v>
      </c>
    </row>
    <row r="548">
      <c r="A548" t="s">
        <v>31</v>
      </c>
      <c r="B548" t="s">
        <v>707</v>
      </c>
      <c r="C548" t="s">
        <v>708</v>
      </c>
      <c r="D548" t="s">
        <v>1387</v>
      </c>
      <c r="E548" s="14" t="n">
        <v>1.55463173315099</v>
      </c>
      <c r="F548" s="17" t="n">
        <v>174.418467820298</v>
      </c>
      <c r="G548" s="15" t="n">
        <v>1.52521835634556</v>
      </c>
      <c r="H548" s="16" t="n">
        <v>-0.30097971889582</v>
      </c>
    </row>
    <row r="549">
      <c r="A549" t="s">
        <v>32</v>
      </c>
      <c r="B549" t="s">
        <v>709</v>
      </c>
      <c r="C549" t="s">
        <v>710</v>
      </c>
      <c r="D549" t="s">
        <v>1387</v>
      </c>
      <c r="E549" s="14" t="n">
        <v>0.45914686019949</v>
      </c>
      <c r="F549" s="17" t="n">
        <v>48.0854499855471</v>
      </c>
      <c r="G549" s="15" t="n">
        <v>-0.049355725962785</v>
      </c>
      <c r="H549" s="16" t="n">
        <v>0.456486419891914</v>
      </c>
    </row>
    <row r="550">
      <c r="A550" t="s">
        <v>32</v>
      </c>
      <c r="B550" t="s">
        <v>711</v>
      </c>
      <c r="C550" t="s">
        <v>712</v>
      </c>
      <c r="D550" t="s">
        <v>1387</v>
      </c>
      <c r="E550" s="14" t="n">
        <v>0.48502139273053</v>
      </c>
      <c r="F550" s="17" t="n">
        <v>40.3226859538873</v>
      </c>
      <c r="G550" s="15" t="n">
        <v>0.0788376350919394</v>
      </c>
      <c r="H550" s="16" t="n">
        <v>0.478571184568579</v>
      </c>
    </row>
    <row r="551">
      <c r="A551" t="s">
        <v>32</v>
      </c>
      <c r="B551" t="s">
        <v>711</v>
      </c>
      <c r="C551" t="s">
        <v>713</v>
      </c>
      <c r="D551" t="s">
        <v>1387</v>
      </c>
      <c r="E551" s="14" t="n">
        <v>2.01036202386516</v>
      </c>
      <c r="F551" s="17" t="n">
        <v>113.222339453752</v>
      </c>
      <c r="G551" s="15" t="n">
        <v>-1.38524925894914</v>
      </c>
      <c r="H551" s="16" t="n">
        <v>-1.45692826095867</v>
      </c>
    </row>
    <row r="552">
      <c r="A552" t="s">
        <v>32</v>
      </c>
      <c r="B552" t="s">
        <v>714</v>
      </c>
      <c r="C552" t="s">
        <v>715</v>
      </c>
      <c r="D552" t="s">
        <v>1387</v>
      </c>
      <c r="E552" s="14" t="n">
        <v>0.5</v>
      </c>
      <c r="F552" s="17" t="n">
        <v>19</v>
      </c>
      <c r="G552" s="15" t="n">
        <v>0.394005376803361</v>
      </c>
      <c r="H552" s="16" t="n">
        <v>0.307830737662829</v>
      </c>
    </row>
    <row r="553">
      <c r="A553" t="s">
        <v>32</v>
      </c>
      <c r="B553" t="s">
        <v>714</v>
      </c>
      <c r="C553" t="s">
        <v>716</v>
      </c>
      <c r="D553" t="s">
        <v>1387</v>
      </c>
      <c r="E553" s="14" t="n">
        <v>0.705893905887668</v>
      </c>
      <c r="F553" s="17" t="n">
        <v>160.145820706788</v>
      </c>
      <c r="G553" s="15" t="n">
        <v>0.543048671503561</v>
      </c>
      <c r="H553" s="16" t="n">
        <v>-0.450981537036236</v>
      </c>
    </row>
    <row r="554">
      <c r="A554" t="s">
        <v>31</v>
      </c>
      <c r="B554" t="s">
        <v>717</v>
      </c>
      <c r="C554" t="s">
        <v>718</v>
      </c>
      <c r="D554" t="s">
        <v>1387</v>
      </c>
      <c r="E554" s="14" t="n">
        <v>0.441473796429463</v>
      </c>
      <c r="F554" s="17" t="n">
        <v>153</v>
      </c>
      <c r="G554" s="15" t="n">
        <v>0.259491786814808</v>
      </c>
      <c r="H554" s="16" t="n">
        <v>-0.357159803882662</v>
      </c>
    </row>
    <row r="555">
      <c r="A555" t="s">
        <v>30</v>
      </c>
      <c r="B555" t="s">
        <v>719</v>
      </c>
      <c r="C555" t="s">
        <v>720</v>
      </c>
      <c r="D555" t="s">
        <v>1387</v>
      </c>
      <c r="E555" s="14" t="n">
        <v>1</v>
      </c>
      <c r="F555" s="17" t="n">
        <v>101</v>
      </c>
      <c r="G555" s="15" t="n">
        <v>-0.927183854566788</v>
      </c>
      <c r="H555" s="16" t="n">
        <v>-0.374606593415911</v>
      </c>
    </row>
    <row r="556">
      <c r="A556" t="s">
        <v>30</v>
      </c>
      <c r="B556" t="s">
        <v>719</v>
      </c>
      <c r="C556" t="s">
        <v>721</v>
      </c>
      <c r="D556" t="s">
        <v>1387</v>
      </c>
      <c r="E556" s="14" t="n">
        <v>1.24222817870517</v>
      </c>
      <c r="F556" s="17" t="n">
        <v>81.4100175536772</v>
      </c>
      <c r="G556" s="15" t="n">
        <v>-1.18680207722211</v>
      </c>
      <c r="H556" s="16" t="n">
        <v>0.366921895599668</v>
      </c>
    </row>
    <row r="557">
      <c r="A557" t="s">
        <v>30</v>
      </c>
      <c r="B557" t="s">
        <v>722</v>
      </c>
      <c r="C557" t="s">
        <v>723</v>
      </c>
      <c r="D557" t="s">
        <v>1387</v>
      </c>
      <c r="E557" s="14" t="n">
        <v>1.23787976410997</v>
      </c>
      <c r="F557" s="17" t="n">
        <v>168.019604994497</v>
      </c>
      <c r="G557" s="15" t="n">
        <v>1.13120373156565</v>
      </c>
      <c r="H557" s="16" t="n">
        <v>-0.502717045747304</v>
      </c>
    </row>
    <row r="558">
      <c r="A558" t="s">
        <v>30</v>
      </c>
      <c r="B558" t="s">
        <v>722</v>
      </c>
      <c r="C558" t="s">
        <v>724</v>
      </c>
      <c r="D558" t="s">
        <v>1387</v>
      </c>
      <c r="E558" s="14" t="n">
        <v>1.40516745075782</v>
      </c>
      <c r="F558" s="17" t="n">
        <v>174.240979952073</v>
      </c>
      <c r="G558" s="15" t="n">
        <v>1.37687002457612</v>
      </c>
      <c r="H558" s="16" t="n">
        <v>-0.280578866083969</v>
      </c>
    </row>
    <row r="559">
      <c r="A559" t="s">
        <v>32</v>
      </c>
      <c r="B559" t="s">
        <v>725</v>
      </c>
      <c r="C559" t="s">
        <v>726</v>
      </c>
      <c r="D559" t="s">
        <v>1387</v>
      </c>
      <c r="E559" s="14" t="n">
        <v>1.8586907699146</v>
      </c>
      <c r="F559" s="17" t="n">
        <v>33.9973049265377</v>
      </c>
      <c r="G559" s="15" t="n">
        <v>0.696439939817507</v>
      </c>
      <c r="H559" s="16" t="n">
        <v>1.72328256197083</v>
      </c>
    </row>
    <row r="560">
      <c r="A560" t="s">
        <v>32</v>
      </c>
      <c r="B560" t="s">
        <v>725</v>
      </c>
      <c r="C560" t="s">
        <v>727</v>
      </c>
      <c r="D560" t="s">
        <v>1387</v>
      </c>
      <c r="E560" s="14" t="n">
        <v>1.20529110700045</v>
      </c>
      <c r="F560" s="17" t="n">
        <v>165.249538525943</v>
      </c>
      <c r="G560" s="15" t="n">
        <v>1.04902241950125</v>
      </c>
      <c r="H560" s="16" t="n">
        <v>-0.593530636107445</v>
      </c>
    </row>
    <row r="561">
      <c r="A561" t="s">
        <v>30</v>
      </c>
      <c r="B561" t="s">
        <v>728</v>
      </c>
      <c r="C561" t="s">
        <v>729</v>
      </c>
      <c r="D561" t="s">
        <v>1387</v>
      </c>
      <c r="E561" s="14" t="n">
        <v>1.72148932368529</v>
      </c>
      <c r="F561" s="17" t="n">
        <v>168.017685628057</v>
      </c>
      <c r="G561" s="15" t="n">
        <v>1.57309071275668</v>
      </c>
      <c r="H561" s="16" t="n">
        <v>-0.699221782413206</v>
      </c>
    </row>
    <row r="562">
      <c r="A562" t="s">
        <v>30</v>
      </c>
      <c r="B562" t="s">
        <v>728</v>
      </c>
      <c r="C562" t="s">
        <v>730</v>
      </c>
      <c r="D562" t="s">
        <v>1387</v>
      </c>
      <c r="E562" s="14" t="n">
        <v>0.5</v>
      </c>
      <c r="F562" s="17" t="n">
        <v>11</v>
      </c>
      <c r="G562" s="15" t="n">
        <v>0.463591927283394</v>
      </c>
      <c r="H562" s="16" t="n">
        <v>0.187303296707956</v>
      </c>
    </row>
    <row r="563">
      <c r="A563" t="s">
        <v>30</v>
      </c>
      <c r="B563" t="s">
        <v>731</v>
      </c>
      <c r="C563" t="s">
        <v>732</v>
      </c>
      <c r="D563" t="s">
        <v>1387</v>
      </c>
      <c r="E563" s="14" t="n">
        <v>0.557361682600137</v>
      </c>
      <c r="F563" s="17" t="n">
        <v>178.09498338897</v>
      </c>
      <c r="G563" s="15" t="n">
        <v>0.556129828332979</v>
      </c>
      <c r="H563" s="16" t="n">
        <v>-0.0370359186356688</v>
      </c>
    </row>
    <row r="564">
      <c r="A564" t="s">
        <v>30</v>
      </c>
      <c r="B564" t="s">
        <v>731</v>
      </c>
      <c r="C564" t="s">
        <v>733</v>
      </c>
      <c r="D564" t="s">
        <v>1387</v>
      </c>
      <c r="E564" s="14" t="n">
        <v>0.251215022311652</v>
      </c>
      <c r="F564" s="17" t="n">
        <v>151.990311202362</v>
      </c>
      <c r="G564" s="15" t="n">
        <v>0.14040721330273</v>
      </c>
      <c r="H564" s="16" t="n">
        <v>-0.208314190317428</v>
      </c>
    </row>
    <row r="565">
      <c r="A565" t="s">
        <v>30</v>
      </c>
      <c r="B565" t="s">
        <v>734</v>
      </c>
      <c r="C565" t="s">
        <v>735</v>
      </c>
      <c r="D565" t="s">
        <v>1387</v>
      </c>
      <c r="E565" s="14" t="n">
        <v>2.29699870141587</v>
      </c>
      <c r="F565" s="17" t="n">
        <v>174.744624725092</v>
      </c>
      <c r="G565" s="15" t="n">
        <v>2.25845666410028</v>
      </c>
      <c r="H565" s="16" t="n">
        <v>-0.419018532629819</v>
      </c>
    </row>
    <row r="566">
      <c r="A566" t="s">
        <v>30</v>
      </c>
      <c r="B566" t="s">
        <v>734</v>
      </c>
      <c r="C566" t="s">
        <v>736</v>
      </c>
      <c r="D566" t="s">
        <v>1387</v>
      </c>
      <c r="E566" s="14" t="n">
        <v>1.5</v>
      </c>
      <c r="F566" s="17" t="n">
        <v>4.00000000000001</v>
      </c>
      <c r="G566" s="15" t="n">
        <v>1.48540210311236</v>
      </c>
      <c r="H566" s="16" t="n">
        <v>0.208759651440099</v>
      </c>
    </row>
    <row r="567">
      <c r="A567" t="s">
        <v>30</v>
      </c>
      <c r="B567" t="s">
        <v>737</v>
      </c>
      <c r="C567" t="s">
        <v>738</v>
      </c>
      <c r="D567" t="s">
        <v>1387</v>
      </c>
      <c r="E567" s="14" t="n">
        <v>1.26310719177603</v>
      </c>
      <c r="F567" s="17" t="n">
        <v>55.4721284357144</v>
      </c>
      <c r="G567" s="15" t="n">
        <v>-0.45150966349266</v>
      </c>
      <c r="H567" s="16" t="n">
        <v>1.17965198329384</v>
      </c>
    </row>
    <row r="568">
      <c r="A568" t="s">
        <v>30</v>
      </c>
      <c r="B568" t="s">
        <v>737</v>
      </c>
      <c r="C568" t="s">
        <v>739</v>
      </c>
      <c r="D568" t="s">
        <v>1387</v>
      </c>
      <c r="E568" s="14" t="n">
        <v>0.45914686019949</v>
      </c>
      <c r="F568" s="17" t="n">
        <v>127.085449985547</v>
      </c>
      <c r="G568" s="15" t="n">
        <v>-0.125240990453218</v>
      </c>
      <c r="H568" s="16" t="n">
        <v>-0.441735818721266</v>
      </c>
    </row>
    <row r="569">
      <c r="A569" t="s">
        <v>31</v>
      </c>
      <c r="B569" t="s">
        <v>740</v>
      </c>
      <c r="C569" t="s">
        <v>741</v>
      </c>
      <c r="D569" t="s">
        <v>1387</v>
      </c>
      <c r="E569" s="14" t="n">
        <v>0.433012701892219</v>
      </c>
      <c r="F569" s="17" t="n">
        <v>28</v>
      </c>
      <c r="G569" s="15" t="n">
        <v>0.242137630010823</v>
      </c>
      <c r="H569" s="16" t="n">
        <v>0.358983799262225</v>
      </c>
    </row>
    <row r="570">
      <c r="A570" t="s">
        <v>31</v>
      </c>
      <c r="B570" t="s">
        <v>740</v>
      </c>
      <c r="C570" t="s">
        <v>742</v>
      </c>
      <c r="D570" t="s">
        <v>1387</v>
      </c>
      <c r="E570" s="14" t="n">
        <v>0.5</v>
      </c>
      <c r="F570" s="17" t="n">
        <v>166</v>
      </c>
      <c r="G570" s="15" t="n">
        <v>0.441473796429463</v>
      </c>
      <c r="H570" s="16" t="n">
        <v>-0.234735781392945</v>
      </c>
    </row>
    <row r="571">
      <c r="A571" t="s">
        <v>32</v>
      </c>
      <c r="B571" t="s">
        <v>743</v>
      </c>
      <c r="C571" t="s">
        <v>744</v>
      </c>
      <c r="D571" t="s">
        <v>1387</v>
      </c>
      <c r="E571" s="14" t="n">
        <v>0.5</v>
      </c>
      <c r="F571" s="17" t="n">
        <v>11</v>
      </c>
      <c r="G571" s="15" t="n">
        <v>0.463591927283394</v>
      </c>
      <c r="H571" s="16" t="n">
        <v>0.187303296707956</v>
      </c>
    </row>
    <row r="572">
      <c r="A572" t="s">
        <v>32</v>
      </c>
      <c r="B572" t="s">
        <v>743</v>
      </c>
      <c r="C572" t="s">
        <v>745</v>
      </c>
      <c r="D572" t="s">
        <v>1387</v>
      </c>
      <c r="E572" s="14" t="n">
        <v>1</v>
      </c>
      <c r="F572" s="17" t="n">
        <v>159</v>
      </c>
      <c r="G572" s="15" t="n">
        <v>0.743144825477394</v>
      </c>
      <c r="H572" s="16" t="n">
        <v>-0.669130606358858</v>
      </c>
    </row>
    <row r="573">
      <c r="A573" t="s">
        <v>30</v>
      </c>
      <c r="B573" t="s">
        <v>746</v>
      </c>
      <c r="C573" t="s">
        <v>747</v>
      </c>
      <c r="D573" t="s">
        <v>1387</v>
      </c>
      <c r="E573" s="14" t="n">
        <v>0.493549046241354</v>
      </c>
      <c r="F573" s="17" t="n">
        <v>136.568940069373</v>
      </c>
      <c r="G573" s="15" t="n">
        <v>0.027016364858513</v>
      </c>
      <c r="H573" s="16" t="n">
        <v>-0.492809067566316</v>
      </c>
    </row>
    <row r="574">
      <c r="A574" t="s">
        <v>32</v>
      </c>
      <c r="B574" t="s">
        <v>748</v>
      </c>
      <c r="C574" t="s">
        <v>749</v>
      </c>
      <c r="D574" t="s">
        <v>1387</v>
      </c>
      <c r="E574" s="14" t="n">
        <v>0.21130913087035</v>
      </c>
      <c r="F574" s="17" t="n">
        <v>87.5</v>
      </c>
      <c r="G574" s="15" t="n">
        <v>-0.210505035831417</v>
      </c>
      <c r="H574" s="16" t="n">
        <v>0.0184168042503674</v>
      </c>
    </row>
    <row r="575">
      <c r="A575" t="s">
        <v>32</v>
      </c>
      <c r="B575" t="s">
        <v>750</v>
      </c>
      <c r="C575" t="s">
        <v>751</v>
      </c>
      <c r="D575" t="s">
        <v>1387</v>
      </c>
      <c r="E575" s="14" t="n">
        <v>1.28887960833969</v>
      </c>
      <c r="F575" s="17" t="n">
        <v>39.3802114236752</v>
      </c>
      <c r="G575" s="15" t="n">
        <v>0.251217974870089</v>
      </c>
      <c r="H575" s="16" t="n">
        <v>1.2641598688046</v>
      </c>
    </row>
    <row r="576">
      <c r="A576" t="s">
        <v>32</v>
      </c>
      <c r="B576" t="s">
        <v>750</v>
      </c>
      <c r="C576" t="s">
        <v>752</v>
      </c>
      <c r="D576" t="s">
        <v>1387</v>
      </c>
      <c r="E576" s="14" t="n">
        <v>1.05522929767021</v>
      </c>
      <c r="F576" s="17" t="n">
        <v>124.434852207611</v>
      </c>
      <c r="G576" s="15" t="n">
        <v>-0.380399677200088</v>
      </c>
      <c r="H576" s="16" t="n">
        <v>-0.984278901657267</v>
      </c>
    </row>
    <row r="577">
      <c r="A577" t="s">
        <v>30</v>
      </c>
      <c r="B577" t="s">
        <v>753</v>
      </c>
      <c r="C577" t="s">
        <v>754</v>
      </c>
      <c r="D577" t="s">
        <v>1387</v>
      </c>
      <c r="E577" s="14" t="n">
        <v>0.713794570168253</v>
      </c>
      <c r="F577" s="17" t="n">
        <v>17.2262389739372</v>
      </c>
      <c r="G577" s="15" t="n">
        <v>0.588591927283394</v>
      </c>
      <c r="H577" s="16" t="n">
        <v>0.403809647654066</v>
      </c>
    </row>
    <row r="578">
      <c r="A578" t="s">
        <v>30</v>
      </c>
      <c r="B578" t="s">
        <v>753</v>
      </c>
      <c r="C578" t="s">
        <v>755</v>
      </c>
      <c r="D578" t="s">
        <v>1387</v>
      </c>
      <c r="E578" s="14" t="n">
        <v>0.935908103065986</v>
      </c>
      <c r="F578" s="17" t="n">
        <v>158.724892243503</v>
      </c>
      <c r="G578" s="15" t="n">
        <v>0.689469413061423</v>
      </c>
      <c r="H578" s="16" t="n">
        <v>-0.632894861598124</v>
      </c>
    </row>
    <row r="579">
      <c r="A579" t="s">
        <v>30</v>
      </c>
      <c r="B579" t="s">
        <v>756</v>
      </c>
      <c r="C579" t="s">
        <v>757</v>
      </c>
      <c r="D579" t="s">
        <v>1387</v>
      </c>
      <c r="E579" s="14" t="n">
        <v>2.12810733463743</v>
      </c>
      <c r="F579" s="17" t="n">
        <v>29.8587793099162</v>
      </c>
      <c r="G579" s="15" t="n">
        <v>1.07312580509311</v>
      </c>
      <c r="H579" s="16" t="n">
        <v>1.83772735577966</v>
      </c>
    </row>
    <row r="580">
      <c r="A580" t="s">
        <v>30</v>
      </c>
      <c r="B580" t="s">
        <v>756</v>
      </c>
      <c r="C580" t="s">
        <v>758</v>
      </c>
      <c r="D580" t="s">
        <v>1387</v>
      </c>
      <c r="E580" s="14" t="n">
        <v>2.06475180142582</v>
      </c>
      <c r="F580" s="17" t="n">
        <v>149.76811554301</v>
      </c>
      <c r="G580" s="15" t="n">
        <v>1.0178686088246</v>
      </c>
      <c r="H580" s="16" t="n">
        <v>-1.79642519929459</v>
      </c>
    </row>
    <row r="581">
      <c r="A581" t="s">
        <v>31</v>
      </c>
      <c r="B581" t="s">
        <v>759</v>
      </c>
      <c r="C581" t="s">
        <v>760</v>
      </c>
      <c r="D581" t="s">
        <v>1387</v>
      </c>
      <c r="E581" s="14" t="n">
        <v>0.389619169931826</v>
      </c>
      <c r="F581" s="17" t="n">
        <v>142.720731971294</v>
      </c>
      <c r="G581" s="15" t="n">
        <v>0.103737563774958</v>
      </c>
      <c r="H581" s="16" t="n">
        <v>-0.375555076440729</v>
      </c>
    </row>
    <row r="582">
      <c r="A582" t="s">
        <v>31</v>
      </c>
      <c r="B582" t="s">
        <v>759</v>
      </c>
      <c r="C582" t="s">
        <v>761</v>
      </c>
      <c r="D582" t="s">
        <v>1387</v>
      </c>
      <c r="E582" s="14" t="n">
        <v>0.588490178716669</v>
      </c>
      <c r="F582" s="17" t="n">
        <v>57.2572306125401</v>
      </c>
      <c r="G582" s="15" t="n">
        <v>-0.244178051587736</v>
      </c>
      <c r="H582" s="16" t="n">
        <v>0.535441658417417</v>
      </c>
    </row>
    <row r="583">
      <c r="A583" t="s">
        <v>32</v>
      </c>
      <c r="B583" t="s">
        <v>762</v>
      </c>
      <c r="C583" t="s">
        <v>763</v>
      </c>
      <c r="D583" t="s">
        <v>1387</v>
      </c>
      <c r="E583" s="14" t="n">
        <v>0.254819510270716</v>
      </c>
      <c r="F583" s="17" t="n">
        <v>4.07613508066738</v>
      </c>
      <c r="G583" s="15" t="n">
        <v>0.252244483558509</v>
      </c>
      <c r="H583" s="16" t="n">
        <v>0.0361345171395494</v>
      </c>
    </row>
    <row r="584">
      <c r="A584" t="s">
        <v>32</v>
      </c>
      <c r="B584" t="s">
        <v>762</v>
      </c>
      <c r="C584" t="s">
        <v>764</v>
      </c>
      <c r="D584" t="s">
        <v>1387</v>
      </c>
      <c r="E584" s="14" t="n">
        <v>0.398226858924138</v>
      </c>
      <c r="F584" s="17" t="n">
        <v>148.175026509403</v>
      </c>
      <c r="G584" s="15" t="n">
        <v>0.176754657203732</v>
      </c>
      <c r="H584" s="16" t="n">
        <v>-0.35685070032911</v>
      </c>
    </row>
    <row r="585">
      <c r="A585" t="s">
        <v>32</v>
      </c>
      <c r="B585" t="s">
        <v>765</v>
      </c>
      <c r="C585" t="s">
        <v>766</v>
      </c>
      <c r="D585" t="s">
        <v>1387</v>
      </c>
      <c r="E585" s="14" t="n">
        <v>0.987763084533197</v>
      </c>
      <c r="F585" s="17" t="n">
        <v>77.2166273288879</v>
      </c>
      <c r="G585" s="15" t="n">
        <v>-0.891044443118978</v>
      </c>
      <c r="H585" s="16" t="n">
        <v>0.42628125874043</v>
      </c>
    </row>
    <row r="586">
      <c r="A586" t="s">
        <v>32</v>
      </c>
      <c r="B586" t="s">
        <v>765</v>
      </c>
      <c r="C586" t="s">
        <v>767</v>
      </c>
      <c r="D586" t="s">
        <v>1387</v>
      </c>
      <c r="E586" s="14" t="n">
        <v>0.918321526811531</v>
      </c>
      <c r="F586" s="17" t="n">
        <v>99.9184224020822</v>
      </c>
      <c r="G586" s="15" t="n">
        <v>-0.863830847795058</v>
      </c>
      <c r="H586" s="16" t="n">
        <v>-0.311625886285354</v>
      </c>
    </row>
    <row r="587">
      <c r="A587" t="s">
        <v>30</v>
      </c>
      <c r="B587" t="s">
        <v>768</v>
      </c>
      <c r="C587" t="s">
        <v>769</v>
      </c>
      <c r="D587" t="s">
        <v>1387</v>
      </c>
      <c r="E587" s="14" t="n">
        <v>0.678683151370429</v>
      </c>
      <c r="F587" s="17" t="n">
        <v>174.667174296987</v>
      </c>
      <c r="G587" s="15" t="n">
        <v>0.66695817127436</v>
      </c>
      <c r="H587" s="16" t="n">
        <v>-0.125608987435044</v>
      </c>
    </row>
    <row r="588">
      <c r="A588" t="s">
        <v>30</v>
      </c>
      <c r="B588" t="s">
        <v>768</v>
      </c>
      <c r="C588" t="s">
        <v>770</v>
      </c>
      <c r="D588" t="s">
        <v>1387</v>
      </c>
      <c r="E588" s="14" t="n">
        <v>1.5</v>
      </c>
      <c r="F588" s="17" t="n">
        <v>24</v>
      </c>
      <c r="G588" s="15" t="n">
        <v>1.00369590953829</v>
      </c>
      <c r="H588" s="16" t="n">
        <v>1.11471723821609</v>
      </c>
    </row>
    <row r="589">
      <c r="A589" t="s">
        <v>31</v>
      </c>
      <c r="B589" t="s">
        <v>771</v>
      </c>
      <c r="C589" t="s">
        <v>772</v>
      </c>
      <c r="D589" t="s">
        <v>1387</v>
      </c>
      <c r="E589" s="14" t="n">
        <v>0.441737602320119</v>
      </c>
      <c r="F589" s="17" t="n">
        <v>136.009876633013</v>
      </c>
      <c r="G589" s="15" t="n">
        <v>0.0155686195516463</v>
      </c>
      <c r="H589" s="16" t="n">
        <v>-0.441463166514244</v>
      </c>
    </row>
    <row r="590">
      <c r="A590" t="s">
        <v>31</v>
      </c>
      <c r="B590" t="s">
        <v>771</v>
      </c>
      <c r="C590" t="s">
        <v>773</v>
      </c>
      <c r="D590" t="s">
        <v>1387</v>
      </c>
      <c r="E590" s="14" t="n">
        <v>0.332032756526014</v>
      </c>
      <c r="F590" s="17" t="n">
        <v>19.133849276149</v>
      </c>
      <c r="G590" s="15" t="n">
        <v>0.260687435956253</v>
      </c>
      <c r="H590" s="16" t="n">
        <v>0.20564000617783</v>
      </c>
    </row>
    <row r="591">
      <c r="A591" t="s">
        <v>30</v>
      </c>
      <c r="B591" t="s">
        <v>774</v>
      </c>
      <c r="C591" t="s">
        <v>775</v>
      </c>
      <c r="D591" t="s">
        <v>1387</v>
      </c>
      <c r="E591" s="14" t="n">
        <v>1.1180339887499</v>
      </c>
      <c r="F591" s="17" t="n">
        <v>34.282525588539</v>
      </c>
      <c r="G591" s="15" t="n">
        <v>0.408579522297965</v>
      </c>
      <c r="H591" s="16" t="n">
        <v>1.04070301909756</v>
      </c>
    </row>
    <row r="592">
      <c r="A592" t="s">
        <v>30</v>
      </c>
      <c r="B592" t="s">
        <v>774</v>
      </c>
      <c r="C592" t="s">
        <v>776</v>
      </c>
      <c r="D592" t="s">
        <v>1387</v>
      </c>
      <c r="E592" s="14" t="n">
        <v>1.73453615963544</v>
      </c>
      <c r="F592" s="17" t="n">
        <v>155.753979164169</v>
      </c>
      <c r="G592" s="15" t="n">
        <v>1.14951886509432</v>
      </c>
      <c r="H592" s="16" t="n">
        <v>-1.29893112514681</v>
      </c>
    </row>
    <row r="593">
      <c r="A593" t="s">
        <v>32</v>
      </c>
      <c r="B593" t="s">
        <v>777</v>
      </c>
      <c r="C593" t="s">
        <v>778</v>
      </c>
      <c r="D593" t="s">
        <v>1387</v>
      </c>
      <c r="E593" s="14" t="n">
        <v>0.437309853569698</v>
      </c>
      <c r="F593" s="17" t="n">
        <v>162.5</v>
      </c>
      <c r="G593" s="15" t="n">
        <v>0.358223260539338</v>
      </c>
      <c r="H593" s="16" t="n">
        <v>-0.250830627391705</v>
      </c>
    </row>
    <row r="594">
      <c r="A594" t="s">
        <v>32</v>
      </c>
      <c r="B594" t="s">
        <v>777</v>
      </c>
      <c r="C594" t="s">
        <v>779</v>
      </c>
      <c r="D594" t="s">
        <v>1387</v>
      </c>
      <c r="E594" s="14" t="n">
        <v>0.705893905887669</v>
      </c>
      <c r="F594" s="17" t="n">
        <v>36.1458207067881</v>
      </c>
      <c r="G594" s="15" t="n">
        <v>0.214713186956726</v>
      </c>
      <c r="H594" s="16" t="n">
        <v>0.672446617744662</v>
      </c>
    </row>
    <row r="595">
      <c r="A595" t="s">
        <v>30</v>
      </c>
      <c r="B595" t="s">
        <v>780</v>
      </c>
      <c r="C595" t="s">
        <v>781</v>
      </c>
      <c r="D595" t="s">
        <v>1387</v>
      </c>
      <c r="E595" s="14" t="n">
        <v>0.5</v>
      </c>
      <c r="F595" s="17" t="n">
        <v>174</v>
      </c>
      <c r="G595" s="15" t="n">
        <v>0.489073800366903</v>
      </c>
      <c r="H595" s="16" t="n">
        <v>-0.10395584540888</v>
      </c>
    </row>
    <row r="596">
      <c r="A596" t="s">
        <v>30</v>
      </c>
      <c r="B596" t="s">
        <v>780</v>
      </c>
      <c r="C596" t="s">
        <v>782</v>
      </c>
      <c r="D596" t="s">
        <v>1387</v>
      </c>
      <c r="E596" s="14" t="n">
        <v>0.5</v>
      </c>
      <c r="F596" s="17" t="n">
        <v>1.99999999999999</v>
      </c>
      <c r="G596" s="15" t="n">
        <v>0.498782025129912</v>
      </c>
      <c r="H596" s="16" t="n">
        <v>0.0348782368720625</v>
      </c>
    </row>
    <row r="597">
      <c r="A597" t="s">
        <v>30</v>
      </c>
      <c r="B597" t="s">
        <v>783</v>
      </c>
      <c r="C597" t="s">
        <v>784</v>
      </c>
      <c r="D597" t="s">
        <v>1387</v>
      </c>
      <c r="E597" s="14" t="n">
        <v>0.339848954093314</v>
      </c>
      <c r="F597" s="17" t="n">
        <v>4.53526126615687</v>
      </c>
      <c r="G597" s="15" t="n">
        <v>0.335599158233224</v>
      </c>
      <c r="H597" s="16" t="n">
        <v>0.0535772021616569</v>
      </c>
    </row>
    <row r="598">
      <c r="A598" t="s">
        <v>30</v>
      </c>
      <c r="B598" t="s">
        <v>783</v>
      </c>
      <c r="C598" t="s">
        <v>785</v>
      </c>
      <c r="D598" t="s">
        <v>1387</v>
      </c>
      <c r="E598" s="14" t="n">
        <v>0.526598570580527</v>
      </c>
      <c r="F598" s="17" t="n">
        <v>165.877939334051</v>
      </c>
      <c r="G598" s="15" t="n">
        <v>0.463901374656409</v>
      </c>
      <c r="H598" s="16" t="n">
        <v>-0.249201864217242</v>
      </c>
    </row>
    <row r="599">
      <c r="A599" t="s">
        <v>31</v>
      </c>
      <c r="B599" t="s">
        <v>786</v>
      </c>
      <c r="C599" t="s">
        <v>787</v>
      </c>
      <c r="D599" t="s">
        <v>1387</v>
      </c>
      <c r="E599" s="14" t="n">
        <v>1.02227699360239</v>
      </c>
      <c r="F599" s="17" t="n">
        <v>173.926718056654</v>
      </c>
      <c r="G599" s="15" t="n">
        <v>0.999390827019096</v>
      </c>
      <c r="H599" s="16" t="n">
        <v>-0.215100503297498</v>
      </c>
    </row>
    <row r="600">
      <c r="A600" t="s">
        <v>31</v>
      </c>
      <c r="B600" t="s">
        <v>786</v>
      </c>
      <c r="C600" t="s">
        <v>788</v>
      </c>
      <c r="D600" t="s">
        <v>1387</v>
      </c>
      <c r="E600" s="14" t="n">
        <v>1.03077640640442</v>
      </c>
      <c r="F600" s="17" t="n">
        <v>173.018121733963</v>
      </c>
      <c r="G600" s="15" t="n">
        <v>1.0003154835554</v>
      </c>
      <c r="H600" s="16" t="n">
        <v>-0.248734664571159</v>
      </c>
    </row>
    <row r="601">
      <c r="A601" t="s">
        <v>31</v>
      </c>
      <c r="B601" t="s">
        <v>789</v>
      </c>
      <c r="C601" t="s">
        <v>790</v>
      </c>
      <c r="D601" t="s">
        <v>1387</v>
      </c>
      <c r="E601" s="14" t="n">
        <v>0.696076524147333</v>
      </c>
      <c r="F601" s="17" t="n">
        <v>156.274409315082</v>
      </c>
      <c r="G601" s="15" t="n">
        <v>0.470699583864451</v>
      </c>
      <c r="H601" s="16" t="n">
        <v>-0.512800574511053</v>
      </c>
    </row>
    <row r="602">
      <c r="A602" t="s">
        <v>31</v>
      </c>
      <c r="B602" t="s">
        <v>789</v>
      </c>
      <c r="C602" t="s">
        <v>791</v>
      </c>
      <c r="D602" t="s">
        <v>1387</v>
      </c>
      <c r="E602" s="14" t="n">
        <v>1.04755822600563</v>
      </c>
      <c r="F602" s="17" t="n">
        <v>20.8862960102464</v>
      </c>
      <c r="G602" s="15" t="n">
        <v>0.781263432089977</v>
      </c>
      <c r="H602" s="16" t="n">
        <v>0.697857927196541</v>
      </c>
    </row>
    <row r="603">
      <c r="A603" t="s">
        <v>32</v>
      </c>
      <c r="B603" t="s">
        <v>792</v>
      </c>
      <c r="C603" t="s">
        <v>793</v>
      </c>
      <c r="D603" t="s">
        <v>1387</v>
      </c>
      <c r="E603" s="14" t="n">
        <v>1.5</v>
      </c>
      <c r="F603" s="17" t="n">
        <v>86</v>
      </c>
      <c r="G603" s="15" t="n">
        <v>-1.48540210311236</v>
      </c>
      <c r="H603" s="16" t="n">
        <v>0.208759651440098</v>
      </c>
    </row>
    <row r="604">
      <c r="A604" t="s">
        <v>32</v>
      </c>
      <c r="B604" t="s">
        <v>792</v>
      </c>
      <c r="C604" t="s">
        <v>794</v>
      </c>
      <c r="D604" t="s">
        <v>1387</v>
      </c>
      <c r="E604" s="14" t="n">
        <v>2.02743361235621</v>
      </c>
      <c r="F604" s="17" t="n">
        <v>91.1209554321655</v>
      </c>
      <c r="G604" s="15" t="n">
        <v>-2.02588175194764</v>
      </c>
      <c r="H604" s="16" t="n">
        <v>-0.0793106527352662</v>
      </c>
    </row>
    <row r="605">
      <c r="A605" t="s">
        <v>32</v>
      </c>
      <c r="B605" t="s">
        <v>795</v>
      </c>
      <c r="C605" t="s">
        <v>796</v>
      </c>
      <c r="D605" t="s">
        <v>1387</v>
      </c>
      <c r="E605" s="14" t="n">
        <v>0.272319517507514</v>
      </c>
      <c r="F605" s="17" t="n">
        <v>34.5</v>
      </c>
      <c r="G605" s="15" t="n">
        <v>0.0975905871103332</v>
      </c>
      <c r="H605" s="16" t="n">
        <v>0.254232171298177</v>
      </c>
    </row>
    <row r="606">
      <c r="A606" t="s">
        <v>32</v>
      </c>
      <c r="B606" t="s">
        <v>795</v>
      </c>
      <c r="C606" t="s">
        <v>797</v>
      </c>
      <c r="D606" t="s">
        <v>1387</v>
      </c>
      <c r="E606" s="14" t="n">
        <v>0.574017392939865</v>
      </c>
      <c r="F606" s="17" t="n">
        <v>159.223277760033</v>
      </c>
      <c r="G606" s="15" t="n">
        <v>0.429558634540924</v>
      </c>
      <c r="H606" s="16" t="n">
        <v>-0.380756282796248</v>
      </c>
    </row>
    <row r="607">
      <c r="A607" t="s">
        <v>31</v>
      </c>
      <c r="B607" t="s">
        <v>798</v>
      </c>
      <c r="C607" t="s">
        <v>799</v>
      </c>
      <c r="D607" t="s">
        <v>1387</v>
      </c>
      <c r="E607" s="14" t="n">
        <v>1.2968575175845</v>
      </c>
      <c r="F607" s="17" t="n">
        <v>168.273317948053</v>
      </c>
      <c r="G607" s="15" t="n">
        <v>1.18971676791702</v>
      </c>
      <c r="H607" s="16" t="n">
        <v>-0.516152528863826</v>
      </c>
    </row>
    <row r="608">
      <c r="A608" t="s">
        <v>31</v>
      </c>
      <c r="B608" t="s">
        <v>798</v>
      </c>
      <c r="C608" t="s">
        <v>800</v>
      </c>
      <c r="D608" t="s">
        <v>1387</v>
      </c>
      <c r="E608" s="14" t="n">
        <v>0.445503262094184</v>
      </c>
      <c r="F608" s="17" t="n">
        <v>26.5</v>
      </c>
      <c r="G608" s="15" t="n">
        <v>0.268110555991524</v>
      </c>
      <c r="H608" s="16" t="n">
        <v>0.355794724950321</v>
      </c>
    </row>
    <row r="609">
      <c r="A609" t="s">
        <v>31</v>
      </c>
      <c r="B609" t="s">
        <v>801</v>
      </c>
      <c r="C609" t="s">
        <v>802</v>
      </c>
      <c r="D609" t="s">
        <v>1387</v>
      </c>
      <c r="E609" s="14" t="n">
        <v>1.60819657041359</v>
      </c>
      <c r="F609" s="17" t="n">
        <v>10.5181783964435</v>
      </c>
      <c r="G609" s="15" t="n">
        <v>1.50101483258131</v>
      </c>
      <c r="H609" s="16" t="n">
        <v>0.577278686130833</v>
      </c>
    </row>
    <row r="610">
      <c r="A610" t="s">
        <v>31</v>
      </c>
      <c r="B610" t="s">
        <v>801</v>
      </c>
      <c r="C610" t="s">
        <v>803</v>
      </c>
      <c r="D610" t="s">
        <v>1387</v>
      </c>
      <c r="E610" s="14" t="n">
        <v>0.918321526811531</v>
      </c>
      <c r="F610" s="17" t="n">
        <v>172.918422402082</v>
      </c>
      <c r="G610" s="15" t="n">
        <v>0.89040721330273</v>
      </c>
      <c r="H610" s="16" t="n">
        <v>-0.224698511574792</v>
      </c>
    </row>
    <row r="611">
      <c r="A611" t="s">
        <v>31</v>
      </c>
      <c r="B611" t="s">
        <v>804</v>
      </c>
      <c r="C611" t="s">
        <v>805</v>
      </c>
      <c r="D611" t="s">
        <v>1387</v>
      </c>
      <c r="E611" s="14" t="n">
        <v>0.5</v>
      </c>
      <c r="F611" s="17" t="n">
        <v>17</v>
      </c>
      <c r="G611" s="15" t="n">
        <v>0.414518786277521</v>
      </c>
      <c r="H611" s="16" t="n">
        <v>0.279596451735373</v>
      </c>
    </row>
    <row r="612">
      <c r="A612" t="s">
        <v>31</v>
      </c>
      <c r="B612" t="s">
        <v>806</v>
      </c>
      <c r="C612" t="s">
        <v>807</v>
      </c>
      <c r="D612" t="s">
        <v>1387</v>
      </c>
      <c r="E612" s="14" t="n">
        <v>0.409576022144496</v>
      </c>
      <c r="F612" s="17" t="n">
        <v>111.5</v>
      </c>
      <c r="G612" s="15" t="n">
        <v>-0.299544939889833</v>
      </c>
      <c r="H612" s="16" t="n">
        <v>-0.279330175423468</v>
      </c>
    </row>
    <row r="613">
      <c r="A613" t="s">
        <v>31</v>
      </c>
      <c r="B613" t="s">
        <v>806</v>
      </c>
      <c r="C613" t="s">
        <v>808</v>
      </c>
      <c r="D613" t="s">
        <v>1387</v>
      </c>
      <c r="E613" s="14" t="n">
        <v>0.478152377981518</v>
      </c>
      <c r="F613" s="17" t="n">
        <v>80.5</v>
      </c>
      <c r="G613" s="15" t="n">
        <v>-0.452101955348511</v>
      </c>
      <c r="H613" s="16" t="n">
        <v>0.155671187248743</v>
      </c>
    </row>
    <row r="614">
      <c r="A614" t="s">
        <v>32</v>
      </c>
      <c r="B614" t="s">
        <v>809</v>
      </c>
      <c r="C614" t="s">
        <v>810</v>
      </c>
      <c r="D614" t="s">
        <v>1387</v>
      </c>
      <c r="E614" s="14" t="n">
        <v>1.25887974218867</v>
      </c>
      <c r="F614" s="17" t="n">
        <v>32.6231368160483</v>
      </c>
      <c r="G614" s="15" t="n">
        <v>0.527116614883852</v>
      </c>
      <c r="H614" s="16" t="n">
        <v>1.14320876466479</v>
      </c>
    </row>
    <row r="615">
      <c r="A615" t="s">
        <v>32</v>
      </c>
      <c r="B615" t="s">
        <v>809</v>
      </c>
      <c r="C615" t="s">
        <v>811</v>
      </c>
      <c r="D615" t="s">
        <v>1387</v>
      </c>
      <c r="E615" s="14" t="n">
        <v>0.502015464004928</v>
      </c>
      <c r="F615" s="17" t="n">
        <v>159.447308105937</v>
      </c>
      <c r="G615" s="15" t="n">
        <v>0.378269464801595</v>
      </c>
      <c r="H615" s="16" t="n">
        <v>-0.330048084525268</v>
      </c>
    </row>
    <row r="616">
      <c r="A616" t="s">
        <v>30</v>
      </c>
      <c r="B616" t="s">
        <v>812</v>
      </c>
      <c r="C616" t="s">
        <v>813</v>
      </c>
      <c r="D616" t="s">
        <v>1387</v>
      </c>
      <c r="E616" s="14" t="n">
        <v>0.866025403784438</v>
      </c>
      <c r="F616" s="17" t="n">
        <v>171</v>
      </c>
      <c r="G616" s="15" t="n">
        <v>0.823639103546332</v>
      </c>
      <c r="H616" s="16" t="n">
        <v>-0.267616567329818</v>
      </c>
    </row>
    <row r="617">
      <c r="A617" t="s">
        <v>30</v>
      </c>
      <c r="B617" t="s">
        <v>812</v>
      </c>
      <c r="C617" t="s">
        <v>814</v>
      </c>
      <c r="D617" t="s">
        <v>1387</v>
      </c>
      <c r="E617" s="14" t="n">
        <v>1.1293823246938</v>
      </c>
      <c r="F617" s="17" t="n">
        <v>1.71269648131404</v>
      </c>
      <c r="G617" s="15" t="n">
        <v>1.12736462201358</v>
      </c>
      <c r="H617" s="16" t="n">
        <v>0.0674792143031076</v>
      </c>
    </row>
    <row r="618">
      <c r="A618" t="s">
        <v>30</v>
      </c>
      <c r="B618" t="s">
        <v>815</v>
      </c>
      <c r="C618" t="s">
        <v>816</v>
      </c>
      <c r="D618" t="s">
        <v>1387</v>
      </c>
      <c r="E618" s="14" t="n">
        <v>0.499695413509548</v>
      </c>
      <c r="F618" s="17" t="n">
        <v>53</v>
      </c>
      <c r="G618" s="15" t="n">
        <v>-0.137734722493654</v>
      </c>
      <c r="H618" s="16" t="n">
        <v>0.480338060642788</v>
      </c>
    </row>
    <row r="619">
      <c r="A619" t="s">
        <v>30</v>
      </c>
      <c r="B619" t="s">
        <v>815</v>
      </c>
      <c r="C619" t="s">
        <v>817</v>
      </c>
      <c r="D619" t="s">
        <v>1387</v>
      </c>
      <c r="E619" s="14" t="n">
        <v>0.4567727288213</v>
      </c>
      <c r="F619" s="17" t="n">
        <v>121</v>
      </c>
      <c r="G619" s="15" t="n">
        <v>-0.214441806837712</v>
      </c>
      <c r="H619" s="16" t="n">
        <v>-0.403306381396371</v>
      </c>
    </row>
    <row r="620">
      <c r="A620" t="s">
        <v>32</v>
      </c>
      <c r="B620" t="s">
        <v>818</v>
      </c>
      <c r="C620" t="s">
        <v>819</v>
      </c>
      <c r="D620" t="s">
        <v>1387</v>
      </c>
      <c r="E620" s="14" t="n">
        <v>1.47876511959708</v>
      </c>
      <c r="F620" s="17" t="n">
        <v>4.12507258295028</v>
      </c>
      <c r="G620" s="15" t="n">
        <v>1.46346141377089</v>
      </c>
      <c r="H620" s="16" t="n">
        <v>0.212195592180156</v>
      </c>
    </row>
    <row r="621">
      <c r="A621" t="s">
        <v>31</v>
      </c>
      <c r="B621" t="s">
        <v>820</v>
      </c>
      <c r="C621" t="s">
        <v>821</v>
      </c>
      <c r="D621" t="s">
        <v>1387</v>
      </c>
      <c r="E621" s="14" t="n">
        <v>0.502015464004928</v>
      </c>
      <c r="F621" s="17" t="n">
        <v>166.447308105937</v>
      </c>
      <c r="G621" s="15" t="n">
        <v>0.446879103325088</v>
      </c>
      <c r="H621" s="16" t="n">
        <v>-0.228732579908172</v>
      </c>
    </row>
    <row r="622">
      <c r="A622" t="s">
        <v>31</v>
      </c>
      <c r="B622" t="s">
        <v>820</v>
      </c>
      <c r="C622" t="s">
        <v>822</v>
      </c>
      <c r="D622" t="s">
        <v>1387</v>
      </c>
      <c r="E622" s="14" t="n">
        <v>0.5</v>
      </c>
      <c r="F622" s="17" t="n">
        <v>43</v>
      </c>
      <c r="G622" s="15" t="n">
        <v>0.0348782368720628</v>
      </c>
      <c r="H622" s="16" t="n">
        <v>0.498782025129912</v>
      </c>
    </row>
    <row r="623">
      <c r="A623" t="s">
        <v>30</v>
      </c>
      <c r="B623" t="s">
        <v>823</v>
      </c>
      <c r="C623" t="s">
        <v>824</v>
      </c>
      <c r="D623" t="s">
        <v>1387</v>
      </c>
      <c r="E623" s="14" t="n">
        <v>0.617583467196338</v>
      </c>
      <c r="F623" s="17" t="n">
        <v>7.44994489500481</v>
      </c>
      <c r="G623" s="15" t="n">
        <v>0.596818195139735</v>
      </c>
      <c r="H623" s="16" t="n">
        <v>0.158799813930618</v>
      </c>
    </row>
    <row r="624">
      <c r="A624" t="s">
        <v>30</v>
      </c>
      <c r="B624" t="s">
        <v>823</v>
      </c>
      <c r="C624" t="s">
        <v>825</v>
      </c>
      <c r="D624" t="s">
        <v>1387</v>
      </c>
      <c r="E624" s="14" t="n">
        <v>0.596583644107624</v>
      </c>
      <c r="F624" s="17" t="n">
        <v>178.813149787631</v>
      </c>
      <c r="G624" s="15" t="n">
        <v>0.596071743341695</v>
      </c>
      <c r="H624" s="16" t="n">
        <v>-0.0247087273311504</v>
      </c>
    </row>
    <row r="625">
      <c r="A625" t="s">
        <v>31</v>
      </c>
      <c r="B625" t="s">
        <v>826</v>
      </c>
      <c r="C625" t="s">
        <v>827</v>
      </c>
      <c r="D625" t="s">
        <v>1387</v>
      </c>
      <c r="E625" s="14" t="n">
        <v>0.264959632116602</v>
      </c>
      <c r="F625" s="17" t="n">
        <v>155</v>
      </c>
      <c r="G625" s="15" t="n">
        <v>0.170312768591656</v>
      </c>
      <c r="H625" s="16" t="n">
        <v>-0.202970853833772</v>
      </c>
    </row>
    <row r="626">
      <c r="A626" t="s">
        <v>31</v>
      </c>
      <c r="B626" t="s">
        <v>828</v>
      </c>
      <c r="C626" t="s">
        <v>829</v>
      </c>
      <c r="D626" t="s">
        <v>1387</v>
      </c>
      <c r="E626" s="14" t="n">
        <v>0.5</v>
      </c>
      <c r="F626" s="17" t="n">
        <v>141</v>
      </c>
      <c r="G626" s="15" t="n">
        <v>0.10395584540888</v>
      </c>
      <c r="H626" s="16" t="n">
        <v>-0.489073800366903</v>
      </c>
    </row>
    <row r="627">
      <c r="A627" t="s">
        <v>30</v>
      </c>
      <c r="B627" t="s">
        <v>830</v>
      </c>
      <c r="C627" t="s">
        <v>831</v>
      </c>
      <c r="D627" t="s">
        <v>1387</v>
      </c>
      <c r="E627" s="14" t="n">
        <v>1.15215434387785</v>
      </c>
      <c r="F627" s="17" t="n">
        <v>94.6981868422649</v>
      </c>
      <c r="G627" s="15" t="n">
        <v>-1.13669530918759</v>
      </c>
      <c r="H627" s="16" t="n">
        <v>-0.188104774494254</v>
      </c>
    </row>
    <row r="628">
      <c r="A628" t="s">
        <v>30</v>
      </c>
      <c r="B628" t="s">
        <v>830</v>
      </c>
      <c r="C628" t="s">
        <v>832</v>
      </c>
      <c r="D628" t="s">
        <v>1387</v>
      </c>
      <c r="E628" s="14" t="n">
        <v>0.75</v>
      </c>
      <c r="F628" s="17" t="n">
        <v>86</v>
      </c>
      <c r="G628" s="15" t="n">
        <v>-0.742701051556178</v>
      </c>
      <c r="H628" s="16" t="n">
        <v>0.104379825720049</v>
      </c>
    </row>
    <row r="629">
      <c r="A629" t="s">
        <v>32</v>
      </c>
      <c r="B629" t="s">
        <v>833</v>
      </c>
      <c r="C629" t="s">
        <v>834</v>
      </c>
      <c r="D629" t="s">
        <v>1387</v>
      </c>
      <c r="E629" s="14" t="n">
        <v>1.60983542442708</v>
      </c>
      <c r="F629" s="17" t="n">
        <v>8.89224423394696</v>
      </c>
      <c r="G629" s="15" t="n">
        <v>1.53290479898918</v>
      </c>
      <c r="H629" s="16" t="n">
        <v>0.491704149846473</v>
      </c>
    </row>
    <row r="630">
      <c r="A630" t="s">
        <v>30</v>
      </c>
      <c r="B630" t="s">
        <v>835</v>
      </c>
      <c r="C630" t="s">
        <v>836</v>
      </c>
      <c r="D630" t="s">
        <v>1387</v>
      </c>
      <c r="E630" s="14" t="n">
        <v>2.88495216890595</v>
      </c>
      <c r="F630" s="17" t="n">
        <v>162.743695513692</v>
      </c>
      <c r="G630" s="15" t="n">
        <v>2.37720497441049</v>
      </c>
      <c r="H630" s="16" t="n">
        <v>-1.63457808822741</v>
      </c>
    </row>
    <row r="631">
      <c r="A631" t="s">
        <v>30</v>
      </c>
      <c r="B631" t="s">
        <v>835</v>
      </c>
      <c r="C631" t="s">
        <v>837</v>
      </c>
      <c r="D631" t="s">
        <v>1387</v>
      </c>
      <c r="E631" s="14" t="n">
        <v>1.62348582053035</v>
      </c>
      <c r="F631" s="17" t="n">
        <v>20.3327108503701</v>
      </c>
      <c r="G631" s="15" t="n">
        <v>1.23145903502792</v>
      </c>
      <c r="H631" s="16" t="n">
        <v>1.05792951301644</v>
      </c>
    </row>
    <row r="632">
      <c r="A632" t="s">
        <v>30</v>
      </c>
      <c r="B632" t="s">
        <v>838</v>
      </c>
      <c r="C632" t="s">
        <v>839</v>
      </c>
      <c r="D632" t="s">
        <v>1387</v>
      </c>
      <c r="E632" s="14" t="n">
        <v>1.0520701103791</v>
      </c>
      <c r="F632" s="17" t="n">
        <v>175.181999176586</v>
      </c>
      <c r="G632" s="15" t="n">
        <v>1.03722650973476</v>
      </c>
      <c r="H632" s="16" t="n">
        <v>-0.176104186936428</v>
      </c>
    </row>
    <row r="633">
      <c r="A633" t="s">
        <v>31</v>
      </c>
      <c r="B633" t="s">
        <v>840</v>
      </c>
      <c r="C633" t="s">
        <v>841</v>
      </c>
      <c r="D633" t="s">
        <v>1387</v>
      </c>
      <c r="E633" s="14" t="n">
        <v>0.502050086382721</v>
      </c>
      <c r="F633" s="17" t="n">
        <v>2.50817986408419</v>
      </c>
      <c r="G633" s="15" t="n">
        <v>0.500127119987179</v>
      </c>
      <c r="H633" s="16" t="n">
        <v>0.0438993518201324</v>
      </c>
    </row>
    <row r="634">
      <c r="A634" t="s">
        <v>30</v>
      </c>
      <c r="B634" t="s">
        <v>842</v>
      </c>
      <c r="C634" t="s">
        <v>843</v>
      </c>
      <c r="D634" t="s">
        <v>1387</v>
      </c>
      <c r="E634" s="14" t="n">
        <v>0.643571410776574</v>
      </c>
      <c r="F634" s="17" t="n">
        <v>28.3928422911528</v>
      </c>
      <c r="G634" s="15" t="n">
        <v>0.352530574483034</v>
      </c>
      <c r="H634" s="16" t="n">
        <v>0.538429526329688</v>
      </c>
    </row>
    <row r="635">
      <c r="A635" t="s">
        <v>30</v>
      </c>
      <c r="B635" t="s">
        <v>842</v>
      </c>
      <c r="C635" t="s">
        <v>844</v>
      </c>
      <c r="D635" t="s">
        <v>1387</v>
      </c>
      <c r="E635" s="14" t="n">
        <v>1</v>
      </c>
      <c r="F635" s="17" t="n">
        <v>162</v>
      </c>
      <c r="G635" s="15" t="n">
        <v>0.809016994374947</v>
      </c>
      <c r="H635" s="16" t="n">
        <v>-0.587785252292473</v>
      </c>
    </row>
    <row r="636">
      <c r="A636" t="s">
        <v>32</v>
      </c>
      <c r="B636" t="s">
        <v>845</v>
      </c>
      <c r="C636" t="s">
        <v>846</v>
      </c>
      <c r="D636" t="s">
        <v>1387</v>
      </c>
      <c r="E636" s="14" t="n">
        <v>1.77597446818425</v>
      </c>
      <c r="F636" s="17" t="n">
        <v>8.94641723546016</v>
      </c>
      <c r="G636" s="15" t="n">
        <v>1.6900756182128</v>
      </c>
      <c r="H636" s="16" t="n">
        <v>0.5456461457437</v>
      </c>
    </row>
    <row r="637">
      <c r="A637" t="s">
        <v>32</v>
      </c>
      <c r="B637" t="s">
        <v>845</v>
      </c>
      <c r="C637" t="s">
        <v>847</v>
      </c>
      <c r="D637" t="s">
        <v>1387</v>
      </c>
      <c r="E637" s="14" t="n">
        <v>1.53638013964199</v>
      </c>
      <c r="F637" s="17" t="n">
        <v>162.496042872243</v>
      </c>
      <c r="G637" s="15" t="n">
        <v>1.25840719584897</v>
      </c>
      <c r="H637" s="16" t="n">
        <v>-0.88140527733947</v>
      </c>
    </row>
    <row r="638">
      <c r="A638" t="s">
        <v>31</v>
      </c>
      <c r="B638" t="s">
        <v>848</v>
      </c>
      <c r="C638" t="s">
        <v>849</v>
      </c>
      <c r="D638" t="s">
        <v>1387</v>
      </c>
      <c r="E638" s="14" t="n">
        <v>0.25</v>
      </c>
      <c r="F638" s="17" t="n">
        <v>177</v>
      </c>
      <c r="G638" s="15" t="n">
        <v>0.248630473842068</v>
      </c>
      <c r="H638" s="16" t="n">
        <v>-0.0261321158169134</v>
      </c>
    </row>
    <row r="639">
      <c r="A639" t="s">
        <v>31</v>
      </c>
      <c r="B639" t="s">
        <v>848</v>
      </c>
      <c r="C639" t="s">
        <v>850</v>
      </c>
      <c r="D639" t="s">
        <v>1387</v>
      </c>
      <c r="E639" s="14" t="n">
        <v>0.799046902203986</v>
      </c>
      <c r="F639" s="17" t="n">
        <v>10.7717770787794</v>
      </c>
      <c r="G639" s="15" t="n">
        <v>0.743224445537329</v>
      </c>
      <c r="H639" s="16" t="n">
        <v>0.293416726649176</v>
      </c>
    </row>
    <row r="640">
      <c r="A640" t="s">
        <v>31</v>
      </c>
      <c r="B640" t="s">
        <v>851</v>
      </c>
      <c r="C640" t="s">
        <v>852</v>
      </c>
      <c r="D640" t="s">
        <v>1387</v>
      </c>
      <c r="E640" s="14" t="n">
        <v>0.730944108089069</v>
      </c>
      <c r="F640" s="17" t="n">
        <v>7.6909715889262</v>
      </c>
      <c r="G640" s="15" t="n">
        <v>0.704760993278136</v>
      </c>
      <c r="H640" s="16" t="n">
        <v>0.193884582944958</v>
      </c>
    </row>
    <row r="641">
      <c r="A641" t="s">
        <v>31</v>
      </c>
      <c r="B641" t="s">
        <v>851</v>
      </c>
      <c r="C641" t="s">
        <v>853</v>
      </c>
      <c r="D641" t="s">
        <v>1387</v>
      </c>
      <c r="E641" s="14" t="n">
        <v>0.617583467196337</v>
      </c>
      <c r="F641" s="17" t="n">
        <v>173.550055104995</v>
      </c>
      <c r="G641" s="15" t="n">
        <v>0.601996663203373</v>
      </c>
      <c r="H641" s="16" t="n">
        <v>-0.137874422741326</v>
      </c>
    </row>
    <row r="642">
      <c r="A642" t="s">
        <v>32</v>
      </c>
      <c r="B642" t="s">
        <v>854</v>
      </c>
      <c r="C642" t="s">
        <v>855</v>
      </c>
      <c r="D642" t="s">
        <v>1387</v>
      </c>
      <c r="E642" s="14" t="n">
        <v>0.120960947799834</v>
      </c>
      <c r="F642" s="17" t="n">
        <v>171</v>
      </c>
      <c r="G642" s="15" t="n">
        <v>0.11504069762227</v>
      </c>
      <c r="H642" s="16" t="n">
        <v>-0.0373789885258496</v>
      </c>
    </row>
    <row r="643">
      <c r="A643" t="s">
        <v>32</v>
      </c>
      <c r="B643" t="s">
        <v>854</v>
      </c>
      <c r="C643" t="s">
        <v>856</v>
      </c>
      <c r="D643" t="s">
        <v>1387</v>
      </c>
      <c r="E643" s="14" t="n">
        <v>0.355968809912682</v>
      </c>
      <c r="F643" s="17" t="n">
        <v>164.015079591709</v>
      </c>
      <c r="G643" s="15" t="n">
        <v>0.30197792270444</v>
      </c>
      <c r="H643" s="16" t="n">
        <v>-0.188475801708768</v>
      </c>
    </row>
    <row r="644">
      <c r="A644" t="s">
        <v>30</v>
      </c>
      <c r="B644" t="s">
        <v>857</v>
      </c>
      <c r="C644" t="s">
        <v>858</v>
      </c>
      <c r="D644" t="s">
        <v>1387</v>
      </c>
      <c r="E644" s="14" t="n">
        <v>1.93283815082883</v>
      </c>
      <c r="F644" s="17" t="n">
        <v>6.26843147800758</v>
      </c>
      <c r="G644" s="15" t="n">
        <v>1.88675262519192</v>
      </c>
      <c r="H644" s="16" t="n">
        <v>0.419556728739782</v>
      </c>
    </row>
    <row r="645">
      <c r="A645" t="s">
        <v>30</v>
      </c>
      <c r="B645" t="s">
        <v>857</v>
      </c>
      <c r="C645" t="s">
        <v>859</v>
      </c>
      <c r="D645" t="s">
        <v>1387</v>
      </c>
      <c r="E645" s="14" t="n">
        <v>2.19739492197442</v>
      </c>
      <c r="F645" s="17" t="n">
        <v>178.903089498472</v>
      </c>
      <c r="G645" s="15" t="n">
        <v>2.19578434243987</v>
      </c>
      <c r="H645" s="16" t="n">
        <v>-0.084116375426412</v>
      </c>
    </row>
    <row r="646">
      <c r="A646" t="s">
        <v>30</v>
      </c>
      <c r="B646" t="s">
        <v>860</v>
      </c>
      <c r="C646" t="s">
        <v>861</v>
      </c>
      <c r="D646" t="s">
        <v>1387</v>
      </c>
      <c r="E646" s="14" t="n">
        <v>0.817615204846778</v>
      </c>
      <c r="F646" s="17" t="n">
        <v>6.57468784803882</v>
      </c>
      <c r="G646" s="15" t="n">
        <v>0.796177566946128</v>
      </c>
      <c r="H646" s="16" t="n">
        <v>0.185999744861068</v>
      </c>
    </row>
    <row r="647">
      <c r="A647" t="s">
        <v>30</v>
      </c>
      <c r="B647" t="s">
        <v>860</v>
      </c>
      <c r="C647" t="s">
        <v>862</v>
      </c>
      <c r="D647" t="s">
        <v>1387</v>
      </c>
      <c r="E647" s="14" t="n">
        <v>1.04755822600563</v>
      </c>
      <c r="F647" s="17" t="n">
        <v>0.886296010246427</v>
      </c>
      <c r="G647" s="15" t="n">
        <v>1.04705693968806</v>
      </c>
      <c r="H647" s="16" t="n">
        <v>0.0324037331668204</v>
      </c>
    </row>
    <row r="648">
      <c r="A648" t="s">
        <v>31</v>
      </c>
      <c r="B648" t="s">
        <v>863</v>
      </c>
      <c r="C648" t="s">
        <v>864</v>
      </c>
      <c r="D648" t="s">
        <v>1387</v>
      </c>
      <c r="E648" s="14" t="n">
        <v>0.2033683215379</v>
      </c>
      <c r="F648" s="17" t="n">
        <v>28</v>
      </c>
      <c r="G648" s="15" t="n">
        <v>0.113722122194751</v>
      </c>
      <c r="H648" s="16" t="n">
        <v>0.168599979622374</v>
      </c>
    </row>
    <row r="649">
      <c r="A649" t="s">
        <v>31</v>
      </c>
      <c r="B649" t="s">
        <v>863</v>
      </c>
      <c r="C649" t="s">
        <v>865</v>
      </c>
      <c r="D649" t="s">
        <v>1387</v>
      </c>
      <c r="E649" s="14" t="n">
        <v>0.1378186779085</v>
      </c>
      <c r="F649" s="17" t="n">
        <v>158</v>
      </c>
      <c r="G649" s="15" t="n">
        <v>0.0991384602496369</v>
      </c>
      <c r="H649" s="16" t="n">
        <v>-0.0957368982147317</v>
      </c>
    </row>
    <row r="650">
      <c r="A650" t="s">
        <v>30</v>
      </c>
      <c r="B650" t="s">
        <v>866</v>
      </c>
      <c r="C650" t="s">
        <v>867</v>
      </c>
      <c r="D650" t="s">
        <v>1387</v>
      </c>
      <c r="E650" s="14" t="n">
        <v>1.10231597253124</v>
      </c>
      <c r="F650" s="17" t="n">
        <v>7.47825759066065</v>
      </c>
      <c r="G650" s="15" t="n">
        <v>1.06497168956727</v>
      </c>
      <c r="H650" s="16" t="n">
        <v>0.284492185688345</v>
      </c>
    </row>
    <row r="651">
      <c r="A651" t="s">
        <v>32</v>
      </c>
      <c r="B651" t="s">
        <v>868</v>
      </c>
      <c r="C651" t="s">
        <v>869</v>
      </c>
      <c r="D651" t="s">
        <v>1387</v>
      </c>
      <c r="E651" s="14" t="n">
        <v>0.737764165327713</v>
      </c>
      <c r="F651" s="17" t="n">
        <v>75.6463958072393</v>
      </c>
      <c r="G651" s="15" t="n">
        <v>-0.647082428756473</v>
      </c>
      <c r="H651" s="16" t="n">
        <v>0.354373100046154</v>
      </c>
    </row>
    <row r="652">
      <c r="A652" t="s">
        <v>31</v>
      </c>
      <c r="B652" t="s">
        <v>870</v>
      </c>
      <c r="C652" t="s">
        <v>871</v>
      </c>
      <c r="D652" t="s">
        <v>1387</v>
      </c>
      <c r="E652" s="14" t="n">
        <v>0.5</v>
      </c>
      <c r="F652" s="17" t="n">
        <v>82</v>
      </c>
      <c r="G652" s="15" t="n">
        <v>-0.48063084796916</v>
      </c>
      <c r="H652" s="16" t="n">
        <v>0.137818677908499</v>
      </c>
    </row>
    <row r="653">
      <c r="A653" t="s">
        <v>31</v>
      </c>
      <c r="B653" t="s">
        <v>872</v>
      </c>
      <c r="C653" t="s">
        <v>873</v>
      </c>
      <c r="D653" t="s">
        <v>1387</v>
      </c>
      <c r="E653" s="14" t="n">
        <v>0.935908103065986</v>
      </c>
      <c r="F653" s="17" t="n">
        <v>162.275107756497</v>
      </c>
      <c r="G653" s="15" t="n">
        <v>0.762413341825688</v>
      </c>
      <c r="H653" s="16" t="n">
        <v>-0.542816611380638</v>
      </c>
    </row>
    <row r="654">
      <c r="A654" t="s">
        <v>31</v>
      </c>
      <c r="B654" t="s">
        <v>872</v>
      </c>
      <c r="C654" t="s">
        <v>874</v>
      </c>
      <c r="D654" t="s">
        <v>1387</v>
      </c>
      <c r="E654" s="14" t="n">
        <v>0.895014992078182</v>
      </c>
      <c r="F654" s="17" t="n">
        <v>23.1390696269879</v>
      </c>
      <c r="G654" s="15" t="n">
        <v>0.618596953681288</v>
      </c>
      <c r="H654" s="16" t="n">
        <v>0.64683046073986</v>
      </c>
    </row>
    <row r="655">
      <c r="A655" t="s">
        <v>32</v>
      </c>
      <c r="B655" t="s">
        <v>875</v>
      </c>
      <c r="C655" t="s">
        <v>876</v>
      </c>
      <c r="D655" t="s">
        <v>1387</v>
      </c>
      <c r="E655" s="14" t="n">
        <v>0.999543155070072</v>
      </c>
      <c r="F655" s="17" t="n">
        <v>163.499847644884</v>
      </c>
      <c r="G655" s="15" t="n">
        <v>0.838284530362391</v>
      </c>
      <c r="H655" s="16" t="n">
        <v>-0.54439467760306</v>
      </c>
    </row>
    <row r="656">
      <c r="A656" t="s">
        <v>32</v>
      </c>
      <c r="B656" t="s">
        <v>875</v>
      </c>
      <c r="C656" t="s">
        <v>877</v>
      </c>
      <c r="D656" t="s">
        <v>1387</v>
      </c>
      <c r="E656" s="14" t="n">
        <v>0.495134034370785</v>
      </c>
      <c r="F656" s="17" t="n">
        <v>11</v>
      </c>
      <c r="G656" s="15" t="n">
        <v>0.459080282515109</v>
      </c>
      <c r="H656" s="16" t="n">
        <v>0.185480473899917</v>
      </c>
    </row>
    <row r="657">
      <c r="A657" t="s">
        <v>31</v>
      </c>
      <c r="B657" t="s">
        <v>878</v>
      </c>
      <c r="C657" t="s">
        <v>879</v>
      </c>
      <c r="D657" t="s">
        <v>1387</v>
      </c>
      <c r="E657" s="14" t="n">
        <v>0.511017712654367</v>
      </c>
      <c r="F657" s="17" t="n">
        <v>5.601470781454</v>
      </c>
      <c r="G657" s="15" t="n">
        <v>0.501280363182259</v>
      </c>
      <c r="H657" s="16" t="n">
        <v>0.0992829297229098</v>
      </c>
    </row>
    <row r="658">
      <c r="A658" t="s">
        <v>31</v>
      </c>
      <c r="B658" t="s">
        <v>878</v>
      </c>
      <c r="C658" t="s">
        <v>880</v>
      </c>
      <c r="D658" t="s">
        <v>1387</v>
      </c>
      <c r="E658" s="14" t="n">
        <v>0.5</v>
      </c>
      <c r="F658" s="17" t="n">
        <v>164</v>
      </c>
      <c r="G658" s="15" t="n">
        <v>0.424024048078213</v>
      </c>
      <c r="H658" s="16" t="n">
        <v>-0.264959632116603</v>
      </c>
    </row>
    <row r="659">
      <c r="A659" t="s">
        <v>32</v>
      </c>
      <c r="B659" t="s">
        <v>881</v>
      </c>
      <c r="C659" t="s">
        <v>882</v>
      </c>
      <c r="D659" t="s">
        <v>1387</v>
      </c>
      <c r="E659" s="14" t="n">
        <v>0.419335283972712</v>
      </c>
      <c r="F659" s="17" t="n">
        <v>80.5</v>
      </c>
      <c r="G659" s="15" t="n">
        <v>-0.396489300400414</v>
      </c>
      <c r="H659" s="16" t="n">
        <v>0.136522214501763</v>
      </c>
    </row>
    <row r="660">
      <c r="A660" t="s">
        <v>30</v>
      </c>
      <c r="B660" t="s">
        <v>883</v>
      </c>
      <c r="C660" t="s">
        <v>884</v>
      </c>
      <c r="D660" t="s">
        <v>1387</v>
      </c>
      <c r="E660" s="14" t="n">
        <v>1.4176700681324</v>
      </c>
      <c r="F660" s="17" t="n">
        <v>9.00609836036083</v>
      </c>
      <c r="G660" s="15" t="n">
        <v>1.34819106944875</v>
      </c>
      <c r="H660" s="16" t="n">
        <v>0.438371146789077</v>
      </c>
    </row>
    <row r="661">
      <c r="A661" t="s">
        <v>30</v>
      </c>
      <c r="B661" t="s">
        <v>883</v>
      </c>
      <c r="C661" t="s">
        <v>885</v>
      </c>
      <c r="D661" t="s">
        <v>1387</v>
      </c>
      <c r="E661" s="14" t="n">
        <v>1.24805209601634</v>
      </c>
      <c r="F661" s="17" t="n">
        <v>177.201248832239</v>
      </c>
      <c r="G661" s="15" t="n">
        <v>1.24210095044328</v>
      </c>
      <c r="H661" s="16" t="n">
        <v>-0.121734396448566</v>
      </c>
    </row>
    <row r="662">
      <c r="A662" t="s">
        <v>30</v>
      </c>
      <c r="B662" t="s">
        <v>886</v>
      </c>
      <c r="C662" t="s">
        <v>887</v>
      </c>
      <c r="D662" t="s">
        <v>1387</v>
      </c>
      <c r="E662" s="14" t="n">
        <v>3.0224995010674</v>
      </c>
      <c r="F662" s="17" t="n">
        <v>148.237319356473</v>
      </c>
      <c r="G662" s="15" t="n">
        <v>1.34743522688773</v>
      </c>
      <c r="H662" s="16" t="n">
        <v>-2.70553535243854</v>
      </c>
    </row>
    <row r="663">
      <c r="A663" t="s">
        <v>30</v>
      </c>
      <c r="B663" t="s">
        <v>886</v>
      </c>
      <c r="C663" t="s">
        <v>888</v>
      </c>
      <c r="D663" t="s">
        <v>1387</v>
      </c>
      <c r="E663" s="14" t="n">
        <v>2.7806806911544</v>
      </c>
      <c r="F663" s="17" t="n">
        <v>26.1322855510381</v>
      </c>
      <c r="G663" s="15" t="n">
        <v>1.70182156617597</v>
      </c>
      <c r="H663" s="16" t="n">
        <v>2.19908809806639</v>
      </c>
    </row>
    <row r="664">
      <c r="A664" t="s">
        <v>31</v>
      </c>
      <c r="B664" t="s">
        <v>889</v>
      </c>
      <c r="C664" t="s">
        <v>890</v>
      </c>
      <c r="D664" t="s">
        <v>1387</v>
      </c>
      <c r="E664" s="14" t="n">
        <v>0.476439885157176</v>
      </c>
      <c r="F664" s="17" t="n">
        <v>24.7716236401297</v>
      </c>
      <c r="G664" s="15" t="n">
        <v>0.309149407971319</v>
      </c>
      <c r="H664" s="16" t="n">
        <v>0.362521182442579</v>
      </c>
    </row>
    <row r="665">
      <c r="A665" t="s">
        <v>31</v>
      </c>
      <c r="B665" t="s">
        <v>889</v>
      </c>
      <c r="C665" t="s">
        <v>891</v>
      </c>
      <c r="D665" t="s">
        <v>1387</v>
      </c>
      <c r="E665" s="14" t="n">
        <v>0.637300281150085</v>
      </c>
      <c r="F665" s="17" t="n">
        <v>143.335724421154</v>
      </c>
      <c r="G665" s="15" t="n">
        <v>0.182830737662829</v>
      </c>
      <c r="H665" s="16" t="n">
        <v>-0.610511727749471</v>
      </c>
    </row>
    <row r="666">
      <c r="A666" t="s">
        <v>32</v>
      </c>
      <c r="B666" t="s">
        <v>892</v>
      </c>
      <c r="C666" t="s">
        <v>893</v>
      </c>
      <c r="D666" t="s">
        <v>1387</v>
      </c>
      <c r="E666" s="14" t="n">
        <v>1.75</v>
      </c>
      <c r="F666" s="17" t="n">
        <v>0</v>
      </c>
      <c r="G666" s="15" t="n">
        <v>1.75</v>
      </c>
      <c r="H666" s="16" t="n">
        <v>0</v>
      </c>
    </row>
    <row r="667">
      <c r="A667" t="s">
        <v>32</v>
      </c>
      <c r="B667" t="s">
        <v>892</v>
      </c>
      <c r="C667" t="s">
        <v>894</v>
      </c>
      <c r="D667" t="s">
        <v>1387</v>
      </c>
      <c r="E667" s="14" t="n">
        <v>0.756842181131559</v>
      </c>
      <c r="F667" s="17" t="n">
        <v>164.453416442784</v>
      </c>
      <c r="G667" s="15" t="n">
        <v>0.648105664718937</v>
      </c>
      <c r="H667" s="16" t="n">
        <v>-0.390856923309797</v>
      </c>
    </row>
    <row r="668">
      <c r="A668" t="s">
        <v>32</v>
      </c>
      <c r="B668" t="s">
        <v>895</v>
      </c>
      <c r="C668" t="s">
        <v>896</v>
      </c>
      <c r="D668" t="s">
        <v>1387</v>
      </c>
      <c r="E668" s="14" t="n">
        <v>1.01867173908419</v>
      </c>
      <c r="F668" s="17" t="n">
        <v>107.407472687471</v>
      </c>
      <c r="G668" s="15" t="n">
        <v>-0.836329816477497</v>
      </c>
      <c r="H668" s="16" t="n">
        <v>-0.581587955583267</v>
      </c>
    </row>
    <row r="669">
      <c r="A669" t="s">
        <v>32</v>
      </c>
      <c r="B669" t="s">
        <v>895</v>
      </c>
      <c r="C669" t="s">
        <v>897</v>
      </c>
      <c r="D669" t="s">
        <v>1387</v>
      </c>
      <c r="E669" s="14" t="n">
        <v>2.00833695079772</v>
      </c>
      <c r="F669" s="17" t="n">
        <v>82.8628531889834</v>
      </c>
      <c r="G669" s="15" t="n">
        <v>-1.94633246491511</v>
      </c>
      <c r="H669" s="16" t="n">
        <v>0.495184050588246</v>
      </c>
    </row>
    <row r="670">
      <c r="A670" t="s">
        <v>30</v>
      </c>
      <c r="B670" t="s">
        <v>898</v>
      </c>
      <c r="C670" t="s">
        <v>899</v>
      </c>
      <c r="D670" t="s">
        <v>1387</v>
      </c>
      <c r="E670" s="14" t="n">
        <v>0.624303010239208</v>
      </c>
      <c r="F670" s="17" t="n">
        <v>144.806911220402</v>
      </c>
      <c r="G670" s="15" t="n">
        <v>0.209565303179429</v>
      </c>
      <c r="H670" s="16" t="n">
        <v>-0.588078763684807</v>
      </c>
    </row>
    <row r="671">
      <c r="A671" t="s">
        <v>30</v>
      </c>
      <c r="B671" t="s">
        <v>898</v>
      </c>
      <c r="C671" t="s">
        <v>900</v>
      </c>
      <c r="D671" t="s">
        <v>1387</v>
      </c>
      <c r="E671" s="14" t="n">
        <v>0.581921056344341</v>
      </c>
      <c r="F671" s="17" t="n">
        <v>23.6468382538312</v>
      </c>
      <c r="G671" s="15" t="n">
        <v>0.394682588329144</v>
      </c>
      <c r="H671" s="16" t="n">
        <v>0.427618720692536</v>
      </c>
    </row>
    <row r="672">
      <c r="A672" t="s">
        <v>32</v>
      </c>
      <c r="B672" t="s">
        <v>901</v>
      </c>
      <c r="C672" t="s">
        <v>902</v>
      </c>
      <c r="D672" t="s">
        <v>1387</v>
      </c>
      <c r="E672" s="14" t="n">
        <v>1.21159122860342</v>
      </c>
      <c r="F672" s="17" t="n">
        <v>53.6858300655502</v>
      </c>
      <c r="G672" s="15" t="n">
        <v>-0.361743297421536</v>
      </c>
      <c r="H672" s="16" t="n">
        <v>1.15632828037688</v>
      </c>
    </row>
    <row r="673">
      <c r="A673" t="s">
        <v>31</v>
      </c>
      <c r="B673" t="s">
        <v>903</v>
      </c>
      <c r="C673" t="s">
        <v>904</v>
      </c>
      <c r="D673" t="s">
        <v>1387</v>
      </c>
      <c r="E673" s="14" t="n">
        <v>0.756842181131559</v>
      </c>
      <c r="F673" s="17" t="n">
        <v>179.546583557216</v>
      </c>
      <c r="G673" s="15" t="n">
        <v>0.756747388293871</v>
      </c>
      <c r="H673" s="16" t="n">
        <v>-0.0119782073108001</v>
      </c>
    </row>
    <row r="674">
      <c r="A674" t="s">
        <v>31</v>
      </c>
      <c r="B674" t="s">
        <v>903</v>
      </c>
      <c r="C674" t="s">
        <v>905</v>
      </c>
      <c r="D674" t="s">
        <v>1387</v>
      </c>
      <c r="E674" s="14" t="n">
        <v>0.75</v>
      </c>
      <c r="F674" s="17" t="n">
        <v>6</v>
      </c>
      <c r="G674" s="15" t="n">
        <v>0.733610700550354</v>
      </c>
      <c r="H674" s="16" t="n">
        <v>0.155933768113319</v>
      </c>
    </row>
    <row r="675">
      <c r="A675" t="s">
        <v>32</v>
      </c>
      <c r="B675" t="s">
        <v>906</v>
      </c>
      <c r="C675" t="s">
        <v>907</v>
      </c>
      <c r="D675" t="s">
        <v>1387</v>
      </c>
      <c r="E675" s="14" t="n">
        <v>0.730230715743135</v>
      </c>
      <c r="F675" s="17" t="n">
        <v>49.6245521169648</v>
      </c>
      <c r="G675" s="15" t="n">
        <v>-0.117367890696473</v>
      </c>
      <c r="H675" s="16" t="n">
        <v>0.720736898214732</v>
      </c>
    </row>
    <row r="676">
      <c r="A676" t="s">
        <v>32</v>
      </c>
      <c r="B676" t="s">
        <v>906</v>
      </c>
      <c r="C676" t="s">
        <v>908</v>
      </c>
      <c r="D676" t="s">
        <v>1387</v>
      </c>
      <c r="E676" s="14" t="n">
        <v>0.649686683484639</v>
      </c>
      <c r="F676" s="17" t="n">
        <v>128.882948754977</v>
      </c>
      <c r="G676" s="15" t="n">
        <v>-0.137672842658728</v>
      </c>
      <c r="H676" s="16" t="n">
        <v>-0.634932260238472</v>
      </c>
    </row>
    <row r="677">
      <c r="A677" t="s">
        <v>30</v>
      </c>
      <c r="B677" t="s">
        <v>909</v>
      </c>
      <c r="C677" t="s">
        <v>910</v>
      </c>
      <c r="D677" t="s">
        <v>1387</v>
      </c>
      <c r="E677" s="14" t="n">
        <v>0.5</v>
      </c>
      <c r="F677" s="17" t="n">
        <v>41</v>
      </c>
      <c r="G677" s="15" t="n">
        <v>0.0695865504800331</v>
      </c>
      <c r="H677" s="16" t="n">
        <v>0.495134034370785</v>
      </c>
    </row>
    <row r="678">
      <c r="A678" t="s">
        <v>32</v>
      </c>
      <c r="B678" t="s">
        <v>911</v>
      </c>
      <c r="C678" t="s">
        <v>912</v>
      </c>
      <c r="D678" t="s">
        <v>1387</v>
      </c>
      <c r="E678" s="14" t="n">
        <v>0.25</v>
      </c>
      <c r="F678" s="17" t="n">
        <v>176</v>
      </c>
      <c r="G678" s="15" t="n">
        <v>0.247567017185393</v>
      </c>
      <c r="H678" s="16" t="n">
        <v>-0.0347932752400164</v>
      </c>
    </row>
    <row r="679">
      <c r="A679" t="s">
        <v>30</v>
      </c>
      <c r="B679" t="s">
        <v>913</v>
      </c>
      <c r="C679" t="s">
        <v>914</v>
      </c>
      <c r="D679" t="s">
        <v>1387</v>
      </c>
      <c r="E679" s="14" t="n">
        <v>0.75</v>
      </c>
      <c r="F679" s="17" t="n">
        <v>100</v>
      </c>
      <c r="G679" s="15" t="n">
        <v>-0.704769465589431</v>
      </c>
      <c r="H679" s="16" t="n">
        <v>-0.256515107494252</v>
      </c>
    </row>
    <row r="680">
      <c r="A680" t="s">
        <v>30</v>
      </c>
      <c r="B680" t="s">
        <v>913</v>
      </c>
      <c r="C680" t="s">
        <v>915</v>
      </c>
      <c r="D680" t="s">
        <v>1387</v>
      </c>
      <c r="E680" s="14" t="n">
        <v>0.5</v>
      </c>
      <c r="F680" s="17" t="n">
        <v>96</v>
      </c>
      <c r="G680" s="15" t="n">
        <v>-0.489073800366903</v>
      </c>
      <c r="H680" s="16" t="n">
        <v>-0.10395584540888</v>
      </c>
    </row>
    <row r="681">
      <c r="A681" t="s">
        <v>30</v>
      </c>
      <c r="B681" t="s">
        <v>916</v>
      </c>
      <c r="C681" t="s">
        <v>917</v>
      </c>
      <c r="D681" t="s">
        <v>1387</v>
      </c>
      <c r="E681" s="14" t="n">
        <v>0.75</v>
      </c>
      <c r="F681" s="17" t="n">
        <v>31</v>
      </c>
      <c r="G681" s="15" t="n">
        <v>0.352103672089418</v>
      </c>
      <c r="H681" s="16" t="n">
        <v>0.662210694644195</v>
      </c>
    </row>
    <row r="682">
      <c r="A682" t="s">
        <v>30</v>
      </c>
      <c r="B682" t="s">
        <v>916</v>
      </c>
      <c r="C682" t="s">
        <v>918</v>
      </c>
      <c r="D682" t="s">
        <v>1387</v>
      </c>
      <c r="E682" s="14" t="n">
        <v>0.2033683215379</v>
      </c>
      <c r="F682" s="17" t="n">
        <v>123</v>
      </c>
      <c r="G682" s="15" t="n">
        <v>-0.0827173484102856</v>
      </c>
      <c r="H682" s="16" t="n">
        <v>-0.185786206369349</v>
      </c>
    </row>
    <row r="683">
      <c r="A683" t="s">
        <v>30</v>
      </c>
      <c r="B683" t="s">
        <v>919</v>
      </c>
      <c r="C683" t="s">
        <v>920</v>
      </c>
      <c r="D683" t="s">
        <v>1387</v>
      </c>
      <c r="E683" s="14" t="n">
        <v>1.48272308243307</v>
      </c>
      <c r="F683" s="17" t="n">
        <v>13.9276579175797</v>
      </c>
      <c r="G683" s="15" t="n">
        <v>1.31092039346725</v>
      </c>
      <c r="H683" s="16" t="n">
        <v>0.692788179151097</v>
      </c>
    </row>
    <row r="684">
      <c r="A684" t="s">
        <v>30</v>
      </c>
      <c r="B684" t="s">
        <v>921</v>
      </c>
      <c r="C684" t="s">
        <v>922</v>
      </c>
      <c r="D684" t="s">
        <v>1387</v>
      </c>
      <c r="E684" s="14" t="n">
        <v>0.677824691991313</v>
      </c>
      <c r="F684" s="17" t="n">
        <v>148.68038179518</v>
      </c>
      <c r="G684" s="15" t="n">
        <v>0.311522600408257</v>
      </c>
      <c r="H684" s="16" t="n">
        <v>-0.601996663203373</v>
      </c>
    </row>
    <row r="685">
      <c r="A685" t="s">
        <v>30</v>
      </c>
      <c r="B685" t="s">
        <v>921</v>
      </c>
      <c r="C685" t="s">
        <v>923</v>
      </c>
      <c r="D685" t="s">
        <v>1387</v>
      </c>
      <c r="E685" s="14" t="n">
        <v>0.383022221559489</v>
      </c>
      <c r="F685" s="17" t="n">
        <v>22</v>
      </c>
      <c r="G685" s="15" t="n">
        <v>0.27552312838187</v>
      </c>
      <c r="H685" s="16" t="n">
        <v>0.2660695922781</v>
      </c>
    </row>
    <row r="686">
      <c r="A686" t="s">
        <v>30</v>
      </c>
      <c r="B686" t="s">
        <v>924</v>
      </c>
      <c r="C686" t="s">
        <v>925</v>
      </c>
      <c r="D686" t="s">
        <v>1387</v>
      </c>
      <c r="E686" s="14" t="n">
        <v>0.75</v>
      </c>
      <c r="F686" s="17" t="n">
        <v>4.00000000000001</v>
      </c>
      <c r="G686" s="15" t="n">
        <v>0.742701051556178</v>
      </c>
      <c r="H686" s="16" t="n">
        <v>0.104379825720049</v>
      </c>
    </row>
    <row r="687">
      <c r="A687" t="s">
        <v>30</v>
      </c>
      <c r="B687" t="s">
        <v>924</v>
      </c>
      <c r="C687" t="s">
        <v>926</v>
      </c>
      <c r="D687" t="s">
        <v>1387</v>
      </c>
      <c r="E687" s="14" t="n">
        <v>1.17684953194659</v>
      </c>
      <c r="F687" s="17" t="n">
        <v>170.23463811627</v>
      </c>
      <c r="G687" s="15" t="n">
        <v>1.10913638491628</v>
      </c>
      <c r="H687" s="16" t="n">
        <v>-0.393435255789003</v>
      </c>
    </row>
    <row r="688">
      <c r="A688" t="s">
        <v>30</v>
      </c>
      <c r="B688" t="s">
        <v>927</v>
      </c>
      <c r="C688" t="s">
        <v>928</v>
      </c>
      <c r="D688" t="s">
        <v>1387</v>
      </c>
      <c r="E688" s="14" t="n">
        <v>0.5</v>
      </c>
      <c r="F688" s="17" t="n">
        <v>107</v>
      </c>
      <c r="G688" s="15" t="n">
        <v>-0.414518786277521</v>
      </c>
      <c r="H688" s="16" t="n">
        <v>-0.279596451735373</v>
      </c>
    </row>
    <row r="689">
      <c r="A689" t="s">
        <v>30</v>
      </c>
      <c r="B689" t="s">
        <v>929</v>
      </c>
      <c r="C689" t="s">
        <v>930</v>
      </c>
      <c r="D689" t="s">
        <v>1387</v>
      </c>
      <c r="E689" s="14" t="n">
        <v>0.279596451735373</v>
      </c>
      <c r="F689" s="17" t="n">
        <v>142</v>
      </c>
      <c r="G689" s="15" t="n">
        <v>0.0676405036067625</v>
      </c>
      <c r="H689" s="16" t="n">
        <v>-0.271291242200766</v>
      </c>
    </row>
    <row r="690">
      <c r="A690" t="s">
        <v>30</v>
      </c>
      <c r="B690" t="s">
        <v>929</v>
      </c>
      <c r="C690" t="s">
        <v>931</v>
      </c>
      <c r="D690" t="s">
        <v>1387</v>
      </c>
      <c r="E690" s="14" t="n">
        <v>0.187303296707956</v>
      </c>
      <c r="F690" s="17" t="n">
        <v>145</v>
      </c>
      <c r="G690" s="15" t="n">
        <v>0.0640615003854254</v>
      </c>
      <c r="H690" s="16" t="n">
        <v>-0.17600752576534</v>
      </c>
    </row>
    <row r="691">
      <c r="A691" t="s">
        <v>30</v>
      </c>
      <c r="B691" t="s">
        <v>932</v>
      </c>
      <c r="C691" t="s">
        <v>933</v>
      </c>
      <c r="D691" t="s">
        <v>1387</v>
      </c>
      <c r="E691" s="14" t="n">
        <v>1.4176700681324</v>
      </c>
      <c r="F691" s="17" t="n">
        <v>159.993901639639</v>
      </c>
      <c r="G691" s="15" t="n">
        <v>1.08580427051353</v>
      </c>
      <c r="H691" s="16" t="n">
        <v>-0.911491913410712</v>
      </c>
    </row>
    <row r="692">
      <c r="A692" t="s">
        <v>30</v>
      </c>
      <c r="B692" t="s">
        <v>932</v>
      </c>
      <c r="C692" t="s">
        <v>934</v>
      </c>
      <c r="D692" t="s">
        <v>1387</v>
      </c>
      <c r="E692" s="14" t="n">
        <v>2.0068882637799</v>
      </c>
      <c r="F692" s="17" t="n">
        <v>32.4242010017015</v>
      </c>
      <c r="G692" s="15" t="n">
        <v>0.852957143946372</v>
      </c>
      <c r="H692" s="16" t="n">
        <v>1.81660799675889</v>
      </c>
    </row>
    <row r="693">
      <c r="A693" t="s">
        <v>31</v>
      </c>
      <c r="B693" t="s">
        <v>935</v>
      </c>
      <c r="C693" t="s">
        <v>936</v>
      </c>
      <c r="D693" t="s">
        <v>1387</v>
      </c>
      <c r="E693" s="14" t="n">
        <v>0.355968809912682</v>
      </c>
      <c r="F693" s="17" t="n">
        <v>22.0150795917093</v>
      </c>
      <c r="G693" s="15" t="n">
        <v>0.255932336394368</v>
      </c>
      <c r="H693" s="16" t="n">
        <v>0.247411464605769</v>
      </c>
    </row>
    <row r="694">
      <c r="A694" t="s">
        <v>31</v>
      </c>
      <c r="B694" t="s">
        <v>937</v>
      </c>
      <c r="C694" t="s">
        <v>938</v>
      </c>
      <c r="D694" t="s">
        <v>1387</v>
      </c>
      <c r="E694" s="14" t="n">
        <v>0.383022221559489</v>
      </c>
      <c r="F694" s="17" t="n">
        <v>155</v>
      </c>
      <c r="G694" s="15" t="n">
        <v>0.246201938253052</v>
      </c>
      <c r="H694" s="16" t="n">
        <v>-0.293412044416733</v>
      </c>
    </row>
    <row r="695">
      <c r="A695" t="s">
        <v>31</v>
      </c>
      <c r="B695" t="s">
        <v>939</v>
      </c>
      <c r="C695" t="s">
        <v>940</v>
      </c>
      <c r="D695" t="s">
        <v>1387</v>
      </c>
      <c r="E695" s="14" t="n">
        <v>1.43511791978318</v>
      </c>
      <c r="F695" s="17" t="n">
        <v>170.257115150736</v>
      </c>
      <c r="G695" s="15" t="n">
        <v>1.35292063416745</v>
      </c>
      <c r="H695" s="16" t="n">
        <v>-0.478716201236958</v>
      </c>
    </row>
    <row r="696">
      <c r="A696" t="s">
        <v>30</v>
      </c>
      <c r="B696" t="s">
        <v>941</v>
      </c>
      <c r="C696" t="s">
        <v>942</v>
      </c>
      <c r="D696" t="s">
        <v>1387</v>
      </c>
      <c r="E696" s="14" t="n">
        <v>0.644439804169846</v>
      </c>
      <c r="F696" s="17" t="n">
        <v>44.3802114236752</v>
      </c>
      <c r="G696" s="15" t="n">
        <v>0.0139411759252527</v>
      </c>
      <c r="H696" s="16" t="n">
        <v>0.644288991689514</v>
      </c>
    </row>
    <row r="697">
      <c r="A697" t="s">
        <v>30</v>
      </c>
      <c r="B697" t="s">
        <v>941</v>
      </c>
      <c r="C697" t="s">
        <v>943</v>
      </c>
      <c r="D697" t="s">
        <v>1387</v>
      </c>
      <c r="E697" s="14" t="n">
        <v>0.709937399197806</v>
      </c>
      <c r="F697" s="17" t="n">
        <v>136.458755582983</v>
      </c>
      <c r="G697" s="15" t="n">
        <v>0.0361345171395495</v>
      </c>
      <c r="H697" s="16" t="n">
        <v>-0.70901721237981</v>
      </c>
    </row>
    <row r="698">
      <c r="A698" t="s">
        <v>30</v>
      </c>
      <c r="B698" t="s">
        <v>944</v>
      </c>
      <c r="C698" t="s">
        <v>945</v>
      </c>
      <c r="D698" t="s">
        <v>1387</v>
      </c>
      <c r="E698" s="14" t="n">
        <v>0.649686683484639</v>
      </c>
      <c r="F698" s="17" t="n">
        <v>57.8829487549767</v>
      </c>
      <c r="G698" s="15" t="n">
        <v>-0.282415651575588</v>
      </c>
      <c r="H698" s="16" t="n">
        <v>0.585093314303287</v>
      </c>
    </row>
    <row r="699">
      <c r="A699" t="s">
        <v>31</v>
      </c>
      <c r="B699" t="s">
        <v>946</v>
      </c>
      <c r="C699" t="s">
        <v>947</v>
      </c>
      <c r="D699" t="s">
        <v>1387</v>
      </c>
      <c r="E699" s="14" t="n">
        <v>1.08972473588517</v>
      </c>
      <c r="F699" s="17" t="n">
        <v>66.2933877768147</v>
      </c>
      <c r="G699" s="15" t="n">
        <v>-0.737423324865778</v>
      </c>
      <c r="H699" s="16" t="n">
        <v>0.802313429990987</v>
      </c>
    </row>
    <row r="700">
      <c r="A700" t="s">
        <v>31</v>
      </c>
      <c r="B700" t="s">
        <v>946</v>
      </c>
      <c r="C700" t="s">
        <v>948</v>
      </c>
      <c r="D700" t="s">
        <v>1387</v>
      </c>
      <c r="E700" s="14" t="n">
        <v>0.636066451237858</v>
      </c>
      <c r="F700" s="17" t="n">
        <v>102.270301188819</v>
      </c>
      <c r="G700" s="15" t="n">
        <v>-0.57860876993649</v>
      </c>
      <c r="H700" s="16" t="n">
        <v>-0.264182553820089</v>
      </c>
    </row>
    <row r="701">
      <c r="A701" t="s">
        <v>32</v>
      </c>
      <c r="B701" t="s">
        <v>949</v>
      </c>
      <c r="C701" t="s">
        <v>950</v>
      </c>
      <c r="D701" t="s">
        <v>1387</v>
      </c>
      <c r="E701" s="14" t="n">
        <v>0.25</v>
      </c>
      <c r="F701" s="17" t="n">
        <v>129</v>
      </c>
      <c r="G701" s="15" t="n">
        <v>-0.0519779227044399</v>
      </c>
      <c r="H701" s="16" t="n">
        <v>-0.244536900183451</v>
      </c>
    </row>
    <row r="702">
      <c r="A702" t="s">
        <v>32</v>
      </c>
      <c r="B702" t="s">
        <v>949</v>
      </c>
      <c r="C702" t="s">
        <v>951</v>
      </c>
      <c r="D702" t="s">
        <v>1387</v>
      </c>
      <c r="E702" s="14" t="n">
        <v>0.730944108089069</v>
      </c>
      <c r="F702" s="17" t="n">
        <v>39.3090284110738</v>
      </c>
      <c r="G702" s="15" t="n">
        <v>0.144250648122019</v>
      </c>
      <c r="H702" s="16" t="n">
        <v>0.716568935739264</v>
      </c>
    </row>
    <row r="703">
      <c r="A703" t="s">
        <v>32</v>
      </c>
      <c r="B703" t="s">
        <v>952</v>
      </c>
      <c r="C703" t="s">
        <v>953</v>
      </c>
      <c r="D703" t="s">
        <v>1387</v>
      </c>
      <c r="E703" s="14" t="n">
        <v>0.853190891196437</v>
      </c>
      <c r="F703" s="17" t="n">
        <v>15.288590798163</v>
      </c>
      <c r="G703" s="15" t="n">
        <v>0.734550165349044</v>
      </c>
      <c r="H703" s="16" t="n">
        <v>0.434016994374948</v>
      </c>
    </row>
    <row r="704">
      <c r="A704" t="s">
        <v>32</v>
      </c>
      <c r="B704" t="s">
        <v>952</v>
      </c>
      <c r="C704" t="s">
        <v>954</v>
      </c>
      <c r="D704" t="s">
        <v>1387</v>
      </c>
      <c r="E704" s="14" t="n">
        <v>1</v>
      </c>
      <c r="F704" s="17" t="n">
        <v>176</v>
      </c>
      <c r="G704" s="15" t="n">
        <v>0.99026806874157</v>
      </c>
      <c r="H704" s="16" t="n">
        <v>-0.139173100960066</v>
      </c>
    </row>
    <row r="705">
      <c r="A705" t="s">
        <v>32</v>
      </c>
      <c r="B705" t="s">
        <v>955</v>
      </c>
      <c r="C705" t="s">
        <v>956</v>
      </c>
      <c r="D705" t="s">
        <v>1387</v>
      </c>
      <c r="E705" s="14" t="n">
        <v>0.661437827766148</v>
      </c>
      <c r="F705" s="17" t="n">
        <v>45.5533026754345</v>
      </c>
      <c r="G705" s="15" t="n">
        <v>-0.0127741544022406</v>
      </c>
      <c r="H705" s="16" t="n">
        <v>0.661314464516925</v>
      </c>
    </row>
    <row r="706">
      <c r="A706" t="s">
        <v>32</v>
      </c>
      <c r="B706" t="s">
        <v>955</v>
      </c>
      <c r="C706" t="s">
        <v>957</v>
      </c>
      <c r="D706" t="s">
        <v>1387</v>
      </c>
      <c r="E706" s="14" t="n">
        <v>0.5</v>
      </c>
      <c r="F706" s="17" t="n">
        <v>156</v>
      </c>
      <c r="G706" s="15" t="n">
        <v>0.334565303179429</v>
      </c>
      <c r="H706" s="16" t="n">
        <v>-0.371572412738697</v>
      </c>
    </row>
    <row r="707">
      <c r="A707" t="s">
        <v>30</v>
      </c>
      <c r="B707" t="s">
        <v>958</v>
      </c>
      <c r="C707" t="s">
        <v>959</v>
      </c>
      <c r="D707" t="s">
        <v>1387</v>
      </c>
      <c r="E707" s="14" t="n">
        <v>1.24603787521801</v>
      </c>
      <c r="F707" s="17" t="n">
        <v>90.5551715512159</v>
      </c>
      <c r="G707" s="15" t="n">
        <v>-1.24580390704195</v>
      </c>
      <c r="H707" s="16" t="n">
        <v>-0.0241456347362147</v>
      </c>
    </row>
    <row r="708">
      <c r="A708" t="s">
        <v>30</v>
      </c>
      <c r="B708" t="s">
        <v>960</v>
      </c>
      <c r="C708" t="s">
        <v>961</v>
      </c>
      <c r="D708" t="s">
        <v>1387</v>
      </c>
      <c r="E708" s="14" t="n">
        <v>0.822915495576566</v>
      </c>
      <c r="F708" s="17" t="n">
        <v>72.2459279105828</v>
      </c>
      <c r="G708" s="15" t="n">
        <v>-0.669880342804633</v>
      </c>
      <c r="H708" s="16" t="n">
        <v>0.477964684034262</v>
      </c>
    </row>
    <row r="709">
      <c r="A709" t="s">
        <v>30</v>
      </c>
      <c r="B709" t="s">
        <v>960</v>
      </c>
      <c r="C709" t="s">
        <v>962</v>
      </c>
      <c r="D709" t="s">
        <v>1387</v>
      </c>
      <c r="E709" s="14" t="n">
        <v>0.75</v>
      </c>
      <c r="F709" s="17" t="n">
        <v>93</v>
      </c>
      <c r="G709" s="15" t="n">
        <v>-0.745891421526205</v>
      </c>
      <c r="H709" s="16" t="n">
        <v>-0.07839634745074</v>
      </c>
    </row>
    <row r="710">
      <c r="A710" t="s">
        <v>31</v>
      </c>
      <c r="B710" t="s">
        <v>963</v>
      </c>
      <c r="C710" t="s">
        <v>964</v>
      </c>
      <c r="D710" t="s">
        <v>1387</v>
      </c>
      <c r="E710" s="14" t="n">
        <v>1.25</v>
      </c>
      <c r="F710" s="17" t="n">
        <v>98</v>
      </c>
      <c r="G710" s="15" t="n">
        <v>-1.2015771199229</v>
      </c>
      <c r="H710" s="16" t="n">
        <v>-0.344546694771249</v>
      </c>
    </row>
    <row r="711">
      <c r="A711" t="s">
        <v>31</v>
      </c>
      <c r="B711" t="s">
        <v>963</v>
      </c>
      <c r="C711" t="s">
        <v>965</v>
      </c>
      <c r="D711" t="s">
        <v>1387</v>
      </c>
      <c r="E711" s="14" t="n">
        <v>0.467812303863443</v>
      </c>
      <c r="F711" s="17" t="n">
        <v>95.8510083272988</v>
      </c>
      <c r="G711" s="15" t="n">
        <v>-0.458089139711545</v>
      </c>
      <c r="H711" s="16" t="n">
        <v>-0.0948825153774825</v>
      </c>
    </row>
    <row r="712">
      <c r="A712" t="s">
        <v>31</v>
      </c>
      <c r="B712" t="s">
        <v>966</v>
      </c>
      <c r="C712" t="s">
        <v>967</v>
      </c>
      <c r="D712" t="s">
        <v>1387</v>
      </c>
      <c r="E712" s="14" t="n">
        <v>0.749086426149926</v>
      </c>
      <c r="F712" s="17" t="n">
        <v>160.999593471956</v>
      </c>
      <c r="G712" s="15" t="n">
        <v>0.590281614698249</v>
      </c>
      <c r="H712" s="16" t="n">
        <v>-0.461192030710957</v>
      </c>
    </row>
    <row r="713">
      <c r="A713" t="s">
        <v>31</v>
      </c>
      <c r="B713" t="s">
        <v>966</v>
      </c>
      <c r="C713" t="s">
        <v>968</v>
      </c>
      <c r="D713" t="s">
        <v>1387</v>
      </c>
      <c r="E713" s="14" t="n">
        <v>1.49918779686196</v>
      </c>
      <c r="F713" s="17" t="n">
        <v>25.6665462750858</v>
      </c>
      <c r="G713" s="15" t="n">
        <v>0.936680235832776</v>
      </c>
      <c r="H713" s="16" t="n">
        <v>1.17055294030645</v>
      </c>
    </row>
    <row r="714">
      <c r="A714" t="s">
        <v>32</v>
      </c>
      <c r="B714" t="s">
        <v>969</v>
      </c>
      <c r="C714" t="s">
        <v>970</v>
      </c>
      <c r="D714" t="s">
        <v>1387</v>
      </c>
      <c r="E714" s="14" t="n">
        <v>0.5</v>
      </c>
      <c r="F714" s="17" t="n">
        <v>171</v>
      </c>
      <c r="G714" s="15" t="n">
        <v>0.475528258147577</v>
      </c>
      <c r="H714" s="16" t="n">
        <v>-0.154508497187474</v>
      </c>
    </row>
    <row r="715">
      <c r="A715" t="s">
        <v>30</v>
      </c>
      <c r="B715" t="s">
        <v>971</v>
      </c>
      <c r="C715" t="s">
        <v>972</v>
      </c>
      <c r="D715" t="s">
        <v>1387</v>
      </c>
      <c r="E715" s="14" t="n">
        <v>0.25</v>
      </c>
      <c r="F715" s="17" t="n">
        <v>13</v>
      </c>
      <c r="G715" s="15" t="n">
        <v>0.224698511574792</v>
      </c>
      <c r="H715" s="16" t="n">
        <v>0.109592786697269</v>
      </c>
    </row>
    <row r="716">
      <c r="A716" t="s">
        <v>30</v>
      </c>
      <c r="B716" t="s">
        <v>971</v>
      </c>
      <c r="C716" t="s">
        <v>973</v>
      </c>
      <c r="D716" t="s">
        <v>1387</v>
      </c>
      <c r="E716" s="14" t="n">
        <v>1.03077640640442</v>
      </c>
      <c r="F716" s="17" t="n">
        <v>7.01812173396324</v>
      </c>
      <c r="G716" s="15" t="n">
        <v>1</v>
      </c>
      <c r="H716" s="16" t="n">
        <v>0.25</v>
      </c>
    </row>
    <row r="717">
      <c r="A717" t="s">
        <v>30</v>
      </c>
      <c r="B717" t="s">
        <v>974</v>
      </c>
      <c r="C717" t="s">
        <v>975</v>
      </c>
      <c r="D717" t="s">
        <v>1387</v>
      </c>
      <c r="E717" s="14" t="n">
        <v>0.592626318771646</v>
      </c>
      <c r="F717" s="17" t="n">
        <v>173.146674642264</v>
      </c>
      <c r="G717" s="15" t="n">
        <v>0.575749282464049</v>
      </c>
      <c r="H717" s="16" t="n">
        <v>-0.140423350775308</v>
      </c>
    </row>
    <row r="718">
      <c r="A718" t="s">
        <v>31</v>
      </c>
      <c r="B718" t="s">
        <v>976</v>
      </c>
      <c r="C718" t="s">
        <v>977</v>
      </c>
      <c r="D718" t="s">
        <v>1387</v>
      </c>
      <c r="E718" s="14" t="n">
        <v>0.64425193195294</v>
      </c>
      <c r="F718" s="17" t="n">
        <v>145.580036023002</v>
      </c>
      <c r="G718" s="15" t="n">
        <v>0.232558692872651</v>
      </c>
      <c r="H718" s="16" t="n">
        <v>-0.600813620180552</v>
      </c>
    </row>
    <row r="719">
      <c r="A719" t="s">
        <v>31</v>
      </c>
      <c r="B719" t="s">
        <v>976</v>
      </c>
      <c r="C719" t="s">
        <v>978</v>
      </c>
      <c r="D719" t="s">
        <v>1387</v>
      </c>
      <c r="E719" s="14" t="n">
        <v>0.5</v>
      </c>
      <c r="F719" s="17" t="n">
        <v>69</v>
      </c>
      <c r="G719" s="15" t="n">
        <v>-0.371572412738697</v>
      </c>
      <c r="H719" s="16" t="n">
        <v>0.334565303179429</v>
      </c>
    </row>
    <row r="720">
      <c r="A720" t="s">
        <v>32</v>
      </c>
      <c r="B720" t="s">
        <v>979</v>
      </c>
      <c r="C720" t="s">
        <v>980</v>
      </c>
      <c r="D720" t="s">
        <v>1387</v>
      </c>
      <c r="E720" s="14" t="n">
        <v>0.284084558465086</v>
      </c>
      <c r="F720" s="17" t="n">
        <v>66.3758943605423</v>
      </c>
      <c r="G720" s="15" t="n">
        <v>-0.192843322587395</v>
      </c>
      <c r="H720" s="16" t="n">
        <v>0.208603665576032</v>
      </c>
    </row>
    <row r="721">
      <c r="A721" t="s">
        <v>32</v>
      </c>
      <c r="B721" t="s">
        <v>979</v>
      </c>
      <c r="C721" t="s">
        <v>981</v>
      </c>
      <c r="D721" t="s">
        <v>1387</v>
      </c>
      <c r="E721" s="14" t="n">
        <v>0.25</v>
      </c>
      <c r="F721" s="17" t="n">
        <v>99</v>
      </c>
      <c r="G721" s="15" t="n">
        <v>-0.237764129073788</v>
      </c>
      <c r="H721" s="16" t="n">
        <v>-0.077254248593737</v>
      </c>
    </row>
    <row r="722">
      <c r="A722" t="s">
        <v>32</v>
      </c>
      <c r="B722" t="s">
        <v>982</v>
      </c>
      <c r="C722" t="s">
        <v>983</v>
      </c>
      <c r="D722" t="s">
        <v>1387</v>
      </c>
      <c r="E722" s="14" t="n">
        <v>1.02250187818691</v>
      </c>
      <c r="F722" s="17" t="n">
        <v>93.6275623480095</v>
      </c>
      <c r="G722" s="15" t="n">
        <v>-1.01431537857739</v>
      </c>
      <c r="H722" s="16" t="n">
        <v>-0.129129406709543</v>
      </c>
    </row>
    <row r="723">
      <c r="A723" t="s">
        <v>32</v>
      </c>
      <c r="B723" t="s">
        <v>982</v>
      </c>
      <c r="C723" t="s">
        <v>984</v>
      </c>
      <c r="D723" t="s">
        <v>1387</v>
      </c>
      <c r="E723" s="14" t="n">
        <v>1.01867173908419</v>
      </c>
      <c r="F723" s="17" t="n">
        <v>88.4074726874714</v>
      </c>
      <c r="G723" s="15" t="n">
        <v>-1.01709818771223</v>
      </c>
      <c r="H723" s="16" t="n">
        <v>0.0565984855036089</v>
      </c>
    </row>
    <row r="724">
      <c r="A724" t="s">
        <v>30</v>
      </c>
      <c r="B724" t="s">
        <v>985</v>
      </c>
      <c r="C724" t="s">
        <v>986</v>
      </c>
      <c r="D724" t="s">
        <v>1387</v>
      </c>
      <c r="E724" s="14" t="n">
        <v>0.5</v>
      </c>
      <c r="F724" s="17" t="n">
        <v>7.99999999999999</v>
      </c>
      <c r="G724" s="15" t="n">
        <v>0.48063084796916</v>
      </c>
      <c r="H724" s="16" t="n">
        <v>0.137818677908499</v>
      </c>
    </row>
    <row r="725">
      <c r="A725" t="s">
        <v>30</v>
      </c>
      <c r="B725" t="s">
        <v>985</v>
      </c>
      <c r="C725" t="s">
        <v>987</v>
      </c>
      <c r="D725" t="s">
        <v>1387</v>
      </c>
      <c r="E725" s="14" t="n">
        <v>1.39049673900669</v>
      </c>
      <c r="F725" s="17" t="n">
        <v>161.604895730498</v>
      </c>
      <c r="G725" s="15" t="n">
        <v>1.11355668773655</v>
      </c>
      <c r="H725" s="16" t="n">
        <v>-0.832750073182484</v>
      </c>
    </row>
    <row r="726">
      <c r="A726" t="s">
        <v>30</v>
      </c>
      <c r="B726" t="s">
        <v>988</v>
      </c>
      <c r="C726" t="s">
        <v>989</v>
      </c>
      <c r="D726" t="s">
        <v>1387</v>
      </c>
      <c r="E726" s="14" t="n">
        <v>1.26310719177603</v>
      </c>
      <c r="F726" s="17" t="n">
        <v>24.4721284357144</v>
      </c>
      <c r="G726" s="15" t="n">
        <v>0.829599931727723</v>
      </c>
      <c r="H726" s="16" t="n">
        <v>0.95247243067382</v>
      </c>
    </row>
    <row r="727">
      <c r="A727" t="s">
        <v>32</v>
      </c>
      <c r="B727" t="s">
        <v>990</v>
      </c>
      <c r="C727" t="s">
        <v>991</v>
      </c>
      <c r="D727" t="s">
        <v>1387</v>
      </c>
      <c r="E727" s="14" t="n">
        <v>0.404508497187474</v>
      </c>
      <c r="F727" s="17" t="n">
        <v>167</v>
      </c>
      <c r="G727" s="15" t="n">
        <v>0.363569828949525</v>
      </c>
      <c r="H727" s="16" t="n">
        <v>-0.177324853797999</v>
      </c>
    </row>
    <row r="728">
      <c r="A728" t="s">
        <v>32</v>
      </c>
      <c r="B728" t="s">
        <v>992</v>
      </c>
      <c r="C728" t="s">
        <v>993</v>
      </c>
      <c r="D728" t="s">
        <v>1387</v>
      </c>
      <c r="E728" s="14" t="n">
        <v>0.406882890924258</v>
      </c>
      <c r="F728" s="17" t="n">
        <v>115.096426046287</v>
      </c>
      <c r="G728" s="15" t="n">
        <v>-0.260488681448215</v>
      </c>
      <c r="H728" s="16" t="n">
        <v>-0.312568926421441</v>
      </c>
    </row>
    <row r="729">
      <c r="A729" t="s">
        <v>30</v>
      </c>
      <c r="B729" t="s">
        <v>994</v>
      </c>
      <c r="C729" t="s">
        <v>995</v>
      </c>
      <c r="D729" t="s">
        <v>1387</v>
      </c>
      <c r="E729" s="14" t="n">
        <v>0.500228387706894</v>
      </c>
      <c r="F729" s="17" t="n">
        <v>2.49969556803006</v>
      </c>
      <c r="G729" s="15" t="n">
        <v>0.498325330940094</v>
      </c>
      <c r="H729" s="16" t="n">
        <v>0.0435924811324685</v>
      </c>
    </row>
    <row r="730">
      <c r="A730" t="s">
        <v>30</v>
      </c>
      <c r="B730" t="s">
        <v>994</v>
      </c>
      <c r="C730" t="s">
        <v>996</v>
      </c>
      <c r="D730" t="s">
        <v>1387</v>
      </c>
      <c r="E730" s="14" t="n">
        <v>0.511017712654367</v>
      </c>
      <c r="F730" s="17" t="n">
        <v>3.39852921854602</v>
      </c>
      <c r="G730" s="15" t="n">
        <v>0.507426068431001</v>
      </c>
      <c r="H730" s="16" t="n">
        <v>0.0604804738999169</v>
      </c>
    </row>
    <row r="731">
      <c r="A731" t="s">
        <v>31</v>
      </c>
      <c r="B731" t="s">
        <v>997</v>
      </c>
      <c r="C731" t="s">
        <v>998</v>
      </c>
      <c r="D731" t="s">
        <v>1387</v>
      </c>
      <c r="E731" s="14" t="n">
        <v>1.96647961701536</v>
      </c>
      <c r="F731" s="17" t="n">
        <v>7.93144331081421</v>
      </c>
      <c r="G731" s="15" t="n">
        <v>1.89159325136882</v>
      </c>
      <c r="H731" s="16" t="n">
        <v>0.537510051545828</v>
      </c>
    </row>
    <row r="732">
      <c r="A732" t="s">
        <v>31</v>
      </c>
      <c r="B732" t="s">
        <v>997</v>
      </c>
      <c r="C732" t="s">
        <v>999</v>
      </c>
      <c r="D732" t="s">
        <v>1387</v>
      </c>
      <c r="E732" s="14" t="n">
        <v>1.58476847815018</v>
      </c>
      <c r="F732" s="17" t="n">
        <v>15.5814498805939</v>
      </c>
      <c r="G732" s="15" t="n">
        <v>1.35608561711037</v>
      </c>
      <c r="H732" s="16" t="n">
        <v>0.820074952918825</v>
      </c>
    </row>
    <row r="733">
      <c r="A733" t="s">
        <v>31</v>
      </c>
      <c r="B733" t="s">
        <v>1000</v>
      </c>
      <c r="C733" t="s">
        <v>1001</v>
      </c>
      <c r="D733" t="s">
        <v>1387</v>
      </c>
      <c r="E733" s="14" t="n">
        <v>1.0800258540465</v>
      </c>
      <c r="F733" s="17" t="n">
        <v>79.543127119678</v>
      </c>
      <c r="G733" s="15" t="n">
        <v>-1.0088725226397</v>
      </c>
      <c r="H733" s="16" t="n">
        <v>0.385528310855997</v>
      </c>
    </row>
    <row r="734">
      <c r="A734" t="s">
        <v>31</v>
      </c>
      <c r="B734" t="s">
        <v>1002</v>
      </c>
      <c r="C734" t="s">
        <v>1003</v>
      </c>
      <c r="D734" t="s">
        <v>1387</v>
      </c>
      <c r="E734" s="14" t="n">
        <v>1.12144291754739</v>
      </c>
      <c r="F734" s="17" t="n">
        <v>162.80487409231</v>
      </c>
      <c r="G734" s="15" t="n">
        <v>0.925425471107142</v>
      </c>
      <c r="H734" s="16" t="n">
        <v>-0.63342080384475</v>
      </c>
    </row>
    <row r="735">
      <c r="A735" t="s">
        <v>31</v>
      </c>
      <c r="B735" t="s">
        <v>1004</v>
      </c>
      <c r="C735" t="s">
        <v>1005</v>
      </c>
      <c r="D735" t="s">
        <v>1387</v>
      </c>
      <c r="E735" s="14" t="n">
        <v>0.712353506128207</v>
      </c>
      <c r="F735" s="17" t="n">
        <v>30.0587094989762</v>
      </c>
      <c r="G735" s="15" t="n">
        <v>0.354911729887801</v>
      </c>
      <c r="H735" s="16" t="n">
        <v>0.617644866959322</v>
      </c>
    </row>
    <row r="736">
      <c r="A736" t="s">
        <v>31</v>
      </c>
      <c r="B736" t="s">
        <v>1004</v>
      </c>
      <c r="C736" t="s">
        <v>1006</v>
      </c>
      <c r="D736" t="s">
        <v>1387</v>
      </c>
      <c r="E736" s="14" t="n">
        <v>1.14564392373896</v>
      </c>
      <c r="F736" s="17" t="n">
        <v>137.446697324565</v>
      </c>
      <c r="G736" s="15" t="n">
        <v>0.0977257853260819</v>
      </c>
      <c r="H736" s="16" t="n">
        <v>-1.14146820844139</v>
      </c>
    </row>
    <row r="737">
      <c r="A737" t="s">
        <v>31</v>
      </c>
      <c r="B737" t="s">
        <v>1007</v>
      </c>
      <c r="C737" t="s">
        <v>1008</v>
      </c>
      <c r="D737" t="s">
        <v>1387</v>
      </c>
      <c r="E737" s="14" t="n">
        <v>1.54625235568155</v>
      </c>
      <c r="F737" s="17" t="n">
        <v>1.62653744308195</v>
      </c>
      <c r="G737" s="15" t="n">
        <v>1.54376076575685</v>
      </c>
      <c r="H737" s="16" t="n">
        <v>0.0877442052819708</v>
      </c>
    </row>
    <row r="738">
      <c r="A738" t="s">
        <v>31</v>
      </c>
      <c r="B738" t="s">
        <v>1007</v>
      </c>
      <c r="C738" t="s">
        <v>1009</v>
      </c>
      <c r="D738" t="s">
        <v>1387</v>
      </c>
      <c r="E738" s="14" t="n">
        <v>1.45981456983421</v>
      </c>
      <c r="F738" s="17" t="n">
        <v>157.782535675125</v>
      </c>
      <c r="G738" s="15" t="n">
        <v>1.04237478086034</v>
      </c>
      <c r="H738" s="16" t="n">
        <v>-1.02201438078268</v>
      </c>
    </row>
    <row r="739">
      <c r="A739" t="s">
        <v>30</v>
      </c>
      <c r="B739" t="s">
        <v>1010</v>
      </c>
      <c r="C739" t="s">
        <v>1011</v>
      </c>
      <c r="D739" t="s">
        <v>1387</v>
      </c>
      <c r="E739" s="14" t="n">
        <v>0.372606236374609</v>
      </c>
      <c r="F739" s="17" t="n">
        <v>58.429007742695</v>
      </c>
      <c r="G739" s="15" t="n">
        <v>-0.168336458018098</v>
      </c>
      <c r="H739" s="16" t="n">
        <v>0.332412761919833</v>
      </c>
    </row>
    <row r="740">
      <c r="A740" t="s">
        <v>30</v>
      </c>
      <c r="B740" t="s">
        <v>1010</v>
      </c>
      <c r="C740" t="s">
        <v>1012</v>
      </c>
      <c r="D740" t="s">
        <v>1387</v>
      </c>
      <c r="E740" s="14" t="n">
        <v>0.544639035015027</v>
      </c>
      <c r="F740" s="17" t="n">
        <v>96.5</v>
      </c>
      <c r="G740" s="15" t="n">
        <v>-0.53067997183216</v>
      </c>
      <c r="H740" s="16" t="n">
        <v>-0.122517125163456</v>
      </c>
    </row>
    <row r="741">
      <c r="A741" t="s">
        <v>31</v>
      </c>
      <c r="B741" t="s">
        <v>1013</v>
      </c>
      <c r="C741" t="s">
        <v>1014</v>
      </c>
      <c r="D741" t="s">
        <v>1387</v>
      </c>
      <c r="E741" s="14" t="n">
        <v>0.5</v>
      </c>
      <c r="F741" s="17" t="n">
        <v>140</v>
      </c>
      <c r="G741" s="15" t="n">
        <v>0.086824088833465</v>
      </c>
      <c r="H741" s="16" t="n">
        <v>-0.492403876506104</v>
      </c>
    </row>
    <row r="742">
      <c r="A742" t="s">
        <v>31</v>
      </c>
      <c r="B742" t="s">
        <v>1013</v>
      </c>
      <c r="C742" t="s">
        <v>1015</v>
      </c>
      <c r="D742" t="s">
        <v>1387</v>
      </c>
      <c r="E742" s="14" t="n">
        <v>0.75</v>
      </c>
      <c r="F742" s="17" t="n">
        <v>41</v>
      </c>
      <c r="G742" s="15" t="n">
        <v>0.10437982572005</v>
      </c>
      <c r="H742" s="16" t="n">
        <v>0.742701051556178</v>
      </c>
    </row>
    <row r="743">
      <c r="A743" t="s">
        <v>31</v>
      </c>
      <c r="B743" t="s">
        <v>1016</v>
      </c>
      <c r="C743" t="s">
        <v>1017</v>
      </c>
      <c r="D743" t="s">
        <v>1387</v>
      </c>
      <c r="E743" s="14" t="n">
        <v>1.36349885254258</v>
      </c>
      <c r="F743" s="17" t="n">
        <v>177.106065766893</v>
      </c>
      <c r="G743" s="15" t="n">
        <v>1.35654784952205</v>
      </c>
      <c r="H743" s="16" t="n">
        <v>-0.137502919394635</v>
      </c>
    </row>
    <row r="744">
      <c r="A744" t="s">
        <v>31</v>
      </c>
      <c r="B744" t="s">
        <v>1016</v>
      </c>
      <c r="C744" t="s">
        <v>1018</v>
      </c>
      <c r="D744" t="s">
        <v>1387</v>
      </c>
      <c r="E744" s="14" t="n">
        <v>1.25018273853692</v>
      </c>
      <c r="F744" s="17" t="n">
        <v>164.800068218177</v>
      </c>
      <c r="G744" s="15" t="n">
        <v>1.07830120746193</v>
      </c>
      <c r="H744" s="16" t="n">
        <v>-0.632632109303527</v>
      </c>
    </row>
    <row r="745">
      <c r="A745" t="s">
        <v>31</v>
      </c>
      <c r="B745" t="s">
        <v>1019</v>
      </c>
      <c r="C745" t="s">
        <v>1020</v>
      </c>
      <c r="D745" t="s">
        <v>1387</v>
      </c>
      <c r="E745" s="14" t="n">
        <v>0.419335283972712</v>
      </c>
      <c r="F745" s="17" t="n">
        <v>73.5</v>
      </c>
      <c r="G745" s="15" t="n">
        <v>-0.35168416076895</v>
      </c>
      <c r="H745" s="16" t="n">
        <v>0.22838636441065</v>
      </c>
    </row>
    <row r="746">
      <c r="A746" t="s">
        <v>31</v>
      </c>
      <c r="B746" t="s">
        <v>1021</v>
      </c>
      <c r="C746" t="s">
        <v>1022</v>
      </c>
      <c r="D746" t="s">
        <v>1387</v>
      </c>
      <c r="E746" s="14" t="n">
        <v>0.804972803094911</v>
      </c>
      <c r="F746" s="17" t="n">
        <v>76.9994158142813</v>
      </c>
      <c r="G746" s="15" t="n">
        <v>-0.72349756686453</v>
      </c>
      <c r="H746" s="16" t="n">
        <v>0.352891604410736</v>
      </c>
    </row>
    <row r="747">
      <c r="A747" t="s">
        <v>31</v>
      </c>
      <c r="B747" t="s">
        <v>1021</v>
      </c>
      <c r="C747" t="s">
        <v>1023</v>
      </c>
      <c r="D747" t="s">
        <v>1387</v>
      </c>
      <c r="E747" s="14" t="n">
        <v>1.10231597253124</v>
      </c>
      <c r="F747" s="17" t="n">
        <v>93.4782575906606</v>
      </c>
      <c r="G747" s="15" t="n">
        <v>-1.09420111797338</v>
      </c>
      <c r="H747" s="16" t="n">
        <v>-0.133508114821908</v>
      </c>
    </row>
    <row r="748">
      <c r="A748" t="s">
        <v>30</v>
      </c>
      <c r="B748" t="s">
        <v>1024</v>
      </c>
      <c r="C748" t="s">
        <v>1025</v>
      </c>
      <c r="D748" t="s">
        <v>1387</v>
      </c>
      <c r="E748" s="14" t="n">
        <v>0.830064721648885</v>
      </c>
      <c r="F748" s="17" t="n">
        <v>8.3444944593654</v>
      </c>
      <c r="G748" s="15" t="n">
        <v>0.79510048807893</v>
      </c>
      <c r="H748" s="16" t="n">
        <v>0.238375032213293</v>
      </c>
    </row>
    <row r="749">
      <c r="A749" t="s">
        <v>30</v>
      </c>
      <c r="B749" t="s">
        <v>1024</v>
      </c>
      <c r="C749" t="s">
        <v>1026</v>
      </c>
      <c r="D749" t="s">
        <v>1387</v>
      </c>
      <c r="E749" s="14" t="n">
        <v>1.00727250378815</v>
      </c>
      <c r="F749" s="17" t="n">
        <v>167.98069235781</v>
      </c>
      <c r="G749" s="15" t="n">
        <v>0.919912892100916</v>
      </c>
      <c r="H749" s="16" t="n">
        <v>-0.4103147180326</v>
      </c>
    </row>
    <row r="750">
      <c r="A750" t="s">
        <v>31</v>
      </c>
      <c r="B750" t="s">
        <v>1027</v>
      </c>
      <c r="C750" t="s">
        <v>1028</v>
      </c>
      <c r="D750" t="s">
        <v>1387</v>
      </c>
      <c r="E750" s="14" t="n">
        <v>0.278526201287281</v>
      </c>
      <c r="F750" s="17" t="n">
        <v>173.938993572167</v>
      </c>
      <c r="G750" s="15" t="n">
        <v>0.272315799470584</v>
      </c>
      <c r="H750" s="16" t="n">
        <v>-0.0584888892202552</v>
      </c>
    </row>
    <row r="751">
      <c r="A751" t="s">
        <v>30</v>
      </c>
      <c r="B751" t="s">
        <v>1029</v>
      </c>
      <c r="C751" t="s">
        <v>1030</v>
      </c>
      <c r="D751" t="s">
        <v>1387</v>
      </c>
      <c r="E751" s="14" t="n">
        <v>0.75</v>
      </c>
      <c r="F751" s="17" t="n">
        <v>7</v>
      </c>
      <c r="G751" s="15" t="n">
        <v>0.727721794706997</v>
      </c>
      <c r="H751" s="16" t="n">
        <v>0.181441421699751</v>
      </c>
    </row>
    <row r="752">
      <c r="A752" t="s">
        <v>30</v>
      </c>
      <c r="B752" t="s">
        <v>1031</v>
      </c>
      <c r="C752" t="s">
        <v>1032</v>
      </c>
      <c r="D752" t="s">
        <v>1387</v>
      </c>
      <c r="E752" s="14" t="n">
        <v>0.518028769847117</v>
      </c>
      <c r="F752" s="17" t="n">
        <v>93.2882906523541</v>
      </c>
      <c r="G752" s="15" t="n">
        <v>-0.514619965067845</v>
      </c>
      <c r="H752" s="16" t="n">
        <v>-0.0593304133045416</v>
      </c>
    </row>
    <row r="753">
      <c r="A753" t="s">
        <v>30</v>
      </c>
      <c r="B753" t="s">
        <v>1033</v>
      </c>
      <c r="C753" t="s">
        <v>1034</v>
      </c>
      <c r="D753" t="s">
        <v>1387</v>
      </c>
      <c r="E753" s="14" t="n">
        <v>0.257484099988617</v>
      </c>
      <c r="F753" s="17" t="n">
        <v>160.146759548539</v>
      </c>
      <c r="G753" s="15" t="n">
        <v>0.198089546695742</v>
      </c>
      <c r="H753" s="16" t="n">
        <v>-0.164494964168583</v>
      </c>
    </row>
    <row r="754">
      <c r="A754" t="s">
        <v>30</v>
      </c>
      <c r="B754" t="s">
        <v>1033</v>
      </c>
      <c r="C754" t="s">
        <v>1035</v>
      </c>
      <c r="D754" t="s">
        <v>1387</v>
      </c>
      <c r="E754" s="14" t="n">
        <v>0.251215022311652</v>
      </c>
      <c r="F754" s="17" t="n">
        <v>22.990311202362</v>
      </c>
      <c r="G754" s="15" t="n">
        <v>0.174569724337017</v>
      </c>
      <c r="H754" s="16" t="n">
        <v>0.180649934348015</v>
      </c>
    </row>
    <row r="755">
      <c r="A755" t="s">
        <v>31</v>
      </c>
      <c r="B755" t="s">
        <v>1036</v>
      </c>
      <c r="C755" t="s">
        <v>1037</v>
      </c>
      <c r="D755" t="s">
        <v>1387</v>
      </c>
      <c r="E755" s="14" t="n">
        <v>1.31663590678738</v>
      </c>
      <c r="F755" s="17" t="n">
        <v>10.3886807553051</v>
      </c>
      <c r="G755" s="15" t="n">
        <v>1.23100969126526</v>
      </c>
      <c r="H755" s="16" t="n">
        <v>0.467060222083663</v>
      </c>
    </row>
    <row r="756">
      <c r="A756" t="s">
        <v>30</v>
      </c>
      <c r="B756" t="s">
        <v>1038</v>
      </c>
      <c r="C756" t="s">
        <v>1039</v>
      </c>
      <c r="D756" t="s">
        <v>1387</v>
      </c>
      <c r="E756" s="14" t="n">
        <v>1</v>
      </c>
      <c r="F756" s="17" t="n">
        <v>167</v>
      </c>
      <c r="G756" s="15" t="n">
        <v>0.898794046299167</v>
      </c>
      <c r="H756" s="16" t="n">
        <v>-0.438371146789077</v>
      </c>
    </row>
    <row r="757">
      <c r="A757" t="s">
        <v>30</v>
      </c>
      <c r="B757" t="s">
        <v>1040</v>
      </c>
      <c r="C757" t="s">
        <v>1041</v>
      </c>
      <c r="D757" t="s">
        <v>1387</v>
      </c>
      <c r="E757" s="14" t="n">
        <v>0.5</v>
      </c>
      <c r="F757" s="17" t="n">
        <v>10</v>
      </c>
      <c r="G757" s="15" t="n">
        <v>0.469846310392954</v>
      </c>
      <c r="H757" s="16" t="n">
        <v>0.171010071662834</v>
      </c>
    </row>
    <row r="758">
      <c r="A758" t="s">
        <v>32</v>
      </c>
      <c r="B758" t="s">
        <v>1042</v>
      </c>
      <c r="C758" t="s">
        <v>1043</v>
      </c>
      <c r="D758" t="s">
        <v>1387</v>
      </c>
      <c r="E758" s="14" t="n">
        <v>0.75</v>
      </c>
      <c r="F758" s="17" t="n">
        <v>154</v>
      </c>
      <c r="G758" s="15" t="n">
        <v>0.461746106494243</v>
      </c>
      <c r="H758" s="16" t="n">
        <v>-0.591008065205042</v>
      </c>
    </row>
    <row r="759">
      <c r="A759" t="s">
        <v>32</v>
      </c>
      <c r="B759" t="s">
        <v>1042</v>
      </c>
      <c r="C759" t="s">
        <v>1044</v>
      </c>
      <c r="D759" t="s">
        <v>1387</v>
      </c>
      <c r="E759" s="14" t="n">
        <v>0.467812303863443</v>
      </c>
      <c r="F759" s="17" t="n">
        <v>0.148991672701185</v>
      </c>
      <c r="G759" s="15" t="n">
        <v>0.467805977132236</v>
      </c>
      <c r="H759" s="16" t="n">
        <v>0.0024329828146076</v>
      </c>
    </row>
    <row r="760">
      <c r="A760" t="s">
        <v>31</v>
      </c>
      <c r="B760" t="s">
        <v>1045</v>
      </c>
      <c r="C760" t="s">
        <v>1046</v>
      </c>
      <c r="D760" t="s">
        <v>1387</v>
      </c>
      <c r="E760" s="14" t="n">
        <v>0.596583644107624</v>
      </c>
      <c r="F760" s="17" t="n">
        <v>26.1868502123693</v>
      </c>
      <c r="G760" s="15" t="n">
        <v>0.364219547835727</v>
      </c>
      <c r="H760" s="16" t="n">
        <v>0.472499910466734</v>
      </c>
    </row>
    <row r="761">
      <c r="A761" t="s">
        <v>32</v>
      </c>
      <c r="B761" t="s">
        <v>1047</v>
      </c>
      <c r="C761" t="s">
        <v>1048</v>
      </c>
      <c r="D761" t="s">
        <v>1387</v>
      </c>
      <c r="E761" s="14" t="n">
        <v>0.536611808142359</v>
      </c>
      <c r="F761" s="17" t="n">
        <v>51.107755766053</v>
      </c>
      <c r="G761" s="15" t="n">
        <v>-0.113541371527106</v>
      </c>
      <c r="H761" s="16" t="n">
        <v>0.524462190810316</v>
      </c>
    </row>
    <row r="762">
      <c r="A762" t="s">
        <v>32</v>
      </c>
      <c r="B762" t="s">
        <v>1047</v>
      </c>
      <c r="C762" t="s">
        <v>1049</v>
      </c>
      <c r="D762" t="s">
        <v>1387</v>
      </c>
      <c r="E762" s="14" t="n">
        <v>0.678683151370429</v>
      </c>
      <c r="F762" s="17" t="n">
        <v>105.332825703013</v>
      </c>
      <c r="G762" s="15" t="n">
        <v>-0.583774868033855</v>
      </c>
      <c r="H762" s="16" t="n">
        <v>-0.346146967928583</v>
      </c>
    </row>
    <row r="763">
      <c r="A763" t="s">
        <v>30</v>
      </c>
      <c r="B763" t="s">
        <v>1050</v>
      </c>
      <c r="C763" t="s">
        <v>1051</v>
      </c>
      <c r="D763" t="s">
        <v>1387</v>
      </c>
      <c r="E763" s="14" t="n">
        <v>0.522125719731641</v>
      </c>
      <c r="F763" s="17" t="n">
        <v>140.287299929659</v>
      </c>
      <c r="G763" s="15" t="n">
        <v>0.0958182050726165</v>
      </c>
      <c r="H763" s="16" t="n">
        <v>-0.513258354809687</v>
      </c>
    </row>
    <row r="764">
      <c r="A764" t="s">
        <v>30</v>
      </c>
      <c r="B764" t="s">
        <v>1050</v>
      </c>
      <c r="C764" t="s">
        <v>1052</v>
      </c>
      <c r="D764" t="s">
        <v>1387</v>
      </c>
      <c r="E764" s="14" t="n">
        <v>0.808405951110898</v>
      </c>
      <c r="F764" s="17" t="n">
        <v>37.6984303596416</v>
      </c>
      <c r="G764" s="15" t="n">
        <v>0.203817231922874</v>
      </c>
      <c r="H764" s="16" t="n">
        <v>0.782290686230389</v>
      </c>
    </row>
    <row r="765">
      <c r="A765" t="s">
        <v>30</v>
      </c>
      <c r="B765" t="s">
        <v>1053</v>
      </c>
      <c r="C765" t="s">
        <v>1054</v>
      </c>
      <c r="D765" t="s">
        <v>1387</v>
      </c>
      <c r="E765" s="14" t="n">
        <v>0.324408086923307</v>
      </c>
      <c r="F765" s="17" t="n">
        <v>178.763400035343</v>
      </c>
      <c r="G765" s="15" t="n">
        <v>0.324105905732991</v>
      </c>
      <c r="H765" s="16" t="n">
        <v>-0.0139988831782137</v>
      </c>
    </row>
    <row r="766">
      <c r="A766" t="s">
        <v>30</v>
      </c>
      <c r="B766" t="s">
        <v>1053</v>
      </c>
      <c r="C766" t="s">
        <v>1055</v>
      </c>
      <c r="D766" t="s">
        <v>1387</v>
      </c>
      <c r="E766" s="14" t="n">
        <v>0.1378186779085</v>
      </c>
      <c r="F766" s="17" t="n">
        <v>155</v>
      </c>
      <c r="G766" s="15" t="n">
        <v>0.0885881385429635</v>
      </c>
      <c r="H766" s="16" t="n">
        <v>-0.10557523236981</v>
      </c>
    </row>
    <row r="767">
      <c r="A767" t="s">
        <v>32</v>
      </c>
      <c r="B767" t="s">
        <v>1056</v>
      </c>
      <c r="C767" t="s">
        <v>1057</v>
      </c>
      <c r="D767" t="s">
        <v>1387</v>
      </c>
      <c r="E767" s="14" t="n">
        <v>0.25</v>
      </c>
      <c r="F767" s="17" t="n">
        <v>162</v>
      </c>
      <c r="G767" s="15" t="n">
        <v>0.202254248593737</v>
      </c>
      <c r="H767" s="16" t="n">
        <v>-0.146946313073118</v>
      </c>
    </row>
    <row r="768">
      <c r="A768" t="s">
        <v>30</v>
      </c>
      <c r="B768" t="s">
        <v>1058</v>
      </c>
      <c r="C768" t="s">
        <v>1059</v>
      </c>
      <c r="D768" t="s">
        <v>1387</v>
      </c>
      <c r="E768" s="14" t="n">
        <v>0.25</v>
      </c>
      <c r="F768" s="17" t="n">
        <v>35</v>
      </c>
      <c r="G768" s="15" t="n">
        <v>0.0855050358314173</v>
      </c>
      <c r="H768" s="16" t="n">
        <v>0.234923155196477</v>
      </c>
    </row>
    <row r="769">
      <c r="A769" t="s">
        <v>30</v>
      </c>
      <c r="B769" t="s">
        <v>1058</v>
      </c>
      <c r="C769" t="s">
        <v>1060</v>
      </c>
      <c r="D769" t="s">
        <v>1387</v>
      </c>
      <c r="E769" s="14" t="n">
        <v>0.25</v>
      </c>
      <c r="F769" s="17" t="n">
        <v>147</v>
      </c>
      <c r="G769" s="15" t="n">
        <v>0.10168416076895</v>
      </c>
      <c r="H769" s="16" t="n">
        <v>-0.22838636441065</v>
      </c>
    </row>
    <row r="770">
      <c r="A770" t="s">
        <v>31</v>
      </c>
      <c r="B770" t="s">
        <v>1061</v>
      </c>
      <c r="C770" t="s">
        <v>1062</v>
      </c>
      <c r="D770" t="s">
        <v>1387</v>
      </c>
      <c r="E770" s="14" t="n">
        <v>0.522125719731641</v>
      </c>
      <c r="F770" s="17" t="n">
        <v>155.287299929659</v>
      </c>
      <c r="G770" s="15" t="n">
        <v>0.339610177142756</v>
      </c>
      <c r="H770" s="16" t="n">
        <v>-0.396585671433487</v>
      </c>
    </row>
    <row r="771">
      <c r="A771" t="s">
        <v>31</v>
      </c>
      <c r="B771" t="s">
        <v>1061</v>
      </c>
      <c r="C771" t="s">
        <v>1063</v>
      </c>
      <c r="D771" t="s">
        <v>1387</v>
      </c>
      <c r="E771" s="14" t="n">
        <v>0.611617546033</v>
      </c>
      <c r="F771" s="17" t="n">
        <v>29.8418510175161</v>
      </c>
      <c r="G771" s="15" t="n">
        <v>0.308728145265977</v>
      </c>
      <c r="H771" s="16" t="n">
        <v>0.527980070586057</v>
      </c>
    </row>
    <row r="772">
      <c r="A772" t="s">
        <v>32</v>
      </c>
      <c r="B772" t="s">
        <v>1064</v>
      </c>
      <c r="C772" t="s">
        <v>1065</v>
      </c>
      <c r="D772" t="s">
        <v>1387</v>
      </c>
      <c r="E772" s="14" t="n">
        <v>0.5</v>
      </c>
      <c r="F772" s="17" t="n">
        <v>176</v>
      </c>
      <c r="G772" s="15" t="n">
        <v>0.495134034370785</v>
      </c>
      <c r="H772" s="16" t="n">
        <v>-0.0695865504800328</v>
      </c>
    </row>
    <row r="773">
      <c r="A773" t="s">
        <v>32</v>
      </c>
      <c r="B773" t="s">
        <v>1064</v>
      </c>
      <c r="C773" t="s">
        <v>1066</v>
      </c>
      <c r="D773" t="s">
        <v>1387</v>
      </c>
      <c r="E773" s="14" t="n">
        <v>2.2220486043289</v>
      </c>
      <c r="F773" s="17" t="n">
        <v>0.498044028588592</v>
      </c>
      <c r="G773" s="15" t="n">
        <v>2.22171281814605</v>
      </c>
      <c r="H773" s="16" t="n">
        <v>0.0386284051644994</v>
      </c>
    </row>
    <row r="774">
      <c r="A774" t="s">
        <v>32</v>
      </c>
      <c r="B774" t="s">
        <v>1067</v>
      </c>
      <c r="C774" t="s">
        <v>1068</v>
      </c>
      <c r="D774" t="s">
        <v>1387</v>
      </c>
      <c r="E774" s="14" t="n">
        <v>0.799046902203986</v>
      </c>
      <c r="F774" s="17" t="n">
        <v>149.771777078779</v>
      </c>
      <c r="G774" s="15" t="n">
        <v>0.393998066030108</v>
      </c>
      <c r="H774" s="16" t="n">
        <v>-0.695155720602457</v>
      </c>
    </row>
    <row r="775">
      <c r="A775" t="s">
        <v>30</v>
      </c>
      <c r="B775" t="s">
        <v>1069</v>
      </c>
      <c r="C775" t="s">
        <v>1070</v>
      </c>
      <c r="D775" t="s">
        <v>1387</v>
      </c>
      <c r="E775" s="14" t="n">
        <v>0.25</v>
      </c>
      <c r="F775" s="17" t="n">
        <v>97</v>
      </c>
      <c r="G775" s="15" t="n">
        <v>-0.242573931568999</v>
      </c>
      <c r="H775" s="16" t="n">
        <v>-0.0604804738999169</v>
      </c>
    </row>
    <row r="776">
      <c r="A776" t="s">
        <v>30</v>
      </c>
      <c r="B776" t="s">
        <v>1069</v>
      </c>
      <c r="C776" t="s">
        <v>1071</v>
      </c>
      <c r="D776" t="s">
        <v>1387</v>
      </c>
      <c r="E776" s="14" t="n">
        <v>0.91361772027557</v>
      </c>
      <c r="F776" s="17" t="n">
        <v>86.4439878018167</v>
      </c>
      <c r="G776" s="15" t="n">
        <v>-0.90658832394784</v>
      </c>
      <c r="H776" s="16" t="n">
        <v>0.113114763329004</v>
      </c>
    </row>
    <row r="777">
      <c r="A777" t="s">
        <v>30</v>
      </c>
      <c r="B777" t="s">
        <v>1072</v>
      </c>
      <c r="C777" t="s">
        <v>1073</v>
      </c>
      <c r="D777" t="s">
        <v>1387</v>
      </c>
      <c r="E777" s="14" t="n">
        <v>0.874915694527745</v>
      </c>
      <c r="F777" s="17" t="n">
        <v>173.681551174417</v>
      </c>
      <c r="G777" s="15" t="n">
        <v>0.85372180542394</v>
      </c>
      <c r="H777" s="16" t="n">
        <v>-0.191406769667783</v>
      </c>
    </row>
    <row r="778">
      <c r="A778" t="s">
        <v>30</v>
      </c>
      <c r="B778" t="s">
        <v>1072</v>
      </c>
      <c r="C778" t="s">
        <v>1074</v>
      </c>
      <c r="D778" t="s">
        <v>1387</v>
      </c>
      <c r="E778" s="14" t="n">
        <v>1.19752762504199</v>
      </c>
      <c r="F778" s="17" t="n">
        <v>175.985045430371</v>
      </c>
      <c r="G778" s="15" t="n">
        <v>1.18578620636935</v>
      </c>
      <c r="H778" s="16" t="n">
        <v>-0.167282651589714</v>
      </c>
    </row>
    <row r="779">
      <c r="A779" t="s">
        <v>30</v>
      </c>
      <c r="B779" t="s">
        <v>1075</v>
      </c>
      <c r="C779" t="s">
        <v>1076</v>
      </c>
      <c r="D779" t="s">
        <v>1387</v>
      </c>
      <c r="E779" s="14" t="n">
        <v>1.85047767492882</v>
      </c>
      <c r="F779" s="17" t="n">
        <v>64.6467681618509</v>
      </c>
      <c r="G779" s="15" t="n">
        <v>-1.17189561259156</v>
      </c>
      <c r="H779" s="16" t="n">
        <v>1.43210624556931</v>
      </c>
    </row>
    <row r="780">
      <c r="A780" t="s">
        <v>30</v>
      </c>
      <c r="B780" t="s">
        <v>1075</v>
      </c>
      <c r="C780" t="s">
        <v>1077</v>
      </c>
      <c r="D780" t="s">
        <v>1387</v>
      </c>
      <c r="E780" s="14" t="n">
        <v>2.09869486665539</v>
      </c>
      <c r="F780" s="17" t="n">
        <v>137.213514865593</v>
      </c>
      <c r="G780" s="15" t="n">
        <v>0.161996970236694</v>
      </c>
      <c r="H780" s="16" t="n">
        <v>-2.09243330239217</v>
      </c>
    </row>
    <row r="781">
      <c r="A781" t="s">
        <v>31</v>
      </c>
      <c r="B781" t="s">
        <v>1078</v>
      </c>
      <c r="C781" t="s">
        <v>1079</v>
      </c>
      <c r="D781" t="s">
        <v>1387</v>
      </c>
      <c r="E781" s="14" t="n">
        <v>0.75</v>
      </c>
      <c r="F781" s="17" t="n">
        <v>21</v>
      </c>
      <c r="G781" s="15" t="n">
        <v>0.557358619108046</v>
      </c>
      <c r="H781" s="16" t="n">
        <v>0.501847954769144</v>
      </c>
    </row>
    <row r="782">
      <c r="A782" t="s">
        <v>31</v>
      </c>
      <c r="B782" t="s">
        <v>1078</v>
      </c>
      <c r="C782" t="s">
        <v>1080</v>
      </c>
      <c r="D782" t="s">
        <v>1387</v>
      </c>
      <c r="E782" s="14" t="n">
        <v>0.518736884733742</v>
      </c>
      <c r="F782" s="17" t="n">
        <v>151.832754782128</v>
      </c>
      <c r="G782" s="15" t="n">
        <v>0.287558427598049</v>
      </c>
      <c r="H782" s="16" t="n">
        <v>-0.431738469794626</v>
      </c>
    </row>
    <row r="783">
      <c r="A783" t="s">
        <v>30</v>
      </c>
      <c r="B783" t="s">
        <v>1081</v>
      </c>
      <c r="C783" t="s">
        <v>1082</v>
      </c>
      <c r="D783" t="s">
        <v>1387</v>
      </c>
      <c r="E783" s="14" t="n">
        <v>1.12091196851824</v>
      </c>
      <c r="F783" s="17" t="n">
        <v>163.777912695263</v>
      </c>
      <c r="G783" s="15" t="n">
        <v>0.945953926473571</v>
      </c>
      <c r="H783" s="16" t="n">
        <v>-0.601344169470921</v>
      </c>
    </row>
    <row r="784">
      <c r="A784" t="s">
        <v>30</v>
      </c>
      <c r="B784" t="s">
        <v>1081</v>
      </c>
      <c r="C784" t="s">
        <v>1083</v>
      </c>
      <c r="D784" t="s">
        <v>1387</v>
      </c>
      <c r="E784" s="14" t="n">
        <v>0.811166754010867</v>
      </c>
      <c r="F784" s="17" t="n">
        <v>20.2184997002135</v>
      </c>
      <c r="G784" s="15" t="n">
        <v>0.61739492994237</v>
      </c>
      <c r="H784" s="16" t="n">
        <v>0.526132115816914</v>
      </c>
    </row>
    <row r="785">
      <c r="A785" t="s">
        <v>30</v>
      </c>
      <c r="B785" t="s">
        <v>1084</v>
      </c>
      <c r="C785" t="s">
        <v>1085</v>
      </c>
      <c r="D785" t="s">
        <v>1387</v>
      </c>
      <c r="E785" s="14" t="n">
        <v>2.48021343691628</v>
      </c>
      <c r="F785" s="17" t="n">
        <v>164.623393282966</v>
      </c>
      <c r="G785" s="15" t="n">
        <v>2.13144020393464</v>
      </c>
      <c r="H785" s="16" t="n">
        <v>-1.26823552611932</v>
      </c>
    </row>
    <row r="786">
      <c r="A786" t="s">
        <v>31</v>
      </c>
      <c r="B786" t="s">
        <v>1086</v>
      </c>
      <c r="C786" t="s">
        <v>1087</v>
      </c>
      <c r="D786" t="s">
        <v>1387</v>
      </c>
      <c r="E786" s="14" t="n">
        <v>0.773848384598658</v>
      </c>
      <c r="F786" s="17" t="n">
        <v>52.4002434336508</v>
      </c>
      <c r="G786" s="15" t="n">
        <v>-0.197682644691906</v>
      </c>
      <c r="H786" s="16" t="n">
        <v>0.748173037694868</v>
      </c>
    </row>
    <row r="787">
      <c r="A787" t="s">
        <v>31</v>
      </c>
      <c r="B787" t="s">
        <v>1086</v>
      </c>
      <c r="C787" t="s">
        <v>1088</v>
      </c>
      <c r="D787" t="s">
        <v>1387</v>
      </c>
      <c r="E787" s="14" t="n">
        <v>0.5</v>
      </c>
      <c r="F787" s="17" t="n">
        <v>141</v>
      </c>
      <c r="G787" s="15" t="n">
        <v>0.10395584540888</v>
      </c>
      <c r="H787" s="16" t="n">
        <v>-0.489073800366903</v>
      </c>
    </row>
    <row r="788">
      <c r="A788" t="s">
        <v>32</v>
      </c>
      <c r="B788" t="s">
        <v>1089</v>
      </c>
      <c r="C788" t="s">
        <v>1090</v>
      </c>
      <c r="D788" t="s">
        <v>1387</v>
      </c>
      <c r="E788" s="14" t="n">
        <v>0.437309853569698</v>
      </c>
      <c r="F788" s="17" t="n">
        <v>58.5</v>
      </c>
      <c r="G788" s="15" t="n">
        <v>-0.198534518963135</v>
      </c>
      <c r="H788" s="16" t="n">
        <v>0.389645932622461</v>
      </c>
    </row>
    <row r="789">
      <c r="A789" t="s">
        <v>32</v>
      </c>
      <c r="B789" t="s">
        <v>1089</v>
      </c>
      <c r="C789" t="s">
        <v>1091</v>
      </c>
      <c r="D789" t="s">
        <v>1387</v>
      </c>
      <c r="E789" s="14" t="n">
        <v>0.749086426149926</v>
      </c>
      <c r="F789" s="17" t="n">
        <v>133.999593471956</v>
      </c>
      <c r="G789" s="15" t="n">
        <v>-0.026153362696438</v>
      </c>
      <c r="H789" s="16" t="n">
        <v>-0.748629731884686</v>
      </c>
    </row>
    <row r="790">
      <c r="A790" t="s">
        <v>30</v>
      </c>
      <c r="B790" t="s">
        <v>1092</v>
      </c>
      <c r="C790" t="s">
        <v>1093</v>
      </c>
      <c r="D790" t="s">
        <v>1387</v>
      </c>
      <c r="E790" s="14" t="n">
        <v>0.75</v>
      </c>
      <c r="F790" s="17" t="n">
        <v>14</v>
      </c>
      <c r="G790" s="15" t="n">
        <v>0.662210694644195</v>
      </c>
      <c r="H790" s="16" t="n">
        <v>0.352103672089418</v>
      </c>
    </row>
    <row r="791">
      <c r="A791" t="s">
        <v>30</v>
      </c>
      <c r="B791" t="s">
        <v>1094</v>
      </c>
      <c r="C791" t="s">
        <v>1095</v>
      </c>
      <c r="D791" t="s">
        <v>1387</v>
      </c>
      <c r="E791" s="14" t="n">
        <v>0.955680516478539</v>
      </c>
      <c r="F791" s="17" t="n">
        <v>26.6556970406381</v>
      </c>
      <c r="G791" s="15" t="n">
        <v>0.57098631982863</v>
      </c>
      <c r="H791" s="16" t="n">
        <v>0.766354925700386</v>
      </c>
    </row>
    <row r="792">
      <c r="A792" t="s">
        <v>30</v>
      </c>
      <c r="B792" t="s">
        <v>1094</v>
      </c>
      <c r="C792" t="s">
        <v>1096</v>
      </c>
      <c r="D792" t="s">
        <v>1387</v>
      </c>
      <c r="E792" s="14" t="n">
        <v>1.16885750979548</v>
      </c>
      <c r="F792" s="17" t="n">
        <v>141.279268028706</v>
      </c>
      <c r="G792" s="15" t="n">
        <v>0.254152789273964</v>
      </c>
      <c r="H792" s="16" t="n">
        <v>-1.14089186074297</v>
      </c>
    </row>
    <row r="793">
      <c r="A793" t="s">
        <v>30</v>
      </c>
      <c r="B793" t="s">
        <v>1097</v>
      </c>
      <c r="C793" t="s">
        <v>1098</v>
      </c>
      <c r="D793" t="s">
        <v>1387</v>
      </c>
      <c r="E793" s="14" t="n">
        <v>0.97168772603458</v>
      </c>
      <c r="F793" s="17" t="n">
        <v>14.8624243435202</v>
      </c>
      <c r="G793" s="15" t="n">
        <v>0.843829709123602</v>
      </c>
      <c r="H793" s="16" t="n">
        <v>0.481797113862911</v>
      </c>
    </row>
    <row r="794">
      <c r="A794" t="s">
        <v>31</v>
      </c>
      <c r="B794" t="s">
        <v>1099</v>
      </c>
      <c r="C794" t="s">
        <v>1100</v>
      </c>
      <c r="D794" t="s">
        <v>1387</v>
      </c>
      <c r="E794" s="14" t="n">
        <v>0.25</v>
      </c>
      <c r="F794" s="17" t="n">
        <v>119</v>
      </c>
      <c r="G794" s="15" t="n">
        <v>-0.132479816058301</v>
      </c>
      <c r="H794" s="16" t="n">
        <v>-0.212012024039107</v>
      </c>
    </row>
    <row r="795">
      <c r="A795" t="s">
        <v>32</v>
      </c>
      <c r="B795" t="s">
        <v>1101</v>
      </c>
      <c r="C795" t="s">
        <v>1102</v>
      </c>
      <c r="D795" t="s">
        <v>1387</v>
      </c>
      <c r="E795" s="14" t="n">
        <v>0.353553390593274</v>
      </c>
      <c r="F795" s="17" t="n">
        <v>164.5</v>
      </c>
      <c r="G795" s="15" t="n">
        <v>0.303054405468916</v>
      </c>
      <c r="H795" s="16" t="n">
        <v>-0.182093457669082</v>
      </c>
    </row>
    <row r="796">
      <c r="A796" t="s">
        <v>32</v>
      </c>
      <c r="B796" t="s">
        <v>1101</v>
      </c>
      <c r="C796" t="s">
        <v>1103</v>
      </c>
      <c r="D796" t="s">
        <v>1387</v>
      </c>
      <c r="E796" s="14" t="n">
        <v>0.302924250903206</v>
      </c>
      <c r="F796" s="17" t="n">
        <v>156.602049455764</v>
      </c>
      <c r="G796" s="15" t="n">
        <v>0.207381716256344</v>
      </c>
      <c r="H796" s="16" t="n">
        <v>-0.220807439973931</v>
      </c>
    </row>
    <row r="797">
      <c r="A797" t="s">
        <v>30</v>
      </c>
      <c r="B797" t="s">
        <v>1104</v>
      </c>
      <c r="C797" t="s">
        <v>1105</v>
      </c>
      <c r="D797" t="s">
        <v>1387</v>
      </c>
      <c r="E797" s="14" t="n">
        <v>3.44641962965875</v>
      </c>
      <c r="F797" s="17" t="n">
        <v>175.133624495969</v>
      </c>
      <c r="G797" s="15" t="n">
        <v>3.39681530280346</v>
      </c>
      <c r="H797" s="16" t="n">
        <v>-0.582626863727867</v>
      </c>
    </row>
    <row r="798">
      <c r="A798" t="s">
        <v>30</v>
      </c>
      <c r="B798" t="s">
        <v>1104</v>
      </c>
      <c r="C798" t="s">
        <v>1106</v>
      </c>
      <c r="D798" t="s">
        <v>1387</v>
      </c>
      <c r="E798" s="14" t="n">
        <v>2.62211390552217</v>
      </c>
      <c r="F798" s="17" t="n">
        <v>6.05800064117907</v>
      </c>
      <c r="G798" s="15" t="n">
        <v>2.56370541991788</v>
      </c>
      <c r="H798" s="16" t="n">
        <v>0.550359749088216</v>
      </c>
    </row>
    <row r="799">
      <c r="A799" t="s">
        <v>31</v>
      </c>
      <c r="B799" t="s">
        <v>1107</v>
      </c>
      <c r="C799" t="s">
        <v>1108</v>
      </c>
      <c r="D799" t="s">
        <v>1387</v>
      </c>
      <c r="E799" s="14" t="n">
        <v>0.171010071662834</v>
      </c>
      <c r="F799" s="17" t="n">
        <v>168</v>
      </c>
      <c r="G799" s="15" t="n">
        <v>0.156225474178718</v>
      </c>
      <c r="H799" s="16" t="n">
        <v>-0.0695560624802933</v>
      </c>
    </row>
    <row r="800">
      <c r="A800" t="s">
        <v>32</v>
      </c>
      <c r="B800" t="s">
        <v>1109</v>
      </c>
      <c r="C800" t="s">
        <v>1110</v>
      </c>
      <c r="D800" t="s">
        <v>1387</v>
      </c>
      <c r="E800" s="14" t="n">
        <v>0.884818370212004</v>
      </c>
      <c r="F800" s="17" t="n">
        <v>133.773398427271</v>
      </c>
      <c r="G800" s="15" t="n">
        <v>-0.0378732267432118</v>
      </c>
      <c r="H800" s="16" t="n">
        <v>-0.884007447344582</v>
      </c>
    </row>
    <row r="801">
      <c r="A801" t="s">
        <v>31</v>
      </c>
      <c r="B801" t="s">
        <v>1111</v>
      </c>
      <c r="C801" t="s">
        <v>1112</v>
      </c>
      <c r="D801" t="s">
        <v>1387</v>
      </c>
      <c r="E801" s="14" t="n">
        <v>0.522125719731641</v>
      </c>
      <c r="F801" s="17" t="n">
        <v>167.712700070341</v>
      </c>
      <c r="G801" s="15" t="n">
        <v>0.474831866343163</v>
      </c>
      <c r="H801" s="16" t="n">
        <v>-0.217140429009323</v>
      </c>
    </row>
    <row r="802">
      <c r="A802" t="s">
        <v>31</v>
      </c>
      <c r="B802" t="s">
        <v>1111</v>
      </c>
      <c r="C802" t="s">
        <v>1113</v>
      </c>
      <c r="D802" t="s">
        <v>1387</v>
      </c>
      <c r="E802" s="14" t="n">
        <v>0.603740930431155</v>
      </c>
      <c r="F802" s="17" t="n">
        <v>13.6647899609804</v>
      </c>
      <c r="G802" s="15" t="n">
        <v>0.536351566165419</v>
      </c>
      <c r="H802" s="16" t="n">
        <v>0.277182446323316</v>
      </c>
    </row>
    <row r="803">
      <c r="A803" t="s">
        <v>31</v>
      </c>
      <c r="B803" t="s">
        <v>1114</v>
      </c>
      <c r="C803" t="s">
        <v>1115</v>
      </c>
      <c r="D803" t="s">
        <v>1387</v>
      </c>
      <c r="E803" s="14" t="n">
        <v>1.14803478587973</v>
      </c>
      <c r="F803" s="17" t="n">
        <v>131.776722239967</v>
      </c>
      <c r="G803" s="15" t="n">
        <v>-0.128897188231649</v>
      </c>
      <c r="H803" s="16" t="n">
        <v>-1.14077578185018</v>
      </c>
    </row>
    <row r="804">
      <c r="A804" t="s">
        <v>31</v>
      </c>
      <c r="B804" t="s">
        <v>1114</v>
      </c>
      <c r="C804" t="s">
        <v>1116</v>
      </c>
      <c r="D804" t="s">
        <v>1387</v>
      </c>
      <c r="E804" s="14" t="n">
        <v>0.751823817337455</v>
      </c>
      <c r="F804" s="17" t="n">
        <v>54.0040475184305</v>
      </c>
      <c r="G804" s="15" t="n">
        <v>-0.2324273566284</v>
      </c>
      <c r="H804" s="16" t="n">
        <v>0.714994109211116</v>
      </c>
    </row>
    <row r="805">
      <c r="A805" t="s">
        <v>32</v>
      </c>
      <c r="B805" t="s">
        <v>1117</v>
      </c>
      <c r="C805" t="s">
        <v>1118</v>
      </c>
      <c r="D805" t="s">
        <v>1387</v>
      </c>
      <c r="E805" s="14" t="n">
        <v>0.739616871051047</v>
      </c>
      <c r="F805" s="17" t="n">
        <v>32.3465985817567</v>
      </c>
      <c r="G805" s="15" t="n">
        <v>0.316160476524529</v>
      </c>
      <c r="H805" s="16" t="n">
        <v>0.668637172932468</v>
      </c>
    </row>
    <row r="806">
      <c r="A806" t="s">
        <v>30</v>
      </c>
      <c r="B806" t="s">
        <v>1119</v>
      </c>
      <c r="C806" t="s">
        <v>1120</v>
      </c>
      <c r="D806" t="s">
        <v>1387</v>
      </c>
      <c r="E806" s="14" t="n">
        <v>1.72205217881959</v>
      </c>
      <c r="F806" s="17" t="n">
        <v>86.7767222399672</v>
      </c>
      <c r="G806" s="15" t="n">
        <v>-1.71116367277527</v>
      </c>
      <c r="H806" s="16" t="n">
        <v>0.193345782347473</v>
      </c>
    </row>
    <row r="807">
      <c r="A807" t="s">
        <v>30</v>
      </c>
      <c r="B807" t="s">
        <v>1119</v>
      </c>
      <c r="C807" t="s">
        <v>1121</v>
      </c>
      <c r="D807" t="s">
        <v>1387</v>
      </c>
      <c r="E807" s="14" t="n">
        <v>1.52923353660853</v>
      </c>
      <c r="F807" s="17" t="n">
        <v>93.0548174440788</v>
      </c>
      <c r="G807" s="15" t="n">
        <v>-1.52054758287277</v>
      </c>
      <c r="H807" s="16" t="n">
        <v>-0.162758279998327</v>
      </c>
    </row>
    <row r="808">
      <c r="A808" t="s">
        <v>30</v>
      </c>
      <c r="B808" t="s">
        <v>1122</v>
      </c>
      <c r="C808" t="s">
        <v>1123</v>
      </c>
      <c r="D808" t="s">
        <v>1387</v>
      </c>
      <c r="E808" s="14" t="n">
        <v>0.309828418731869</v>
      </c>
      <c r="F808" s="17" t="n">
        <v>102.896988443498</v>
      </c>
      <c r="G808" s="15" t="n">
        <v>-0.278958515294816</v>
      </c>
      <c r="H808" s="16" t="n">
        <v>-0.134817639047723</v>
      </c>
    </row>
    <row r="809">
      <c r="A809" t="s">
        <v>31</v>
      </c>
      <c r="B809" t="s">
        <v>1124</v>
      </c>
      <c r="C809" t="s">
        <v>1125</v>
      </c>
      <c r="D809" t="s">
        <v>1387</v>
      </c>
      <c r="E809" s="14" t="n">
        <v>0.25</v>
      </c>
      <c r="F809" s="17" t="n">
        <v>4.00000000000001</v>
      </c>
      <c r="G809" s="15" t="n">
        <v>0.247567017185393</v>
      </c>
      <c r="H809" s="16" t="n">
        <v>0.0347932752400164</v>
      </c>
    </row>
    <row r="810">
      <c r="A810" t="s">
        <v>30</v>
      </c>
      <c r="B810" t="s">
        <v>1126</v>
      </c>
      <c r="C810" t="s">
        <v>1127</v>
      </c>
      <c r="D810" t="s">
        <v>1387</v>
      </c>
      <c r="E810" s="14" t="n">
        <v>0.75</v>
      </c>
      <c r="F810" s="17" t="n">
        <v>168</v>
      </c>
      <c r="G810" s="15" t="n">
        <v>0.685159093231951</v>
      </c>
      <c r="H810" s="16" t="n">
        <v>-0.30505248230685</v>
      </c>
    </row>
    <row r="811">
      <c r="A811" t="s">
        <v>30</v>
      </c>
      <c r="B811" t="s">
        <v>1126</v>
      </c>
      <c r="C811" t="s">
        <v>1128</v>
      </c>
      <c r="D811" t="s">
        <v>1387</v>
      </c>
      <c r="E811" s="14" t="n">
        <v>0.75</v>
      </c>
      <c r="F811" s="17" t="n">
        <v>17</v>
      </c>
      <c r="G811" s="15" t="n">
        <v>0.621778179416281</v>
      </c>
      <c r="H811" s="16" t="n">
        <v>0.41939467760306</v>
      </c>
    </row>
    <row r="812">
      <c r="A812" t="s">
        <v>31</v>
      </c>
      <c r="B812" t="s">
        <v>1129</v>
      </c>
      <c r="C812" t="s">
        <v>1130</v>
      </c>
      <c r="D812" t="s">
        <v>1387</v>
      </c>
      <c r="E812" s="14" t="n">
        <v>0.45914686019949</v>
      </c>
      <c r="F812" s="17" t="n">
        <v>109.914550014453</v>
      </c>
      <c r="G812" s="15" t="n">
        <v>-0.352605650638417</v>
      </c>
      <c r="H812" s="16" t="n">
        <v>-0.294083481972226</v>
      </c>
    </row>
    <row r="813">
      <c r="A813" t="s">
        <v>31</v>
      </c>
      <c r="B813" t="s">
        <v>1129</v>
      </c>
      <c r="C813" t="s">
        <v>1131</v>
      </c>
      <c r="D813" t="s">
        <v>1387</v>
      </c>
      <c r="E813" s="14" t="n">
        <v>0.25</v>
      </c>
      <c r="F813" s="17" t="n">
        <v>85</v>
      </c>
      <c r="G813" s="15" t="n">
        <v>-0.246201938253052</v>
      </c>
      <c r="H813" s="16" t="n">
        <v>0.0434120444167327</v>
      </c>
    </row>
    <row r="814">
      <c r="A814" t="s">
        <v>31</v>
      </c>
      <c r="B814" t="s">
        <v>1132</v>
      </c>
      <c r="C814" t="s">
        <v>1133</v>
      </c>
      <c r="D814" t="s">
        <v>1387</v>
      </c>
      <c r="E814" s="14" t="n">
        <v>0.661437827766148</v>
      </c>
      <c r="F814" s="17" t="n">
        <v>138.553302675435</v>
      </c>
      <c r="G814" s="15" t="n">
        <v>0.0818303609604691</v>
      </c>
      <c r="H814" s="16" t="n">
        <v>-0.656356451956617</v>
      </c>
    </row>
    <row r="815">
      <c r="A815" t="s">
        <v>31</v>
      </c>
      <c r="B815" t="s">
        <v>1132</v>
      </c>
      <c r="C815" t="s">
        <v>1134</v>
      </c>
      <c r="D815" t="s">
        <v>1387</v>
      </c>
      <c r="E815" s="14" t="n">
        <v>0.502050086382721</v>
      </c>
      <c r="F815" s="17" t="n">
        <v>62.5081798640842</v>
      </c>
      <c r="G815" s="15" t="n">
        <v>-0.288081513879494</v>
      </c>
      <c r="H815" s="16" t="n">
        <v>0.411173115120379</v>
      </c>
    </row>
    <row r="816">
      <c r="A816" t="s">
        <v>31</v>
      </c>
      <c r="B816" t="s">
        <v>1135</v>
      </c>
      <c r="C816" t="s">
        <v>1136</v>
      </c>
      <c r="D816" t="s">
        <v>1387</v>
      </c>
      <c r="E816" s="14" t="n">
        <v>0.5</v>
      </c>
      <c r="F816" s="17" t="n">
        <v>5.00000000000001</v>
      </c>
      <c r="G816" s="15" t="n">
        <v>0.492403876506104</v>
      </c>
      <c r="H816" s="16" t="n">
        <v>0.0868240888334653</v>
      </c>
    </row>
    <row r="817">
      <c r="A817" t="s">
        <v>31</v>
      </c>
      <c r="B817" t="s">
        <v>1135</v>
      </c>
      <c r="C817" t="s">
        <v>1137</v>
      </c>
      <c r="D817" t="s">
        <v>1387</v>
      </c>
      <c r="E817" s="14" t="n">
        <v>1.00303661799384</v>
      </c>
      <c r="F817" s="17" t="n">
        <v>6.99393570982883</v>
      </c>
      <c r="G817" s="15" t="n">
        <v>0.973293488352301</v>
      </c>
      <c r="H817" s="16" t="n">
        <v>0.242450495086168</v>
      </c>
    </row>
    <row r="818">
      <c r="A818" t="s">
        <v>32</v>
      </c>
      <c r="B818" t="s">
        <v>1138</v>
      </c>
      <c r="C818" t="s">
        <v>1139</v>
      </c>
      <c r="D818" t="s">
        <v>1387</v>
      </c>
      <c r="E818" s="14" t="n">
        <v>0.5</v>
      </c>
      <c r="F818" s="17" t="n">
        <v>7.99999999999999</v>
      </c>
      <c r="G818" s="15" t="n">
        <v>0.48063084796916</v>
      </c>
      <c r="H818" s="16" t="n">
        <v>0.137818677908499</v>
      </c>
    </row>
    <row r="819">
      <c r="A819" t="s">
        <v>32</v>
      </c>
      <c r="B819" t="s">
        <v>1138</v>
      </c>
      <c r="C819" t="s">
        <v>1140</v>
      </c>
      <c r="D819" t="s">
        <v>1387</v>
      </c>
      <c r="E819" s="14" t="n">
        <v>0.75</v>
      </c>
      <c r="F819" s="17" t="n">
        <v>171</v>
      </c>
      <c r="G819" s="15" t="n">
        <v>0.713292387221365</v>
      </c>
      <c r="H819" s="16" t="n">
        <v>-0.231762745781211</v>
      </c>
    </row>
    <row r="820">
      <c r="A820" t="s">
        <v>31</v>
      </c>
      <c r="B820" t="s">
        <v>1141</v>
      </c>
      <c r="C820" t="s">
        <v>1142</v>
      </c>
      <c r="D820" t="s">
        <v>1387</v>
      </c>
      <c r="E820" s="14" t="n">
        <v>0.5</v>
      </c>
      <c r="F820" s="17" t="n">
        <v>101</v>
      </c>
      <c r="G820" s="15" t="n">
        <v>-0.463591927283394</v>
      </c>
      <c r="H820" s="16" t="n">
        <v>-0.187303296707956</v>
      </c>
    </row>
    <row r="821">
      <c r="A821" t="s">
        <v>31</v>
      </c>
      <c r="B821" t="s">
        <v>1141</v>
      </c>
      <c r="C821" t="s">
        <v>1143</v>
      </c>
      <c r="D821" t="s">
        <v>1387</v>
      </c>
      <c r="E821" s="14" t="n">
        <v>0.406882890924258</v>
      </c>
      <c r="F821" s="17" t="n">
        <v>92.903573953713</v>
      </c>
      <c r="G821" s="15" t="n">
        <v>-0.404794806116861</v>
      </c>
      <c r="H821" s="16" t="n">
        <v>-0.0411685786455515</v>
      </c>
    </row>
    <row r="822">
      <c r="A822" t="s">
        <v>31</v>
      </c>
      <c r="B822" t="s">
        <v>1144</v>
      </c>
      <c r="C822" t="s">
        <v>1145</v>
      </c>
      <c r="D822" t="s">
        <v>1387</v>
      </c>
      <c r="E822" s="14" t="n">
        <v>1.33153863997483</v>
      </c>
      <c r="F822" s="17" t="n">
        <v>156.252952897844</v>
      </c>
      <c r="G822" s="15" t="n">
        <v>0.899675652113511</v>
      </c>
      <c r="H822" s="16" t="n">
        <v>-0.981620532965841</v>
      </c>
    </row>
    <row r="823">
      <c r="A823" t="s">
        <v>31</v>
      </c>
      <c r="B823" t="s">
        <v>1144</v>
      </c>
      <c r="C823" t="s">
        <v>1146</v>
      </c>
      <c r="D823" t="s">
        <v>1387</v>
      </c>
      <c r="E823" s="14" t="n">
        <v>0.617583467196337</v>
      </c>
      <c r="F823" s="17" t="n">
        <v>179.550055104995</v>
      </c>
      <c r="G823" s="15" t="n">
        <v>0.617507296114808</v>
      </c>
      <c r="H823" s="16" t="n">
        <v>-0.00969939169372478</v>
      </c>
    </row>
    <row r="824">
      <c r="A824" t="s">
        <v>30</v>
      </c>
      <c r="B824" t="s">
        <v>1147</v>
      </c>
      <c r="C824" t="s">
        <v>1148</v>
      </c>
      <c r="D824" t="s">
        <v>1387</v>
      </c>
      <c r="E824" s="14" t="n">
        <v>0.711937619825365</v>
      </c>
      <c r="F824" s="17" t="n">
        <v>14.0150795917093</v>
      </c>
      <c r="G824" s="15" t="n">
        <v>0.628427587261303</v>
      </c>
      <c r="H824" s="16" t="n">
        <v>0.334565303179429</v>
      </c>
    </row>
    <row r="825">
      <c r="A825" t="s">
        <v>30</v>
      </c>
      <c r="B825" t="s">
        <v>1147</v>
      </c>
      <c r="C825" t="s">
        <v>1149</v>
      </c>
      <c r="D825" t="s">
        <v>1387</v>
      </c>
      <c r="E825" s="14" t="n">
        <v>0.55405953104458</v>
      </c>
      <c r="F825" s="17" t="n">
        <v>2.91693656794804</v>
      </c>
      <c r="G825" s="15" t="n">
        <v>0.551189940776433</v>
      </c>
      <c r="H825" s="16" t="n">
        <v>0.0563170767015859</v>
      </c>
    </row>
    <row r="826">
      <c r="A826" t="s">
        <v>31</v>
      </c>
      <c r="B826" t="s">
        <v>1150</v>
      </c>
      <c r="C826" t="s">
        <v>1151</v>
      </c>
      <c r="D826" t="s">
        <v>1387</v>
      </c>
      <c r="E826" s="14" t="n">
        <v>0.25</v>
      </c>
      <c r="F826" s="17" t="n">
        <v>96</v>
      </c>
      <c r="G826" s="15" t="n">
        <v>-0.244536900183451</v>
      </c>
      <c r="H826" s="16" t="n">
        <v>-0.0519779227044398</v>
      </c>
    </row>
    <row r="827">
      <c r="A827" t="s">
        <v>30</v>
      </c>
      <c r="B827" t="s">
        <v>1152</v>
      </c>
      <c r="C827" t="s">
        <v>1153</v>
      </c>
      <c r="D827" t="s">
        <v>1387</v>
      </c>
      <c r="E827" s="14" t="n">
        <v>0.0609346717025738</v>
      </c>
      <c r="F827" s="17" t="n">
        <v>170.5</v>
      </c>
      <c r="G827" s="15" t="n">
        <v>0.0576148639928296</v>
      </c>
      <c r="H827" s="16" t="n">
        <v>-0.0198383886086597</v>
      </c>
    </row>
    <row r="828">
      <c r="A828" t="s">
        <v>30</v>
      </c>
      <c r="B828" t="s">
        <v>1152</v>
      </c>
      <c r="C828" t="s">
        <v>1154</v>
      </c>
      <c r="D828" t="s">
        <v>1387</v>
      </c>
      <c r="E828" s="14" t="n">
        <v>0.332032756526014</v>
      </c>
      <c r="F828" s="17" t="n">
        <v>46.866150723851</v>
      </c>
      <c r="G828" s="15" t="n">
        <v>-0.0216136355893497</v>
      </c>
      <c r="H828" s="16" t="n">
        <v>0.331328541123269</v>
      </c>
    </row>
    <row r="829">
      <c r="A829" t="s">
        <v>30</v>
      </c>
      <c r="B829" t="s">
        <v>1155</v>
      </c>
      <c r="C829" t="s">
        <v>1156</v>
      </c>
      <c r="D829" t="s">
        <v>1387</v>
      </c>
      <c r="E829" s="14" t="n">
        <v>0.996966108601366</v>
      </c>
      <c r="F829" s="17" t="n">
        <v>152.440528835142</v>
      </c>
      <c r="G829" s="15" t="n">
        <v>0.570139689315495</v>
      </c>
      <c r="H829" s="16" t="n">
        <v>-0.817852160458711</v>
      </c>
    </row>
    <row r="830">
      <c r="A830" t="s">
        <v>31</v>
      </c>
      <c r="B830" t="s">
        <v>1157</v>
      </c>
      <c r="C830" t="s">
        <v>1158</v>
      </c>
      <c r="D830" t="s">
        <v>1387</v>
      </c>
      <c r="E830" s="14" t="n">
        <v>0.252724209679112</v>
      </c>
      <c r="F830" s="17" t="n">
        <v>69.0324549373814</v>
      </c>
      <c r="G830" s="15" t="n">
        <v>-0.188002146241364</v>
      </c>
      <c r="H830" s="16" t="n">
        <v>0.168892626146236</v>
      </c>
    </row>
    <row r="831">
      <c r="A831" t="s">
        <v>31</v>
      </c>
      <c r="B831" t="s">
        <v>1157</v>
      </c>
      <c r="C831" t="s">
        <v>1159</v>
      </c>
      <c r="D831" t="s">
        <v>1387</v>
      </c>
      <c r="E831" s="14" t="n">
        <v>0.273378621926096</v>
      </c>
      <c r="F831" s="17" t="n">
        <v>102.792557417655</v>
      </c>
      <c r="G831" s="15" t="n">
        <v>-0.246572412738697</v>
      </c>
      <c r="H831" s="16" t="n">
        <v>-0.118058952233319</v>
      </c>
    </row>
    <row r="832">
      <c r="A832" t="s">
        <v>32</v>
      </c>
      <c r="B832" t="s">
        <v>1160</v>
      </c>
      <c r="C832" t="s">
        <v>1161</v>
      </c>
      <c r="D832" t="s">
        <v>1387</v>
      </c>
      <c r="E832" s="14" t="n">
        <v>0.627795306411953</v>
      </c>
      <c r="F832" s="17" t="n">
        <v>38.8557819053296</v>
      </c>
      <c r="G832" s="15" t="n">
        <v>0.133615676588366</v>
      </c>
      <c r="H832" s="16" t="n">
        <v>0.613411605467904</v>
      </c>
    </row>
    <row r="833">
      <c r="A833" t="s">
        <v>32</v>
      </c>
      <c r="B833" t="s">
        <v>1160</v>
      </c>
      <c r="C833" t="s">
        <v>1162</v>
      </c>
      <c r="D833" t="s">
        <v>1387</v>
      </c>
      <c r="E833" s="14" t="n">
        <v>1.32481748965356</v>
      </c>
      <c r="F833" s="17" t="n">
        <v>110.372993454761</v>
      </c>
      <c r="G833" s="15" t="n">
        <v>-1.00369590953829</v>
      </c>
      <c r="H833" s="16" t="n">
        <v>-0.864717238216091</v>
      </c>
    </row>
    <row r="834">
      <c r="A834" t="s">
        <v>30</v>
      </c>
      <c r="B834" t="s">
        <v>1163</v>
      </c>
      <c r="C834" t="s">
        <v>1164</v>
      </c>
      <c r="D834" t="s">
        <v>1387</v>
      </c>
      <c r="E834" s="14" t="n">
        <v>1.36042415940976</v>
      </c>
      <c r="F834" s="17" t="n">
        <v>3.83686867713337</v>
      </c>
      <c r="G834" s="15" t="n">
        <v>1.3482408955535</v>
      </c>
      <c r="H834" s="16" t="n">
        <v>0.181660070083801</v>
      </c>
    </row>
    <row r="835">
      <c r="A835" t="s">
        <v>31</v>
      </c>
      <c r="B835" t="s">
        <v>1165</v>
      </c>
      <c r="C835" t="s">
        <v>1166</v>
      </c>
      <c r="D835" t="s">
        <v>1387</v>
      </c>
      <c r="E835" s="14" t="n">
        <v>0.480630847969159</v>
      </c>
      <c r="F835" s="17" t="n">
        <v>9</v>
      </c>
      <c r="G835" s="15" t="n">
        <v>0.457107099893534</v>
      </c>
      <c r="H835" s="16" t="n">
        <v>0.148523100043312</v>
      </c>
    </row>
    <row r="836">
      <c r="A836" t="s">
        <v>30</v>
      </c>
      <c r="B836" t="s">
        <v>1167</v>
      </c>
      <c r="C836" t="s">
        <v>1168</v>
      </c>
      <c r="D836" t="s">
        <v>1387</v>
      </c>
      <c r="E836" s="14" t="n">
        <v>0.75</v>
      </c>
      <c r="F836" s="17" t="n">
        <v>171</v>
      </c>
      <c r="G836" s="15" t="n">
        <v>0.713292387221365</v>
      </c>
      <c r="H836" s="16" t="n">
        <v>-0.231762745781211</v>
      </c>
    </row>
    <row r="837">
      <c r="A837" t="s">
        <v>30</v>
      </c>
      <c r="B837" t="s">
        <v>1167</v>
      </c>
      <c r="C837" t="s">
        <v>1169</v>
      </c>
      <c r="D837" t="s">
        <v>1387</v>
      </c>
      <c r="E837" s="14" t="n">
        <v>0.389619169931826</v>
      </c>
      <c r="F837" s="17" t="n">
        <v>171.279268028706</v>
      </c>
      <c r="G837" s="15" t="n">
        <v>0.37170590967043</v>
      </c>
      <c r="H837" s="16" t="n">
        <v>-0.116781052805852</v>
      </c>
    </row>
    <row r="838">
      <c r="A838" t="s">
        <v>31</v>
      </c>
      <c r="B838" t="s">
        <v>1170</v>
      </c>
      <c r="C838" t="s">
        <v>1171</v>
      </c>
      <c r="D838" t="s">
        <v>1387</v>
      </c>
      <c r="E838" s="14" t="n">
        <v>0.290023508683951</v>
      </c>
      <c r="F838" s="17" t="n">
        <v>164.737788547731</v>
      </c>
      <c r="G838" s="15" t="n">
        <v>0.249829944937105</v>
      </c>
      <c r="H838" s="16" t="n">
        <v>-0.147304562733382</v>
      </c>
    </row>
    <row r="839">
      <c r="A839" t="s">
        <v>31</v>
      </c>
      <c r="B839" t="s">
        <v>1170</v>
      </c>
      <c r="C839" t="s">
        <v>1172</v>
      </c>
      <c r="D839" t="s">
        <v>1387</v>
      </c>
      <c r="E839" s="14" t="n">
        <v>0.0522642316338267</v>
      </c>
      <c r="F839" s="17" t="n">
        <v>44</v>
      </c>
      <c r="G839" s="15" t="n">
        <v>0.0018239953795635</v>
      </c>
      <c r="H839" s="16" t="n">
        <v>0.0522323936760476</v>
      </c>
    </row>
    <row r="840">
      <c r="A840" t="s">
        <v>31</v>
      </c>
      <c r="B840" t="s">
        <v>1173</v>
      </c>
      <c r="C840" t="s">
        <v>1174</v>
      </c>
      <c r="D840" t="s">
        <v>1387</v>
      </c>
      <c r="E840" s="14" t="n">
        <v>0.730944108089069</v>
      </c>
      <c r="F840" s="17" t="n">
        <v>84.3090284110738</v>
      </c>
      <c r="G840" s="15" t="n">
        <v>-0.716568935739265</v>
      </c>
      <c r="H840" s="16" t="n">
        <v>0.144250648122019</v>
      </c>
    </row>
    <row r="841">
      <c r="A841" t="s">
        <v>31</v>
      </c>
      <c r="B841" t="s">
        <v>1173</v>
      </c>
      <c r="C841" t="s">
        <v>1175</v>
      </c>
      <c r="D841" t="s">
        <v>1387</v>
      </c>
      <c r="E841" s="14" t="n">
        <v>1.02227699360239</v>
      </c>
      <c r="F841" s="17" t="n">
        <v>82.0732819433461</v>
      </c>
      <c r="G841" s="15" t="n">
        <v>-0.983393294480911</v>
      </c>
      <c r="H841" s="16" t="n">
        <v>0.279263101785269</v>
      </c>
    </row>
    <row r="842">
      <c r="A842" t="s">
        <v>31</v>
      </c>
      <c r="B842" t="s">
        <v>1176</v>
      </c>
      <c r="C842" t="s">
        <v>1177</v>
      </c>
      <c r="D842" t="s">
        <v>1387</v>
      </c>
      <c r="E842" s="14" t="n">
        <v>0.567114298099946</v>
      </c>
      <c r="F842" s="17" t="n">
        <v>85.49130095293</v>
      </c>
      <c r="G842" s="15" t="n">
        <v>-0.560105215156857</v>
      </c>
      <c r="H842" s="16" t="n">
        <v>0.0888863041389746</v>
      </c>
    </row>
    <row r="843">
      <c r="A843" t="s">
        <v>31</v>
      </c>
      <c r="B843" t="s">
        <v>1176</v>
      </c>
      <c r="C843" t="s">
        <v>1178</v>
      </c>
      <c r="D843" t="s">
        <v>1387</v>
      </c>
      <c r="E843" s="14" t="n">
        <v>0.252724209679112</v>
      </c>
      <c r="F843" s="17" t="n">
        <v>77.0324549373813</v>
      </c>
      <c r="G843" s="15" t="n">
        <v>-0.227272378823955</v>
      </c>
      <c r="H843" s="16" t="n">
        <v>0.110529597762918</v>
      </c>
    </row>
    <row r="844">
      <c r="A844" t="s">
        <v>31</v>
      </c>
      <c r="B844" t="s">
        <v>1179</v>
      </c>
      <c r="C844" t="s">
        <v>1180</v>
      </c>
      <c r="D844" t="s">
        <v>1387</v>
      </c>
      <c r="E844" s="14" t="n">
        <v>1.16885750979548</v>
      </c>
      <c r="F844" s="17" t="n">
        <v>7.72073197129393</v>
      </c>
      <c r="G844" s="15" t="n">
        <v>1.12666522932219</v>
      </c>
      <c r="H844" s="16" t="n">
        <v>0.311212691324874</v>
      </c>
    </row>
    <row r="845">
      <c r="A845" t="s">
        <v>31</v>
      </c>
      <c r="B845" t="s">
        <v>1179</v>
      </c>
      <c r="C845" t="s">
        <v>1181</v>
      </c>
      <c r="D845" t="s">
        <v>1387</v>
      </c>
      <c r="E845" s="14" t="n">
        <v>0.78300892514097</v>
      </c>
      <c r="F845" s="17" t="n">
        <v>14.9771285987107</v>
      </c>
      <c r="G845" s="15" t="n">
        <v>0.678417966909453</v>
      </c>
      <c r="H845" s="16" t="n">
        <v>0.390962963750866</v>
      </c>
    </row>
    <row r="846">
      <c r="A846" t="s">
        <v>30</v>
      </c>
      <c r="B846" t="s">
        <v>1182</v>
      </c>
      <c r="C846" t="s">
        <v>1183</v>
      </c>
      <c r="D846" t="s">
        <v>1387</v>
      </c>
      <c r="E846" s="14" t="n">
        <v>0.756842181131559</v>
      </c>
      <c r="F846" s="17" t="n">
        <v>8.54658355721605</v>
      </c>
      <c r="G846" s="15" t="n">
        <v>0.723411004447409</v>
      </c>
      <c r="H846" s="16" t="n">
        <v>0.222455851315192</v>
      </c>
    </row>
    <row r="847">
      <c r="A847" t="s">
        <v>32</v>
      </c>
      <c r="B847" t="s">
        <v>1184</v>
      </c>
      <c r="C847" t="s">
        <v>1185</v>
      </c>
      <c r="D847" t="s">
        <v>1387</v>
      </c>
      <c r="E847" s="14" t="n">
        <v>0.406882890924258</v>
      </c>
      <c r="F847" s="17" t="n">
        <v>176.096426046287</v>
      </c>
      <c r="G847" s="15" t="n">
        <v>0.403111453383477</v>
      </c>
      <c r="H847" s="16" t="n">
        <v>-0.0552706348610432</v>
      </c>
    </row>
    <row r="848">
      <c r="A848" t="s">
        <v>32</v>
      </c>
      <c r="B848" t="s">
        <v>1184</v>
      </c>
      <c r="C848" t="s">
        <v>1186</v>
      </c>
      <c r="D848" t="s">
        <v>1387</v>
      </c>
      <c r="E848" s="14" t="n">
        <v>0.355968809912683</v>
      </c>
      <c r="F848" s="17" t="n">
        <v>179.015079591709</v>
      </c>
      <c r="G848" s="15" t="n">
        <v>0.355758453298483</v>
      </c>
      <c r="H848" s="16" t="n">
        <v>-0.0122358709262115</v>
      </c>
    </row>
    <row r="849">
      <c r="A849" t="s">
        <v>30</v>
      </c>
      <c r="B849" t="s">
        <v>1187</v>
      </c>
      <c r="C849" t="s">
        <v>1188</v>
      </c>
      <c r="D849" t="s">
        <v>1387</v>
      </c>
      <c r="E849" s="14" t="n">
        <v>1.6656068283044</v>
      </c>
      <c r="F849" s="17" t="n">
        <v>10.3963318549169</v>
      </c>
      <c r="G849" s="15" t="n">
        <v>1.55712775018295</v>
      </c>
      <c r="H849" s="16" t="n">
        <v>0.591269207810152</v>
      </c>
    </row>
    <row r="850">
      <c r="A850" t="s">
        <v>30</v>
      </c>
      <c r="B850" t="s">
        <v>1187</v>
      </c>
      <c r="C850" t="s">
        <v>1189</v>
      </c>
      <c r="D850" t="s">
        <v>1387</v>
      </c>
      <c r="E850" s="14" t="n">
        <v>1</v>
      </c>
      <c r="F850" s="17" t="n">
        <v>4.00000000000001</v>
      </c>
      <c r="G850" s="15" t="n">
        <v>0.99026806874157</v>
      </c>
      <c r="H850" s="16" t="n">
        <v>0.139173100960066</v>
      </c>
    </row>
    <row r="851">
      <c r="A851" t="s">
        <v>30</v>
      </c>
      <c r="B851" t="s">
        <v>1190</v>
      </c>
      <c r="C851" t="s">
        <v>1191</v>
      </c>
      <c r="D851" t="s">
        <v>1387</v>
      </c>
      <c r="E851" s="14" t="n">
        <v>0.756842181131559</v>
      </c>
      <c r="F851" s="17" t="n">
        <v>142.453416442784</v>
      </c>
      <c r="G851" s="15" t="n">
        <v>0.194696166028268</v>
      </c>
      <c r="H851" s="16" t="n">
        <v>-0.731370966113551</v>
      </c>
    </row>
    <row r="852">
      <c r="A852" t="s">
        <v>30</v>
      </c>
      <c r="B852" t="s">
        <v>1190</v>
      </c>
      <c r="C852" t="s">
        <v>1192</v>
      </c>
      <c r="D852" t="s">
        <v>1387</v>
      </c>
      <c r="E852" s="14" t="n">
        <v>0.811166754010867</v>
      </c>
      <c r="F852" s="17" t="n">
        <v>23.7815002997865</v>
      </c>
      <c r="G852" s="15" t="n">
        <v>0.547358382669236</v>
      </c>
      <c r="H852" s="16" t="n">
        <v>0.59865708359147</v>
      </c>
    </row>
    <row r="853">
      <c r="A853" t="s">
        <v>31</v>
      </c>
      <c r="B853" t="s">
        <v>1193</v>
      </c>
      <c r="C853" t="s">
        <v>1194</v>
      </c>
      <c r="D853" t="s">
        <v>1387</v>
      </c>
      <c r="E853" s="14" t="n">
        <v>0.762803481921026</v>
      </c>
      <c r="F853" s="17" t="n">
        <v>165.408504106056</v>
      </c>
      <c r="G853" s="15" t="n">
        <v>0.665978440457208</v>
      </c>
      <c r="H853" s="16" t="n">
        <v>-0.371943367835784</v>
      </c>
    </row>
    <row r="854">
      <c r="A854" t="s">
        <v>31</v>
      </c>
      <c r="B854" t="s">
        <v>1193</v>
      </c>
      <c r="C854" t="s">
        <v>1195</v>
      </c>
      <c r="D854" t="s">
        <v>1387</v>
      </c>
      <c r="E854" s="14" t="n">
        <v>0.678683151370429</v>
      </c>
      <c r="F854" s="17" t="n">
        <v>178.332825703013</v>
      </c>
      <c r="G854" s="15" t="n">
        <v>0.677534227537007</v>
      </c>
      <c r="H854" s="16" t="n">
        <v>-0.0394739213903027</v>
      </c>
    </row>
    <row r="855">
      <c r="A855" t="s">
        <v>31</v>
      </c>
      <c r="B855" t="s">
        <v>1196</v>
      </c>
      <c r="C855" t="s">
        <v>1197</v>
      </c>
      <c r="D855" t="s">
        <v>1387</v>
      </c>
      <c r="E855" s="14" t="n">
        <v>1.39864203431248</v>
      </c>
      <c r="F855" s="17" t="n">
        <v>10.3593720138992</v>
      </c>
      <c r="G855" s="15" t="n">
        <v>1.30818953674867</v>
      </c>
      <c r="H855" s="16" t="n">
        <v>0.494812768718676</v>
      </c>
    </row>
    <row r="856">
      <c r="A856" t="s">
        <v>32</v>
      </c>
      <c r="B856" t="s">
        <v>1198</v>
      </c>
      <c r="C856" t="s">
        <v>1199</v>
      </c>
      <c r="D856" t="s">
        <v>1387</v>
      </c>
      <c r="E856" s="14" t="n">
        <v>0.25</v>
      </c>
      <c r="F856" s="17" t="n">
        <v>102</v>
      </c>
      <c r="G856" s="15" t="n">
        <v>-0.22838636441065</v>
      </c>
      <c r="H856" s="16" t="n">
        <v>-0.10168416076895</v>
      </c>
    </row>
    <row r="857">
      <c r="A857" t="s">
        <v>32</v>
      </c>
      <c r="B857" t="s">
        <v>1200</v>
      </c>
      <c r="C857" t="s">
        <v>1201</v>
      </c>
      <c r="D857" t="s">
        <v>1387</v>
      </c>
      <c r="E857" s="14" t="n">
        <v>0.5</v>
      </c>
      <c r="F857" s="17" t="n">
        <v>20</v>
      </c>
      <c r="G857" s="15" t="n">
        <v>0.383022221559489</v>
      </c>
      <c r="H857" s="16" t="n">
        <v>0.32139380484327</v>
      </c>
    </row>
    <row r="858">
      <c r="A858" t="s">
        <v>32</v>
      </c>
      <c r="B858" t="s">
        <v>1202</v>
      </c>
      <c r="C858" t="s">
        <v>1203</v>
      </c>
      <c r="D858" t="s">
        <v>1387</v>
      </c>
      <c r="E858" s="14" t="n">
        <v>1.24016805792601</v>
      </c>
      <c r="F858" s="17" t="n">
        <v>1.7574793566637</v>
      </c>
      <c r="G858" s="15" t="n">
        <v>1.23783508592696</v>
      </c>
      <c r="H858" s="16" t="n">
        <v>0.0760336237999183</v>
      </c>
    </row>
    <row r="859">
      <c r="A859" t="s">
        <v>32</v>
      </c>
      <c r="B859" t="s">
        <v>1202</v>
      </c>
      <c r="C859" t="s">
        <v>1204</v>
      </c>
      <c r="D859" t="s">
        <v>1387</v>
      </c>
      <c r="E859" s="14" t="n">
        <v>0.935519483117291</v>
      </c>
      <c r="F859" s="17" t="n">
        <v>0.827131550751962</v>
      </c>
      <c r="G859" s="15" t="n">
        <v>0.935129580121405</v>
      </c>
      <c r="H859" s="16" t="n">
        <v>0.0270068819749305</v>
      </c>
    </row>
    <row r="860">
      <c r="A860" t="s">
        <v>30</v>
      </c>
      <c r="B860" t="s">
        <v>1205</v>
      </c>
      <c r="C860" t="s">
        <v>1206</v>
      </c>
      <c r="D860" t="s">
        <v>1387</v>
      </c>
      <c r="E860" s="14" t="n">
        <v>0.25</v>
      </c>
      <c r="F860" s="17" t="n">
        <v>175</v>
      </c>
      <c r="G860" s="15" t="n">
        <v>0.246201938253052</v>
      </c>
      <c r="H860" s="16" t="n">
        <v>-0.0434120444167326</v>
      </c>
    </row>
    <row r="861">
      <c r="A861" t="s">
        <v>30</v>
      </c>
      <c r="B861" t="s">
        <v>1205</v>
      </c>
      <c r="C861" t="s">
        <v>1207</v>
      </c>
      <c r="D861" t="s">
        <v>1387</v>
      </c>
      <c r="E861" s="14" t="n">
        <v>0.25</v>
      </c>
      <c r="F861" s="17" t="n">
        <v>1</v>
      </c>
      <c r="G861" s="15" t="n">
        <v>0.249847706754774</v>
      </c>
      <c r="H861" s="16" t="n">
        <v>0.00872487417562528</v>
      </c>
    </row>
    <row r="862">
      <c r="A862" t="s">
        <v>30</v>
      </c>
      <c r="B862" t="s">
        <v>1208</v>
      </c>
      <c r="C862" t="s">
        <v>1209</v>
      </c>
      <c r="D862" t="s">
        <v>1387</v>
      </c>
      <c r="E862" s="14" t="n">
        <v>0.25</v>
      </c>
      <c r="F862" s="17" t="n">
        <v>55</v>
      </c>
      <c r="G862" s="15" t="n">
        <v>-0.0855050358314172</v>
      </c>
      <c r="H862" s="16" t="n">
        <v>0.234923155196477</v>
      </c>
    </row>
    <row r="863">
      <c r="A863" t="s">
        <v>30</v>
      </c>
      <c r="B863" t="s">
        <v>1210</v>
      </c>
      <c r="C863" t="s">
        <v>1211</v>
      </c>
      <c r="D863" t="s">
        <v>1387</v>
      </c>
      <c r="E863" s="14" t="n">
        <v>1.02227699360239</v>
      </c>
      <c r="F863" s="17" t="n">
        <v>80.9267180566539</v>
      </c>
      <c r="G863" s="15" t="n">
        <v>-0.971431934442911</v>
      </c>
      <c r="H863" s="16" t="n">
        <v>0.318386947586194</v>
      </c>
    </row>
    <row r="864">
      <c r="A864" t="s">
        <v>32</v>
      </c>
      <c r="B864" t="s">
        <v>1212</v>
      </c>
      <c r="C864" t="s">
        <v>1213</v>
      </c>
      <c r="D864" t="s">
        <v>1387</v>
      </c>
      <c r="E864" s="14" t="n">
        <v>0.918321526811531</v>
      </c>
      <c r="F864" s="17" t="n">
        <v>179.918422402082</v>
      </c>
      <c r="G864" s="15" t="n">
        <v>0.918317803571557</v>
      </c>
      <c r="H864" s="16" t="n">
        <v>-0.00261500458378385</v>
      </c>
    </row>
    <row r="865">
      <c r="A865" t="s">
        <v>32</v>
      </c>
      <c r="B865" t="s">
        <v>1212</v>
      </c>
      <c r="C865" t="s">
        <v>1214</v>
      </c>
      <c r="D865" t="s">
        <v>1387</v>
      </c>
      <c r="E865" s="14" t="n">
        <v>1.17684953194659</v>
      </c>
      <c r="F865" s="17" t="n">
        <v>157.23463811627</v>
      </c>
      <c r="G865" s="15" t="n">
        <v>0.824414515029055</v>
      </c>
      <c r="H865" s="16" t="n">
        <v>-0.839830654508587</v>
      </c>
    </row>
    <row r="866">
      <c r="A866" t="s">
        <v>31</v>
      </c>
      <c r="B866" t="s">
        <v>1215</v>
      </c>
      <c r="C866" t="s">
        <v>1216</v>
      </c>
      <c r="D866" t="s">
        <v>1387</v>
      </c>
      <c r="E866" s="14" t="n">
        <v>0.557361682600138</v>
      </c>
      <c r="F866" s="17" t="n">
        <v>157.09498338897</v>
      </c>
      <c r="G866" s="15" t="n">
        <v>0.388503137525542</v>
      </c>
      <c r="H866" s="16" t="n">
        <v>-0.399646540537593</v>
      </c>
    </row>
    <row r="867">
      <c r="A867" t="s">
        <v>31</v>
      </c>
      <c r="B867" t="s">
        <v>1215</v>
      </c>
      <c r="C867" t="s">
        <v>1217</v>
      </c>
      <c r="D867" t="s">
        <v>1387</v>
      </c>
      <c r="E867" s="14" t="n">
        <v>0.12940952255126</v>
      </c>
      <c r="F867" s="17" t="n">
        <v>37.5</v>
      </c>
      <c r="G867" s="15" t="n">
        <v>0.0334936490538903</v>
      </c>
      <c r="H867" s="16" t="n">
        <v>0.125</v>
      </c>
    </row>
    <row r="868">
      <c r="A868" t="s">
        <v>32</v>
      </c>
      <c r="B868" t="s">
        <v>1218</v>
      </c>
      <c r="C868" t="s">
        <v>1219</v>
      </c>
      <c r="D868" t="s">
        <v>1387</v>
      </c>
      <c r="E868" s="14" t="n">
        <v>0.518028769847117</v>
      </c>
      <c r="F868" s="17" t="n">
        <v>102.711709347646</v>
      </c>
      <c r="G868" s="15" t="n">
        <v>-0.467862810584867</v>
      </c>
      <c r="H868" s="16" t="n">
        <v>-0.222391989201379</v>
      </c>
    </row>
    <row r="869">
      <c r="A869" t="s">
        <v>31</v>
      </c>
      <c r="B869" t="s">
        <v>1220</v>
      </c>
      <c r="C869" t="s">
        <v>1221</v>
      </c>
      <c r="D869" t="s">
        <v>1387</v>
      </c>
      <c r="E869" s="14" t="n">
        <v>0.272319517507513</v>
      </c>
      <c r="F869" s="17" t="n">
        <v>92.5</v>
      </c>
      <c r="G869" s="15" t="n">
        <v>-0.271283259527887</v>
      </c>
      <c r="H869" s="16" t="n">
        <v>-0.0237342098130512</v>
      </c>
    </row>
    <row r="870">
      <c r="A870" t="s">
        <v>31</v>
      </c>
      <c r="B870" t="s">
        <v>1220</v>
      </c>
      <c r="C870" t="s">
        <v>1222</v>
      </c>
      <c r="D870" t="s">
        <v>1387</v>
      </c>
      <c r="E870" s="14" t="n">
        <v>0.745212472749217</v>
      </c>
      <c r="F870" s="17" t="n">
        <v>112.570992257305</v>
      </c>
      <c r="G870" s="15" t="n">
        <v>-0.525637355816999</v>
      </c>
      <c r="H870" s="16" t="n">
        <v>-0.528248994046099</v>
      </c>
    </row>
    <row r="871">
      <c r="A871" t="s">
        <v>30</v>
      </c>
      <c r="B871" t="s">
        <v>1223</v>
      </c>
      <c r="C871" t="s">
        <v>1224</v>
      </c>
      <c r="D871" t="s">
        <v>1387</v>
      </c>
      <c r="E871" s="14" t="n">
        <v>0.975907288314981</v>
      </c>
      <c r="F871" s="17" t="n">
        <v>6.29681786844829</v>
      </c>
      <c r="G871" s="15" t="n">
        <v>0.952427921876475</v>
      </c>
      <c r="H871" s="16" t="n">
        <v>0.212781787322973</v>
      </c>
    </row>
    <row r="872">
      <c r="A872" t="s">
        <v>31</v>
      </c>
      <c r="B872" t="s">
        <v>1225</v>
      </c>
      <c r="C872" t="s">
        <v>1226</v>
      </c>
      <c r="D872" t="s">
        <v>1387</v>
      </c>
      <c r="E872" s="14" t="n">
        <v>1</v>
      </c>
      <c r="F872" s="17" t="n">
        <v>1.99999999999999</v>
      </c>
      <c r="G872" s="15" t="n">
        <v>0.997564050259824</v>
      </c>
      <c r="H872" s="16" t="n">
        <v>0.0697564737441251</v>
      </c>
    </row>
    <row r="873">
      <c r="A873" t="s">
        <v>31</v>
      </c>
      <c r="B873" t="s">
        <v>1225</v>
      </c>
      <c r="C873" t="s">
        <v>1227</v>
      </c>
      <c r="D873" t="s">
        <v>1387</v>
      </c>
      <c r="E873" s="14" t="n">
        <v>1.04640811345394</v>
      </c>
      <c r="F873" s="17" t="n">
        <v>166.636707125979</v>
      </c>
      <c r="G873" s="15" t="n">
        <v>0.934612804924852</v>
      </c>
      <c r="H873" s="16" t="n">
        <v>-0.470604764927784</v>
      </c>
    </row>
    <row r="874">
      <c r="A874" t="s">
        <v>31</v>
      </c>
      <c r="B874" t="s">
        <v>1228</v>
      </c>
      <c r="C874" t="s">
        <v>1229</v>
      </c>
      <c r="D874" t="s">
        <v>1387</v>
      </c>
      <c r="E874" s="14" t="n">
        <v>0.300907511576024</v>
      </c>
      <c r="F874" s="17" t="n">
        <v>18.5</v>
      </c>
      <c r="G874" s="15" t="n">
        <v>0.24031542398458</v>
      </c>
      <c r="H874" s="16" t="n">
        <v>0.18109066104575</v>
      </c>
    </row>
    <row r="875">
      <c r="A875" t="s">
        <v>31</v>
      </c>
      <c r="B875" t="s">
        <v>1228</v>
      </c>
      <c r="C875" t="s">
        <v>1230</v>
      </c>
      <c r="D875" t="s">
        <v>1387</v>
      </c>
      <c r="E875" s="14" t="n">
        <v>0.424287855048549</v>
      </c>
      <c r="F875" s="17" t="n">
        <v>168.010282830728</v>
      </c>
      <c r="G875" s="15" t="n">
        <v>0.387668160986867</v>
      </c>
      <c r="H875" s="16" t="n">
        <v>-0.172434279940965</v>
      </c>
    </row>
    <row r="876">
      <c r="A876" t="s">
        <v>30</v>
      </c>
      <c r="B876" t="s">
        <v>1231</v>
      </c>
      <c r="C876" t="s">
        <v>1232</v>
      </c>
      <c r="D876" t="s">
        <v>1387</v>
      </c>
      <c r="E876" s="14" t="n">
        <v>0.587785252292473</v>
      </c>
      <c r="F876" s="17" t="n">
        <v>10</v>
      </c>
      <c r="G876" s="15" t="n">
        <v>0.55233746418602</v>
      </c>
      <c r="H876" s="16" t="n">
        <v>0.201034396233786</v>
      </c>
    </row>
    <row r="877">
      <c r="A877" t="s">
        <v>30</v>
      </c>
      <c r="B877" t="s">
        <v>1233</v>
      </c>
      <c r="C877" t="s">
        <v>1234</v>
      </c>
      <c r="D877" t="s">
        <v>1387</v>
      </c>
      <c r="E877" s="14" t="n">
        <v>0.75</v>
      </c>
      <c r="F877" s="17" t="n">
        <v>26</v>
      </c>
      <c r="G877" s="15" t="n">
        <v>0.461746106494244</v>
      </c>
      <c r="H877" s="16" t="n">
        <v>0.591008065205042</v>
      </c>
    </row>
    <row r="878">
      <c r="A878" t="s">
        <v>30</v>
      </c>
      <c r="B878" t="s">
        <v>1233</v>
      </c>
      <c r="C878" t="s">
        <v>1235</v>
      </c>
      <c r="D878" t="s">
        <v>1387</v>
      </c>
      <c r="E878" s="14" t="n">
        <v>1.68955915253711</v>
      </c>
      <c r="F878" s="17" t="n">
        <v>152.044916227102</v>
      </c>
      <c r="G878" s="15" t="n">
        <v>0.946984456965548</v>
      </c>
      <c r="H878" s="16" t="n">
        <v>-1.39922498840879</v>
      </c>
    </row>
    <row r="879">
      <c r="A879" t="s">
        <v>30</v>
      </c>
      <c r="B879" t="s">
        <v>1236</v>
      </c>
      <c r="C879" t="s">
        <v>1237</v>
      </c>
      <c r="D879" t="s">
        <v>1387</v>
      </c>
      <c r="E879" s="14" t="n">
        <v>0.91361772027557</v>
      </c>
      <c r="F879" s="17" t="n">
        <v>44.5560121981833</v>
      </c>
      <c r="G879" s="15" t="n">
        <v>0.0141587701100361</v>
      </c>
      <c r="H879" s="16" t="n">
        <v>0.913508001076346</v>
      </c>
    </row>
    <row r="880">
      <c r="A880" t="s">
        <v>32</v>
      </c>
      <c r="B880" t="s">
        <v>1238</v>
      </c>
      <c r="C880" t="s">
        <v>1239</v>
      </c>
      <c r="D880" t="s">
        <v>1387</v>
      </c>
      <c r="E880" s="14" t="n">
        <v>2.72084831881952</v>
      </c>
      <c r="F880" s="17" t="n">
        <v>163.163131322867</v>
      </c>
      <c r="G880" s="15" t="n">
        <v>2.26431271330424</v>
      </c>
      <c r="H880" s="16" t="n">
        <v>-1.50860979394666</v>
      </c>
    </row>
    <row r="881">
      <c r="A881" t="s">
        <v>32</v>
      </c>
      <c r="B881" t="s">
        <v>1238</v>
      </c>
      <c r="C881" t="s">
        <v>1240</v>
      </c>
      <c r="D881" t="s">
        <v>1387</v>
      </c>
      <c r="E881" s="14" t="n">
        <v>2.05332324681076</v>
      </c>
      <c r="F881" s="17" t="n">
        <v>20.157953179026</v>
      </c>
      <c r="G881" s="15" t="n">
        <v>1.56563585448466</v>
      </c>
      <c r="H881" s="16" t="n">
        <v>1.32850319045367</v>
      </c>
    </row>
    <row r="882">
      <c r="A882" t="s">
        <v>30</v>
      </c>
      <c r="B882" t="s">
        <v>1241</v>
      </c>
      <c r="C882" t="s">
        <v>1242</v>
      </c>
      <c r="D882" t="s">
        <v>1387</v>
      </c>
      <c r="E882" s="14" t="n">
        <v>0.25</v>
      </c>
      <c r="F882" s="17" t="n">
        <v>97</v>
      </c>
      <c r="G882" s="15" t="n">
        <v>-0.242573931568999</v>
      </c>
      <c r="H882" s="16" t="n">
        <v>-0.0604804738999169</v>
      </c>
    </row>
    <row r="883">
      <c r="A883" t="s">
        <v>30</v>
      </c>
      <c r="B883" t="s">
        <v>1243</v>
      </c>
      <c r="C883" t="s">
        <v>1244</v>
      </c>
      <c r="D883" t="s">
        <v>1387</v>
      </c>
      <c r="E883" s="14" t="n">
        <v>0.854381791279198</v>
      </c>
      <c r="F883" s="17" t="n">
        <v>11.5071158498467</v>
      </c>
      <c r="G883" s="15" t="n">
        <v>0.786379640389041</v>
      </c>
      <c r="H883" s="16" t="n">
        <v>0.334028900622467</v>
      </c>
    </row>
    <row r="884">
      <c r="A884" t="s">
        <v>30</v>
      </c>
      <c r="B884" t="s">
        <v>1243</v>
      </c>
      <c r="C884" t="s">
        <v>1245</v>
      </c>
      <c r="D884" t="s">
        <v>1387</v>
      </c>
      <c r="E884" s="14" t="n">
        <v>1.223235092066</v>
      </c>
      <c r="F884" s="17" t="n">
        <v>7.15814898248389</v>
      </c>
      <c r="G884" s="15" t="n">
        <v>1.18524805540117</v>
      </c>
      <c r="H884" s="16" t="n">
        <v>0.302475019843703</v>
      </c>
    </row>
    <row r="885">
      <c r="A885" t="s">
        <v>31</v>
      </c>
      <c r="B885" t="s">
        <v>1246</v>
      </c>
      <c r="C885" t="s">
        <v>1247</v>
      </c>
      <c r="D885" t="s">
        <v>1387</v>
      </c>
      <c r="E885" s="14" t="n">
        <v>1</v>
      </c>
      <c r="F885" s="17" t="n">
        <v>14</v>
      </c>
      <c r="G885" s="15" t="n">
        <v>0.882947592858927</v>
      </c>
      <c r="H885" s="16" t="n">
        <v>0.469471562785891</v>
      </c>
    </row>
    <row r="886">
      <c r="A886" t="s">
        <v>31</v>
      </c>
      <c r="B886" t="s">
        <v>1248</v>
      </c>
      <c r="C886" t="s">
        <v>1249</v>
      </c>
      <c r="D886" t="s">
        <v>1387</v>
      </c>
      <c r="E886" s="14" t="n">
        <v>0.765376917782755</v>
      </c>
      <c r="F886" s="17" t="n">
        <v>100.478155991423</v>
      </c>
      <c r="G886" s="15" t="n">
        <v>-0.714749845024305</v>
      </c>
      <c r="H886" s="16" t="n">
        <v>-0.273741639712269</v>
      </c>
    </row>
    <row r="887">
      <c r="A887" t="s">
        <v>30</v>
      </c>
      <c r="B887" t="s">
        <v>1250</v>
      </c>
      <c r="C887" t="s">
        <v>1251</v>
      </c>
      <c r="D887" t="s">
        <v>1387</v>
      </c>
      <c r="E887" s="14" t="n">
        <v>0.754709580222772</v>
      </c>
      <c r="F887" s="17" t="n">
        <v>21.5</v>
      </c>
      <c r="G887" s="15" t="n">
        <v>0.551959645143375</v>
      </c>
      <c r="H887" s="16" t="n">
        <v>0.514710696035387</v>
      </c>
    </row>
    <row r="888">
      <c r="A888" t="s">
        <v>30</v>
      </c>
      <c r="B888" t="s">
        <v>1250</v>
      </c>
      <c r="C888" t="s">
        <v>1252</v>
      </c>
      <c r="D888" t="s">
        <v>1387</v>
      </c>
      <c r="E888" s="14" t="n">
        <v>0.846002784185652</v>
      </c>
      <c r="F888" s="17" t="n">
        <v>147.331127603447</v>
      </c>
      <c r="G888" s="15" t="n">
        <v>0.353010299562117</v>
      </c>
      <c r="H888" s="16" t="n">
        <v>-0.768833167373091</v>
      </c>
    </row>
    <row r="889">
      <c r="A889" t="s">
        <v>32</v>
      </c>
      <c r="B889" t="s">
        <v>1253</v>
      </c>
      <c r="C889" t="s">
        <v>1254</v>
      </c>
      <c r="D889" t="s">
        <v>1387</v>
      </c>
      <c r="E889" s="14" t="n">
        <v>0.347834571628893</v>
      </c>
      <c r="F889" s="17" t="n">
        <v>127.757871745905</v>
      </c>
      <c r="G889" s="15" t="n">
        <v>-0.0869982859940369</v>
      </c>
      <c r="H889" s="16" t="n">
        <v>-0.336779137498681</v>
      </c>
    </row>
    <row r="890">
      <c r="A890" t="s">
        <v>32</v>
      </c>
      <c r="B890" t="s">
        <v>1253</v>
      </c>
      <c r="C890" t="s">
        <v>1255</v>
      </c>
      <c r="D890" t="s">
        <v>1387</v>
      </c>
      <c r="E890" s="14" t="n">
        <v>0.171010071662834</v>
      </c>
      <c r="F890" s="17" t="n">
        <v>30</v>
      </c>
      <c r="G890" s="15" t="n">
        <v>0.0855050358314172</v>
      </c>
      <c r="H890" s="16" t="n">
        <v>0.148099066363012</v>
      </c>
    </row>
    <row r="891">
      <c r="A891" t="s">
        <v>32</v>
      </c>
      <c r="B891" t="s">
        <v>1256</v>
      </c>
      <c r="C891" t="s">
        <v>1257</v>
      </c>
      <c r="D891" t="s">
        <v>1387</v>
      </c>
      <c r="E891" s="14" t="n">
        <v>0.25</v>
      </c>
      <c r="F891" s="17" t="n">
        <v>175</v>
      </c>
      <c r="G891" s="15" t="n">
        <v>0.246201938253052</v>
      </c>
      <c r="H891" s="16" t="n">
        <v>-0.0434120444167326</v>
      </c>
    </row>
    <row r="892">
      <c r="A892" t="s">
        <v>32</v>
      </c>
      <c r="B892" t="s">
        <v>1256</v>
      </c>
      <c r="C892" t="s">
        <v>1258</v>
      </c>
      <c r="D892" t="s">
        <v>1387</v>
      </c>
      <c r="E892" s="14" t="n">
        <v>0.543195067691128</v>
      </c>
      <c r="F892" s="17" t="n">
        <v>29.6651266717917</v>
      </c>
      <c r="G892" s="15" t="n">
        <v>0.277077735005095</v>
      </c>
      <c r="H892" s="16" t="n">
        <v>0.467213880710339</v>
      </c>
    </row>
    <row r="893">
      <c r="A893" t="s">
        <v>31</v>
      </c>
      <c r="B893" t="s">
        <v>1259</v>
      </c>
      <c r="C893" t="s">
        <v>1260</v>
      </c>
      <c r="D893" t="s">
        <v>1387</v>
      </c>
      <c r="E893" s="14" t="n">
        <v>0.25</v>
      </c>
      <c r="F893" s="17" t="n">
        <v>9.00000000000001</v>
      </c>
      <c r="G893" s="15" t="n">
        <v>0.237764129073788</v>
      </c>
      <c r="H893" s="16" t="n">
        <v>0.077254248593737</v>
      </c>
    </row>
    <row r="894">
      <c r="A894" t="s">
        <v>31</v>
      </c>
      <c r="B894" t="s">
        <v>1259</v>
      </c>
      <c r="C894" t="s">
        <v>1261</v>
      </c>
      <c r="D894" t="s">
        <v>1387</v>
      </c>
      <c r="E894" s="14" t="n">
        <v>0.559016994374947</v>
      </c>
      <c r="F894" s="17" t="n">
        <v>169.717474411461</v>
      </c>
      <c r="G894" s="15" t="n">
        <v>0.52339306350105</v>
      </c>
      <c r="H894" s="16" t="n">
        <v>-0.196366242208241</v>
      </c>
    </row>
    <row r="895">
      <c r="A895" t="s">
        <v>30</v>
      </c>
      <c r="B895" t="s">
        <v>1262</v>
      </c>
      <c r="C895" t="s">
        <v>1263</v>
      </c>
      <c r="D895" t="s">
        <v>1387</v>
      </c>
      <c r="E895" s="14" t="n">
        <v>1.03755159196656</v>
      </c>
      <c r="F895" s="17" t="n">
        <v>18.4089764870092</v>
      </c>
      <c r="G895" s="15" t="n">
        <v>0.83060532239694</v>
      </c>
      <c r="H895" s="16" t="n">
        <v>0.621778179416282</v>
      </c>
    </row>
    <row r="896">
      <c r="A896" t="s">
        <v>30</v>
      </c>
      <c r="B896" t="s">
        <v>1262</v>
      </c>
      <c r="C896" t="s">
        <v>1264</v>
      </c>
      <c r="D896" t="s">
        <v>1387</v>
      </c>
      <c r="E896" s="14" t="n">
        <v>1.21807726818309</v>
      </c>
      <c r="F896" s="17" t="n">
        <v>153.324222450383</v>
      </c>
      <c r="G896" s="15" t="n">
        <v>0.727074538874699</v>
      </c>
      <c r="H896" s="16" t="n">
        <v>-0.977279308173726</v>
      </c>
    </row>
    <row r="897">
      <c r="A897" t="s">
        <v>30</v>
      </c>
      <c r="B897" t="s">
        <v>1265</v>
      </c>
      <c r="C897" t="s">
        <v>1266</v>
      </c>
      <c r="D897" t="s">
        <v>1387</v>
      </c>
      <c r="E897" s="14" t="n">
        <v>0.901387818865998</v>
      </c>
      <c r="F897" s="17" t="n">
        <v>11.051056875993</v>
      </c>
      <c r="G897" s="15" t="n">
        <v>0.835149110191861</v>
      </c>
      <c r="H897" s="16" t="n">
        <v>0.339154778450405</v>
      </c>
    </row>
    <row r="898">
      <c r="A898" t="s">
        <v>30</v>
      </c>
      <c r="B898" t="s">
        <v>1265</v>
      </c>
      <c r="C898" t="s">
        <v>1267</v>
      </c>
      <c r="D898" t="s">
        <v>1387</v>
      </c>
      <c r="E898" s="14" t="n">
        <v>1.16229657803916</v>
      </c>
      <c r="F898" s="17" t="n">
        <v>148.973805633806</v>
      </c>
      <c r="G898" s="15" t="n">
        <v>0.544726608004359</v>
      </c>
      <c r="H898" s="16" t="n">
        <v>-1.02674546887415</v>
      </c>
    </row>
    <row r="899">
      <c r="A899" t="s">
        <v>32</v>
      </c>
      <c r="B899" t="s">
        <v>1268</v>
      </c>
      <c r="C899" t="s">
        <v>1269</v>
      </c>
      <c r="D899" t="s">
        <v>1387</v>
      </c>
      <c r="E899" s="14" t="n">
        <v>0.762061187975604</v>
      </c>
      <c r="F899" s="17" t="n">
        <v>27.3045137606517</v>
      </c>
      <c r="G899" s="15" t="n">
        <v>0.441349820218366</v>
      </c>
      <c r="H899" s="16" t="n">
        <v>0.62124680314027</v>
      </c>
    </row>
    <row r="900">
      <c r="A900" t="s">
        <v>32</v>
      </c>
      <c r="B900" t="s">
        <v>1268</v>
      </c>
      <c r="C900" t="s">
        <v>1270</v>
      </c>
      <c r="D900" t="s">
        <v>1387</v>
      </c>
      <c r="E900" s="14" t="n">
        <v>1.08639013538225</v>
      </c>
      <c r="F900" s="17" t="n">
        <v>165.334873328208</v>
      </c>
      <c r="G900" s="15" t="n">
        <v>0.947126595385269</v>
      </c>
      <c r="H900" s="16" t="n">
        <v>-0.532160444386638</v>
      </c>
    </row>
    <row r="901">
      <c r="A901" t="s">
        <v>30</v>
      </c>
      <c r="B901" t="s">
        <v>1271</v>
      </c>
      <c r="C901" t="s">
        <v>1272</v>
      </c>
      <c r="D901" t="s">
        <v>1387</v>
      </c>
      <c r="E901" s="14" t="n">
        <v>1.26156796410113</v>
      </c>
      <c r="F901" s="17" t="n">
        <v>166.565583596588</v>
      </c>
      <c r="G901" s="15" t="n">
        <v>1.12537351306191</v>
      </c>
      <c r="H901" s="16" t="n">
        <v>-0.570165049915337</v>
      </c>
    </row>
    <row r="902">
      <c r="A902" t="s">
        <v>30</v>
      </c>
      <c r="B902" t="s">
        <v>1271</v>
      </c>
      <c r="C902" t="s">
        <v>1273</v>
      </c>
      <c r="D902" t="s">
        <v>1387</v>
      </c>
      <c r="E902" s="14" t="n">
        <v>0.75</v>
      </c>
      <c r="F902" s="17" t="n">
        <v>15</v>
      </c>
      <c r="G902" s="15" t="n">
        <v>0.649519052838329</v>
      </c>
      <c r="H902" s="16" t="n">
        <v>0.375</v>
      </c>
    </row>
    <row r="903">
      <c r="A903" t="s">
        <v>30</v>
      </c>
      <c r="B903" t="s">
        <v>1274</v>
      </c>
      <c r="C903" t="s">
        <v>1275</v>
      </c>
      <c r="D903" t="s">
        <v>1387</v>
      </c>
      <c r="E903" s="14" t="n">
        <v>0.433012701892219</v>
      </c>
      <c r="F903" s="17" t="n">
        <v>99</v>
      </c>
      <c r="G903" s="15" t="n">
        <v>-0.411819551773166</v>
      </c>
      <c r="H903" s="16" t="n">
        <v>-0.133808283664909</v>
      </c>
    </row>
    <row r="904">
      <c r="A904" t="s">
        <v>30</v>
      </c>
      <c r="B904" t="s">
        <v>1274</v>
      </c>
      <c r="C904" t="s">
        <v>1276</v>
      </c>
      <c r="D904" t="s">
        <v>1387</v>
      </c>
      <c r="E904" s="14" t="n">
        <v>0.472759287799658</v>
      </c>
      <c r="F904" s="17" t="n">
        <v>73.5</v>
      </c>
      <c r="G904" s="15" t="n">
        <v>-0.396489300400414</v>
      </c>
      <c r="H904" s="16" t="n">
        <v>0.257483162301598</v>
      </c>
    </row>
    <row r="905">
      <c r="A905" t="s">
        <v>31</v>
      </c>
      <c r="B905" t="s">
        <v>1277</v>
      </c>
      <c r="C905" t="s">
        <v>1278</v>
      </c>
      <c r="D905" t="s">
        <v>1387</v>
      </c>
      <c r="E905" s="14" t="n">
        <v>0.499314767377287</v>
      </c>
      <c r="F905" s="17" t="n">
        <v>19.5</v>
      </c>
      <c r="G905" s="15" t="n">
        <v>0.388040454963085</v>
      </c>
      <c r="H905" s="16" t="n">
        <v>0.314228964662833</v>
      </c>
    </row>
    <row r="906">
      <c r="A906" t="s">
        <v>31</v>
      </c>
      <c r="B906" t="s">
        <v>1277</v>
      </c>
      <c r="C906" t="s">
        <v>1279</v>
      </c>
      <c r="D906" t="s">
        <v>1387</v>
      </c>
      <c r="E906" s="14" t="n">
        <v>0.472759287799658</v>
      </c>
      <c r="F906" s="17" t="n">
        <v>155.5</v>
      </c>
      <c r="G906" s="15" t="n">
        <v>0.310157999300088</v>
      </c>
      <c r="H906" s="16" t="n">
        <v>-0.356795963641697</v>
      </c>
    </row>
    <row r="907">
      <c r="A907" t="s">
        <v>32</v>
      </c>
      <c r="B907" t="s">
        <v>1280</v>
      </c>
      <c r="C907" t="s">
        <v>1281</v>
      </c>
      <c r="D907" t="s">
        <v>1387</v>
      </c>
      <c r="E907" s="14" t="n">
        <v>0.75</v>
      </c>
      <c r="F907" s="17" t="n">
        <v>174</v>
      </c>
      <c r="G907" s="15" t="n">
        <v>0.733610700550354</v>
      </c>
      <c r="H907" s="16" t="n">
        <v>-0.155933768113319</v>
      </c>
    </row>
    <row r="908">
      <c r="A908" t="s">
        <v>30</v>
      </c>
      <c r="B908" t="s">
        <v>1282</v>
      </c>
      <c r="C908" t="s">
        <v>1283</v>
      </c>
      <c r="D908" t="s">
        <v>1387</v>
      </c>
      <c r="E908" s="14" t="n">
        <v>0.888475762216339</v>
      </c>
      <c r="F908" s="17" t="n">
        <v>2.67530738468621</v>
      </c>
      <c r="G908" s="15" t="n">
        <v>0.884604415674094</v>
      </c>
      <c r="H908" s="16" t="n">
        <v>0.0828505148795023</v>
      </c>
    </row>
    <row r="909">
      <c r="A909" t="s">
        <v>30</v>
      </c>
      <c r="B909" t="s">
        <v>1282</v>
      </c>
      <c r="C909" t="s">
        <v>1284</v>
      </c>
      <c r="D909" t="s">
        <v>1387</v>
      </c>
      <c r="E909" s="14" t="n">
        <v>1.31663590678738</v>
      </c>
      <c r="F909" s="17" t="n">
        <v>165.611319244695</v>
      </c>
      <c r="G909" s="15" t="n">
        <v>1.15402737012893</v>
      </c>
      <c r="H909" s="16" t="n">
        <v>-0.633838260154077</v>
      </c>
    </row>
    <row r="910">
      <c r="A910" t="s">
        <v>30</v>
      </c>
      <c r="B910" t="s">
        <v>1285</v>
      </c>
      <c r="C910" t="s">
        <v>1286</v>
      </c>
      <c r="D910" t="s">
        <v>1387</v>
      </c>
      <c r="E910" s="14" t="n">
        <v>0.371572412738697</v>
      </c>
      <c r="F910" s="17" t="n">
        <v>6</v>
      </c>
      <c r="G910" s="15" t="n">
        <v>0.363452664019228</v>
      </c>
      <c r="H910" s="16" t="n">
        <v>0.0772542485937369</v>
      </c>
    </row>
    <row r="911">
      <c r="A911" t="s">
        <v>31</v>
      </c>
      <c r="B911" t="s">
        <v>1287</v>
      </c>
      <c r="C911" t="s">
        <v>1288</v>
      </c>
      <c r="D911" t="s">
        <v>1387</v>
      </c>
      <c r="E911" s="14" t="n">
        <v>0.75</v>
      </c>
      <c r="F911" s="17" t="n">
        <v>89</v>
      </c>
      <c r="G911" s="15" t="n">
        <v>-0.749543120264322</v>
      </c>
      <c r="H911" s="16" t="n">
        <v>0.0261746225268759</v>
      </c>
    </row>
    <row r="912">
      <c r="A912" t="s">
        <v>31</v>
      </c>
      <c r="B912" t="s">
        <v>1287</v>
      </c>
      <c r="C912" t="s">
        <v>1289</v>
      </c>
      <c r="D912" t="s">
        <v>1387</v>
      </c>
      <c r="E912" s="14" t="n">
        <v>0.603720069820807</v>
      </c>
      <c r="F912" s="17" t="n">
        <v>113.947134676161</v>
      </c>
      <c r="G912" s="15" t="n">
        <v>-0.404794806116861</v>
      </c>
      <c r="H912" s="16" t="n">
        <v>-0.447905221721351</v>
      </c>
    </row>
    <row r="913">
      <c r="A913" t="s">
        <v>30</v>
      </c>
      <c r="B913" t="s">
        <v>1290</v>
      </c>
      <c r="C913" t="s">
        <v>1291</v>
      </c>
      <c r="D913" t="s">
        <v>1387</v>
      </c>
      <c r="E913" s="14" t="n">
        <v>0.5</v>
      </c>
      <c r="F913" s="17" t="n">
        <v>157</v>
      </c>
      <c r="G913" s="15" t="n">
        <v>0.347329185229499</v>
      </c>
      <c r="H913" s="16" t="n">
        <v>-0.359669900169326</v>
      </c>
    </row>
    <row r="914">
      <c r="A914" t="s">
        <v>30</v>
      </c>
      <c r="B914" t="s">
        <v>1290</v>
      </c>
      <c r="C914" t="s">
        <v>1292</v>
      </c>
      <c r="D914" t="s">
        <v>1387</v>
      </c>
      <c r="E914" s="14" t="n">
        <v>0.75</v>
      </c>
      <c r="F914" s="17" t="n">
        <v>28</v>
      </c>
      <c r="G914" s="15" t="n">
        <v>0.41939467760306</v>
      </c>
      <c r="H914" s="16" t="n">
        <v>0.621778179416281</v>
      </c>
    </row>
    <row r="915">
      <c r="A915" t="s">
        <v>31</v>
      </c>
      <c r="B915" t="s">
        <v>1293</v>
      </c>
      <c r="C915" t="s">
        <v>1294</v>
      </c>
      <c r="D915" t="s">
        <v>1387</v>
      </c>
      <c r="E915" s="14" t="n">
        <v>0.25</v>
      </c>
      <c r="F915" s="17" t="n">
        <v>0</v>
      </c>
      <c r="G915" s="15" t="n">
        <v>0.25</v>
      </c>
      <c r="H915" s="16" t="n">
        <v>0</v>
      </c>
    </row>
    <row r="916">
      <c r="A916" t="s">
        <v>31</v>
      </c>
      <c r="B916" t="s">
        <v>1293</v>
      </c>
      <c r="C916" t="s">
        <v>1295</v>
      </c>
      <c r="D916" t="s">
        <v>1387</v>
      </c>
      <c r="E916" s="14" t="n">
        <v>0.5</v>
      </c>
      <c r="F916" s="17" t="n">
        <v>19</v>
      </c>
      <c r="G916" s="15" t="n">
        <v>0.394005376803361</v>
      </c>
      <c r="H916" s="16" t="n">
        <v>0.307830737662829</v>
      </c>
    </row>
    <row r="917">
      <c r="A917" t="s">
        <v>32</v>
      </c>
      <c r="B917" t="s">
        <v>1296</v>
      </c>
      <c r="C917" t="s">
        <v>1297</v>
      </c>
      <c r="D917" t="s">
        <v>1387</v>
      </c>
      <c r="E917" s="14" t="n">
        <v>2.23589203380481</v>
      </c>
      <c r="F917" s="17" t="n">
        <v>169.983284565825</v>
      </c>
      <c r="G917" s="15" t="n">
        <v>2.10060468950033</v>
      </c>
      <c r="H917" s="16" t="n">
        <v>-0.765945902320173</v>
      </c>
    </row>
    <row r="918">
      <c r="A918" t="s">
        <v>32</v>
      </c>
      <c r="B918" t="s">
        <v>1296</v>
      </c>
      <c r="C918" t="s">
        <v>1298</v>
      </c>
      <c r="D918" t="s">
        <v>1387</v>
      </c>
      <c r="E918" s="14" t="n">
        <v>2.24513865957847</v>
      </c>
      <c r="F918" s="17" t="n">
        <v>18.3367042861351</v>
      </c>
      <c r="G918" s="15" t="n">
        <v>1.80072001878824</v>
      </c>
      <c r="H918" s="16" t="n">
        <v>1.34091573734859</v>
      </c>
    </row>
    <row r="919">
      <c r="A919" t="s">
        <v>32</v>
      </c>
      <c r="B919" t="s">
        <v>1299</v>
      </c>
      <c r="C919" t="s">
        <v>1300</v>
      </c>
      <c r="D919" t="s">
        <v>1387</v>
      </c>
      <c r="E919" s="14" t="n">
        <v>1.05800017888262</v>
      </c>
      <c r="F919" s="17" t="n">
        <v>91.9918284862586</v>
      </c>
      <c r="G919" s="15" t="n">
        <v>-1.05544395204504</v>
      </c>
      <c r="H919" s="16" t="n">
        <v>-0.0735013102414789</v>
      </c>
    </row>
    <row r="920">
      <c r="A920" t="s">
        <v>32</v>
      </c>
      <c r="B920" t="s">
        <v>1299</v>
      </c>
      <c r="C920" t="s">
        <v>1301</v>
      </c>
      <c r="D920" t="s">
        <v>1387</v>
      </c>
      <c r="E920" s="14" t="n">
        <v>1.56675177110827</v>
      </c>
      <c r="F920" s="17" t="n">
        <v>111.943502189811</v>
      </c>
      <c r="G920" s="15" t="n">
        <v>-1.12917111205699</v>
      </c>
      <c r="H920" s="16" t="n">
        <v>-1.08613245599553</v>
      </c>
    </row>
    <row r="921">
      <c r="A921" t="s">
        <v>30</v>
      </c>
      <c r="B921" t="s">
        <v>1302</v>
      </c>
      <c r="C921" t="s">
        <v>1303</v>
      </c>
      <c r="D921" t="s">
        <v>1387</v>
      </c>
      <c r="E921" s="14" t="n">
        <v>0.339848954093314</v>
      </c>
      <c r="F921" s="17" t="n">
        <v>39.5352612661568</v>
      </c>
      <c r="G921" s="15" t="n">
        <v>0.0644355706852377</v>
      </c>
      <c r="H921" s="16" t="n">
        <v>0.333684534896041</v>
      </c>
    </row>
    <row r="922">
      <c r="A922" t="s">
        <v>30</v>
      </c>
      <c r="B922" t="s">
        <v>1302</v>
      </c>
      <c r="C922" t="s">
        <v>1304</v>
      </c>
      <c r="D922" t="s">
        <v>1387</v>
      </c>
      <c r="E922" s="14" t="n">
        <v>0.25</v>
      </c>
      <c r="F922" s="17" t="n">
        <v>130</v>
      </c>
      <c r="G922" s="15" t="n">
        <v>-0.0434120444167326</v>
      </c>
      <c r="H922" s="16" t="n">
        <v>-0.246201938253052</v>
      </c>
    </row>
    <row r="923">
      <c r="A923" t="s">
        <v>32</v>
      </c>
      <c r="B923" t="s">
        <v>1305</v>
      </c>
      <c r="C923" t="s">
        <v>1306</v>
      </c>
      <c r="D923" t="s">
        <v>1387</v>
      </c>
      <c r="E923" s="14" t="n">
        <v>0.670035942286151</v>
      </c>
      <c r="F923" s="17" t="n">
        <v>125.382593692076</v>
      </c>
      <c r="G923" s="15" t="n">
        <v>-0.220736898214732</v>
      </c>
      <c r="H923" s="16" t="n">
        <v>-0.632632109303527</v>
      </c>
    </row>
    <row r="924">
      <c r="A924" t="s">
        <v>32</v>
      </c>
      <c r="B924" t="s">
        <v>1305</v>
      </c>
      <c r="C924" t="s">
        <v>1307</v>
      </c>
      <c r="D924" t="s">
        <v>1387</v>
      </c>
      <c r="E924" s="14" t="n">
        <v>0.347834571628893</v>
      </c>
      <c r="F924" s="17" t="n">
        <v>32.2421282540946</v>
      </c>
      <c r="G924" s="15" t="n">
        <v>0.149832903238464</v>
      </c>
      <c r="H924" s="16" t="n">
        <v>0.313909207140199</v>
      </c>
    </row>
    <row r="925">
      <c r="A925" t="s">
        <v>31</v>
      </c>
      <c r="B925" t="s">
        <v>1308</v>
      </c>
      <c r="C925" t="s">
        <v>1309</v>
      </c>
      <c r="D925" t="s">
        <v>1387</v>
      </c>
      <c r="E925" s="14" t="n">
        <v>0.389619169931826</v>
      </c>
      <c r="F925" s="17" t="n">
        <v>70.2792680287061</v>
      </c>
      <c r="G925" s="15" t="n">
        <v>-0.300892765726359</v>
      </c>
      <c r="H925" s="16" t="n">
        <v>0.2475209912551</v>
      </c>
    </row>
    <row r="926">
      <c r="A926" t="s">
        <v>32</v>
      </c>
      <c r="B926" t="s">
        <v>1310</v>
      </c>
      <c r="C926" t="s">
        <v>1311</v>
      </c>
      <c r="D926" t="s">
        <v>1387</v>
      </c>
      <c r="E926" s="14" t="n">
        <v>0.687893089383543</v>
      </c>
      <c r="F926" s="17" t="n">
        <v>95.9175599364952</v>
      </c>
      <c r="G926" s="15" t="n">
        <v>-0.67326976007116</v>
      </c>
      <c r="H926" s="16" t="n">
        <v>-0.141084133038967</v>
      </c>
    </row>
    <row r="927">
      <c r="A927" t="s">
        <v>32</v>
      </c>
      <c r="B927" t="s">
        <v>1312</v>
      </c>
      <c r="C927" t="s">
        <v>1313</v>
      </c>
      <c r="D927" t="s">
        <v>1387</v>
      </c>
      <c r="E927" s="14" t="n">
        <v>1.09125547809078</v>
      </c>
      <c r="F927" s="17" t="n">
        <v>179.257297074391</v>
      </c>
      <c r="G927" s="15" t="n">
        <v>1.09088877285384</v>
      </c>
      <c r="H927" s="16" t="n">
        <v>-0.0282878723936547</v>
      </c>
    </row>
    <row r="928">
      <c r="A928" t="s">
        <v>32</v>
      </c>
      <c r="B928" t="s">
        <v>1312</v>
      </c>
      <c r="C928" t="s">
        <v>1314</v>
      </c>
      <c r="D928" t="s">
        <v>1387</v>
      </c>
      <c r="E928" s="14" t="n">
        <v>0.500228387706894</v>
      </c>
      <c r="F928" s="17" t="n">
        <v>179.50030443197</v>
      </c>
      <c r="G928" s="15" t="n">
        <v>0.500152293245226</v>
      </c>
      <c r="H928" s="16" t="n">
        <v>-0.00872487417562515</v>
      </c>
    </row>
    <row r="929">
      <c r="A929" t="s">
        <v>30</v>
      </c>
      <c r="B929" t="s">
        <v>1315</v>
      </c>
      <c r="C929" t="s">
        <v>1316</v>
      </c>
      <c r="D929" t="s">
        <v>1387</v>
      </c>
      <c r="E929" s="14" t="n">
        <v>0.25</v>
      </c>
      <c r="F929" s="17" t="n">
        <v>9.00000000000001</v>
      </c>
      <c r="G929" s="15" t="n">
        <v>0.237764129073788</v>
      </c>
      <c r="H929" s="16" t="n">
        <v>0.077254248593737</v>
      </c>
    </row>
    <row r="930">
      <c r="A930" t="s">
        <v>30</v>
      </c>
      <c r="B930" t="s">
        <v>1315</v>
      </c>
      <c r="C930" t="s">
        <v>1317</v>
      </c>
      <c r="D930" t="s">
        <v>1387</v>
      </c>
      <c r="E930" s="14" t="n">
        <v>0.406882890924258</v>
      </c>
      <c r="F930" s="17" t="n">
        <v>179.903573953713</v>
      </c>
      <c r="G930" s="15" t="n">
        <v>0.406880586075306</v>
      </c>
      <c r="H930" s="16" t="n">
        <v>-0.0013695261579316</v>
      </c>
    </row>
    <row r="931">
      <c r="A931" t="s">
        <v>32</v>
      </c>
      <c r="B931" t="s">
        <v>1318</v>
      </c>
      <c r="C931" t="s">
        <v>1319</v>
      </c>
      <c r="D931" t="s">
        <v>1387</v>
      </c>
      <c r="E931" s="14" t="n">
        <v>0.242404810123169</v>
      </c>
      <c r="F931" s="17" t="n">
        <v>164.5</v>
      </c>
      <c r="G931" s="15" t="n">
        <v>0.207781476770484</v>
      </c>
      <c r="H931" s="16" t="n">
        <v>-0.124847706754774</v>
      </c>
    </row>
    <row r="932">
      <c r="A932" t="s">
        <v>32</v>
      </c>
      <c r="B932" t="s">
        <v>1318</v>
      </c>
      <c r="C932" t="s">
        <v>1320</v>
      </c>
      <c r="D932" t="s">
        <v>1387</v>
      </c>
      <c r="E932" s="14" t="n">
        <v>0.171010071662834</v>
      </c>
      <c r="F932" s="17" t="n">
        <v>21</v>
      </c>
      <c r="G932" s="15" t="n">
        <v>0.127085249860754</v>
      </c>
      <c r="H932" s="16" t="n">
        <v>0.114428072945224</v>
      </c>
    </row>
    <row r="933">
      <c r="A933" t="s">
        <v>30</v>
      </c>
      <c r="B933" t="s">
        <v>1321</v>
      </c>
      <c r="C933" t="s">
        <v>1322</v>
      </c>
      <c r="D933" t="s">
        <v>1387</v>
      </c>
      <c r="E933" s="14" t="n">
        <v>0.543195067691128</v>
      </c>
      <c r="F933" s="17" t="n">
        <v>17.6651266717918</v>
      </c>
      <c r="G933" s="15" t="n">
        <v>0.443156111666345</v>
      </c>
      <c r="H933" s="16" t="n">
        <v>0.314123450663484</v>
      </c>
    </row>
    <row r="934">
      <c r="A934" t="s">
        <v>32</v>
      </c>
      <c r="B934" t="s">
        <v>1323</v>
      </c>
      <c r="C934" t="s">
        <v>1324</v>
      </c>
      <c r="D934" t="s">
        <v>1387</v>
      </c>
      <c r="E934" s="14" t="n">
        <v>0.75</v>
      </c>
      <c r="F934" s="17" t="n">
        <v>37</v>
      </c>
      <c r="G934" s="15" t="n">
        <v>0.206728016862749</v>
      </c>
      <c r="H934" s="16" t="n">
        <v>0.720946271953739</v>
      </c>
    </row>
    <row r="935">
      <c r="A935" t="s">
        <v>32</v>
      </c>
      <c r="B935" t="s">
        <v>1323</v>
      </c>
      <c r="C935" t="s">
        <v>1325</v>
      </c>
      <c r="D935" t="s">
        <v>1387</v>
      </c>
      <c r="E935" s="14" t="n">
        <v>0.383022221559489</v>
      </c>
      <c r="F935" s="17" t="n">
        <v>125</v>
      </c>
      <c r="G935" s="15" t="n">
        <v>-0.131001315114693</v>
      </c>
      <c r="H935" s="16" t="n">
        <v>-0.359923155196477</v>
      </c>
    </row>
    <row r="936">
      <c r="A936" t="s">
        <v>30</v>
      </c>
      <c r="B936" t="s">
        <v>1326</v>
      </c>
      <c r="C936" t="s">
        <v>1327</v>
      </c>
      <c r="D936" t="s">
        <v>1387</v>
      </c>
      <c r="E936" s="14" t="n">
        <v>0.414518786277521</v>
      </c>
      <c r="F936" s="17" t="n">
        <v>173</v>
      </c>
      <c r="G936" s="15" t="n">
        <v>0.402205806786192</v>
      </c>
      <c r="H936" s="16" t="n">
        <v>-0.100281170537931</v>
      </c>
    </row>
    <row r="937">
      <c r="A937" t="s">
        <v>30</v>
      </c>
      <c r="B937" t="s">
        <v>1326</v>
      </c>
      <c r="C937" t="s">
        <v>1328</v>
      </c>
      <c r="D937" t="s">
        <v>1387</v>
      </c>
      <c r="E937" s="14" t="n">
        <v>0.25</v>
      </c>
      <c r="F937" s="17" t="n">
        <v>174</v>
      </c>
      <c r="G937" s="15" t="n">
        <v>0.244536900183451</v>
      </c>
      <c r="H937" s="16" t="n">
        <v>-0.0519779227044398</v>
      </c>
    </row>
    <row r="938">
      <c r="A938" t="s">
        <v>30</v>
      </c>
      <c r="B938" t="s">
        <v>1329</v>
      </c>
      <c r="C938" t="s">
        <v>1330</v>
      </c>
      <c r="D938" t="s">
        <v>1387</v>
      </c>
      <c r="E938" s="14" t="n">
        <v>0.692663447562894</v>
      </c>
      <c r="F938" s="17" t="n">
        <v>169.779187654991</v>
      </c>
      <c r="G938" s="15" t="n">
        <v>0.649045397370925</v>
      </c>
      <c r="H938" s="16" t="n">
        <v>-0.241914703441797</v>
      </c>
    </row>
    <row r="939">
      <c r="A939" t="s">
        <v>32</v>
      </c>
      <c r="B939" t="s">
        <v>1331</v>
      </c>
      <c r="C939" t="s">
        <v>1332</v>
      </c>
      <c r="D939" t="s">
        <v>1387</v>
      </c>
      <c r="E939" s="14" t="n">
        <v>0.986252475516561</v>
      </c>
      <c r="F939" s="17" t="n">
        <v>9.27557544522304</v>
      </c>
      <c r="G939" s="15" t="n">
        <v>0.935006799986725</v>
      </c>
      <c r="H939" s="16" t="n">
        <v>0.313777356482475</v>
      </c>
    </row>
    <row r="940">
      <c r="A940" t="s">
        <v>32</v>
      </c>
      <c r="B940" t="s">
        <v>1333</v>
      </c>
      <c r="C940" t="s">
        <v>1334</v>
      </c>
      <c r="D940" t="s">
        <v>1387</v>
      </c>
      <c r="E940" s="14" t="n">
        <v>1.10318108086908</v>
      </c>
      <c r="F940" s="17" t="n">
        <v>172.223192158533</v>
      </c>
      <c r="G940" s="15" t="n">
        <v>1.06278254294359</v>
      </c>
      <c r="H940" s="16" t="n">
        <v>-0.295806970171141</v>
      </c>
    </row>
    <row r="941">
      <c r="A941" t="s">
        <v>32</v>
      </c>
      <c r="B941" t="s">
        <v>1333</v>
      </c>
      <c r="C941" t="s">
        <v>1335</v>
      </c>
      <c r="D941" t="s">
        <v>1387</v>
      </c>
      <c r="E941" s="14" t="n">
        <v>0.713794570168253</v>
      </c>
      <c r="F941" s="17" t="n">
        <v>16.2262389739372</v>
      </c>
      <c r="G941" s="15" t="n">
        <v>0.602326126451255</v>
      </c>
      <c r="H941" s="16" t="n">
        <v>0.383022095701941</v>
      </c>
    </row>
    <row r="942">
      <c r="A942" t="s">
        <v>30</v>
      </c>
      <c r="B942" t="s">
        <v>1336</v>
      </c>
      <c r="C942" t="s">
        <v>1337</v>
      </c>
      <c r="D942" t="s">
        <v>1387</v>
      </c>
      <c r="E942" s="14" t="n">
        <v>0.25</v>
      </c>
      <c r="F942" s="17" t="n">
        <v>48</v>
      </c>
      <c r="G942" s="15" t="n">
        <v>-0.0261321158169134</v>
      </c>
      <c r="H942" s="16" t="n">
        <v>0.248630473842068</v>
      </c>
    </row>
    <row r="943">
      <c r="A943" t="s">
        <v>30</v>
      </c>
      <c r="B943" t="s">
        <v>1336</v>
      </c>
      <c r="C943" t="s">
        <v>1338</v>
      </c>
      <c r="D943" t="s">
        <v>1387</v>
      </c>
      <c r="E943" s="14" t="n">
        <v>0.254819510270716</v>
      </c>
      <c r="F943" s="17" t="n">
        <v>137.076135080667</v>
      </c>
      <c r="G943" s="15" t="n">
        <v>0.0184508095774622</v>
      </c>
      <c r="H943" s="16" t="n">
        <v>-0.254150645170426</v>
      </c>
    </row>
    <row r="944">
      <c r="A944" t="s">
        <v>32</v>
      </c>
      <c r="B944" t="s">
        <v>1339</v>
      </c>
      <c r="C944" t="s">
        <v>1340</v>
      </c>
      <c r="D944" t="s">
        <v>1387</v>
      </c>
      <c r="E944" s="14" t="n">
        <v>1.14564392373896</v>
      </c>
      <c r="F944" s="17" t="n">
        <v>84.5533026754345</v>
      </c>
      <c r="G944" s="15" t="n">
        <v>-1.125</v>
      </c>
      <c r="H944" s="16" t="n">
        <v>0.21650635094611</v>
      </c>
    </row>
    <row r="945">
      <c r="A945" t="s">
        <v>32</v>
      </c>
      <c r="B945" t="s">
        <v>1341</v>
      </c>
      <c r="C945" t="s">
        <v>1342</v>
      </c>
      <c r="D945" t="s">
        <v>1387</v>
      </c>
      <c r="E945" s="14" t="n">
        <v>1.35736630274086</v>
      </c>
      <c r="F945" s="17" t="n">
        <v>4.6671742969874</v>
      </c>
      <c r="G945" s="15" t="n">
        <v>1.33939295160981</v>
      </c>
      <c r="H945" s="16" t="n">
        <v>0.220158581468763</v>
      </c>
    </row>
    <row r="946">
      <c r="A946" t="s">
        <v>32</v>
      </c>
      <c r="B946" t="s">
        <v>1341</v>
      </c>
      <c r="C946" t="s">
        <v>1343</v>
      </c>
      <c r="D946" t="s">
        <v>1387</v>
      </c>
      <c r="E946" s="14" t="n">
        <v>1.3097811313287</v>
      </c>
      <c r="F946" s="17" t="n">
        <v>168.851169125431</v>
      </c>
      <c r="G946" s="15" t="n">
        <v>1.2118425134965</v>
      </c>
      <c r="H946" s="16" t="n">
        <v>-0.49695506282478</v>
      </c>
    </row>
    <row r="947">
      <c r="A947" t="s">
        <v>30</v>
      </c>
      <c r="B947" t="s">
        <v>1344</v>
      </c>
      <c r="C947" t="s">
        <v>1345</v>
      </c>
      <c r="D947" t="s">
        <v>1387</v>
      </c>
      <c r="E947" s="14" t="n">
        <v>0.697255041297479</v>
      </c>
      <c r="F947" s="17" t="n">
        <v>175.526706498309</v>
      </c>
      <c r="G947" s="15" t="n">
        <v>0.688772058463881</v>
      </c>
      <c r="H947" s="16" t="n">
        <v>-0.108432670787808</v>
      </c>
    </row>
    <row r="948">
      <c r="A948" t="s">
        <v>30</v>
      </c>
      <c r="B948" t="s">
        <v>1344</v>
      </c>
      <c r="C948" t="s">
        <v>1346</v>
      </c>
      <c r="D948" t="s">
        <v>1387</v>
      </c>
      <c r="E948" s="14" t="n">
        <v>0.697255041297479</v>
      </c>
      <c r="F948" s="17" t="n">
        <v>4.47329350169124</v>
      </c>
      <c r="G948" s="15" t="n">
        <v>0.688772058463881</v>
      </c>
      <c r="H948" s="16" t="n">
        <v>0.108432670787808</v>
      </c>
    </row>
    <row r="949">
      <c r="A949" t="s">
        <v>31</v>
      </c>
      <c r="B949" t="s">
        <v>1347</v>
      </c>
      <c r="C949" t="s">
        <v>1348</v>
      </c>
      <c r="D949" t="s">
        <v>1387</v>
      </c>
      <c r="E949" s="14" t="n">
        <v>1</v>
      </c>
      <c r="F949" s="17" t="n">
        <v>95</v>
      </c>
      <c r="G949" s="15" t="n">
        <v>-0.984807753012208</v>
      </c>
      <c r="H949" s="16" t="n">
        <v>-0.173648177666931</v>
      </c>
    </row>
    <row r="950">
      <c r="A950" t="s">
        <v>32</v>
      </c>
      <c r="B950" t="s">
        <v>1349</v>
      </c>
      <c r="C950" t="s">
        <v>1350</v>
      </c>
      <c r="D950" t="s">
        <v>1387</v>
      </c>
      <c r="E950" s="14" t="n">
        <v>0.644439804169846</v>
      </c>
      <c r="F950" s="17" t="n">
        <v>93.3802114236752</v>
      </c>
      <c r="G950" s="15" t="n">
        <v>-0.639959052196376</v>
      </c>
      <c r="H950" s="16" t="n">
        <v>-0.0758621955283771</v>
      </c>
    </row>
    <row r="951">
      <c r="A951" t="s">
        <v>32</v>
      </c>
      <c r="B951" t="s">
        <v>1349</v>
      </c>
      <c r="C951" t="s">
        <v>1351</v>
      </c>
      <c r="D951" t="s">
        <v>1387</v>
      </c>
      <c r="E951" s="14" t="n">
        <v>0.5</v>
      </c>
      <c r="F951" s="17" t="n">
        <v>97</v>
      </c>
      <c r="G951" s="15" t="n">
        <v>-0.485147863137998</v>
      </c>
      <c r="H951" s="16" t="n">
        <v>-0.120960947799834</v>
      </c>
    </row>
    <row r="952">
      <c r="A952" t="s">
        <v>30</v>
      </c>
      <c r="B952" t="s">
        <v>1352</v>
      </c>
      <c r="C952" t="s">
        <v>1353</v>
      </c>
      <c r="D952" t="s">
        <v>1387</v>
      </c>
      <c r="E952" s="14" t="n">
        <v>0.476439885157176</v>
      </c>
      <c r="F952" s="17" t="n">
        <v>26.7716236401297</v>
      </c>
      <c r="G952" s="15" t="n">
        <v>0.283108136206551</v>
      </c>
      <c r="H952" s="16" t="n">
        <v>0.383203271622563</v>
      </c>
    </row>
    <row r="953">
      <c r="A953" t="s">
        <v>30</v>
      </c>
      <c r="B953" t="s">
        <v>1352</v>
      </c>
      <c r="C953" t="s">
        <v>1354</v>
      </c>
      <c r="D953" t="s">
        <v>1387</v>
      </c>
      <c r="E953" s="14" t="n">
        <v>0.838431204128675</v>
      </c>
      <c r="F953" s="17" t="n">
        <v>162.521316045879</v>
      </c>
      <c r="G953" s="15" t="n">
        <v>0.687160271404451</v>
      </c>
      <c r="H953" s="16" t="n">
        <v>-0.480393219623279</v>
      </c>
    </row>
    <row r="954">
      <c r="A954" t="s">
        <v>31</v>
      </c>
      <c r="B954" t="s">
        <v>1355</v>
      </c>
      <c r="C954" t="s">
        <v>1356</v>
      </c>
      <c r="D954" t="s">
        <v>1387</v>
      </c>
      <c r="E954" s="14" t="n">
        <v>0.581148289019578</v>
      </c>
      <c r="F954" s="17" t="n">
        <v>112.026194366194</v>
      </c>
      <c r="G954" s="15" t="n">
        <v>-0.417673794460744</v>
      </c>
      <c r="H954" s="16" t="n">
        <v>-0.404081594793858</v>
      </c>
    </row>
    <row r="955">
      <c r="A955" t="s">
        <v>31</v>
      </c>
      <c r="B955" t="s">
        <v>1355</v>
      </c>
      <c r="C955" t="s">
        <v>1357</v>
      </c>
      <c r="D955" t="s">
        <v>1387</v>
      </c>
      <c r="E955" s="14" t="n">
        <v>0.424287855048549</v>
      </c>
      <c r="F955" s="17" t="n">
        <v>91.9897171692716</v>
      </c>
      <c r="G955" s="15" t="n">
        <v>-0.42326490733267</v>
      </c>
      <c r="H955" s="16" t="n">
        <v>-0.0294449004475297</v>
      </c>
    </row>
    <row r="956">
      <c r="A956" t="s">
        <v>32</v>
      </c>
      <c r="B956" t="s">
        <v>1358</v>
      </c>
      <c r="C956" t="s">
        <v>1359</v>
      </c>
      <c r="D956" t="s">
        <v>1387</v>
      </c>
      <c r="E956" s="14" t="n">
        <v>1.79818309063481</v>
      </c>
      <c r="F956" s="17" t="n">
        <v>21.22945571704</v>
      </c>
      <c r="G956" s="15" t="n">
        <v>1.32663049464849</v>
      </c>
      <c r="H956" s="16" t="n">
        <v>1.21388383221528</v>
      </c>
    </row>
    <row r="957">
      <c r="A957" t="s">
        <v>32</v>
      </c>
      <c r="B957" t="s">
        <v>1358</v>
      </c>
      <c r="C957" t="s">
        <v>1360</v>
      </c>
      <c r="D957" t="s">
        <v>1387</v>
      </c>
      <c r="E957" s="14" t="n">
        <v>0.0261679781214719</v>
      </c>
      <c r="F957" s="17" t="n">
        <v>31.5</v>
      </c>
      <c r="G957" s="15" t="n">
        <v>0.0118800134645406</v>
      </c>
      <c r="H957" s="16" t="n">
        <v>0.02331583923105</v>
      </c>
    </row>
    <row r="958">
      <c r="A958" t="s">
        <v>31</v>
      </c>
      <c r="B958" t="s">
        <v>1361</v>
      </c>
      <c r="C958" t="s">
        <v>1362</v>
      </c>
      <c r="D958" t="s">
        <v>1387</v>
      </c>
      <c r="E958" s="14" t="n">
        <v>1.85816596923927</v>
      </c>
      <c r="F958" s="17" t="n">
        <v>68.5830002836537</v>
      </c>
      <c r="G958" s="15" t="n">
        <v>-1.36264244602523</v>
      </c>
      <c r="H958" s="16" t="n">
        <v>1.26332352686447</v>
      </c>
    </row>
    <row r="959">
      <c r="A959" t="s">
        <v>31</v>
      </c>
      <c r="B959" t="s">
        <v>1361</v>
      </c>
      <c r="C959" t="s">
        <v>1363</v>
      </c>
      <c r="D959" t="s">
        <v>1387</v>
      </c>
      <c r="E959" s="14" t="n">
        <v>1.12144291754739</v>
      </c>
      <c r="F959" s="17" t="n">
        <v>101.80487409231</v>
      </c>
      <c r="G959" s="15" t="n">
        <v>-1.02757209151818</v>
      </c>
      <c r="H959" s="16" t="n">
        <v>-0.449143422583659</v>
      </c>
    </row>
    <row r="960">
      <c r="A960" t="s">
        <v>30</v>
      </c>
      <c r="B960" t="s">
        <v>1364</v>
      </c>
      <c r="C960" t="s">
        <v>1365</v>
      </c>
      <c r="D960" t="s">
        <v>1387</v>
      </c>
      <c r="E960" s="14" t="n">
        <v>0.901387818865997</v>
      </c>
      <c r="F960" s="17" t="n">
        <v>137.948943124007</v>
      </c>
      <c r="G960" s="15" t="n">
        <v>0.0926228626816312</v>
      </c>
      <c r="H960" s="16" t="n">
        <v>-0.896616420387592</v>
      </c>
    </row>
    <row r="961">
      <c r="A961" t="s">
        <v>30</v>
      </c>
      <c r="B961" t="s">
        <v>1364</v>
      </c>
      <c r="C961" t="s">
        <v>1366</v>
      </c>
      <c r="D961" t="s">
        <v>1387</v>
      </c>
      <c r="E961" s="14" t="n">
        <v>0.496273075820661</v>
      </c>
      <c r="F961" s="17" t="n">
        <v>49.5</v>
      </c>
      <c r="G961" s="15" t="n">
        <v>-0.0776342131298747</v>
      </c>
      <c r="H961" s="16" t="n">
        <v>0.490163130739354</v>
      </c>
    </row>
    <row r="962">
      <c r="A962" t="s">
        <v>30</v>
      </c>
      <c r="B962" t="s">
        <v>1367</v>
      </c>
      <c r="C962" t="s">
        <v>1368</v>
      </c>
      <c r="D962" t="s">
        <v>1387</v>
      </c>
      <c r="E962" s="14" t="n">
        <v>0.75</v>
      </c>
      <c r="F962" s="17" t="n">
        <v>173</v>
      </c>
      <c r="G962" s="15" t="n">
        <v>0.727721794706997</v>
      </c>
      <c r="H962" s="16" t="n">
        <v>-0.181441421699751</v>
      </c>
    </row>
    <row r="963">
      <c r="A963" t="s">
        <v>30</v>
      </c>
      <c r="B963" t="s">
        <v>1367</v>
      </c>
      <c r="C963" t="s">
        <v>1369</v>
      </c>
      <c r="D963" t="s">
        <v>1387</v>
      </c>
      <c r="E963" s="14" t="n">
        <v>0.424287855048549</v>
      </c>
      <c r="F963" s="17" t="n">
        <v>28.9897171692716</v>
      </c>
      <c r="G963" s="15" t="n">
        <v>0.224967445483354</v>
      </c>
      <c r="H963" s="16" t="n">
        <v>0.359735781392945</v>
      </c>
    </row>
    <row r="964">
      <c r="A964" t="s">
        <v>30</v>
      </c>
      <c r="B964" t="s">
        <v>1370</v>
      </c>
      <c r="C964" t="s">
        <v>1371</v>
      </c>
      <c r="D964" t="s">
        <v>1387</v>
      </c>
      <c r="E964" s="14" t="n">
        <v>0.424287855048549</v>
      </c>
      <c r="F964" s="17" t="n">
        <v>137.010282830728</v>
      </c>
      <c r="G964" s="15" t="n">
        <v>0.029748744980599</v>
      </c>
      <c r="H964" s="16" t="n">
        <v>-0.423243660453146</v>
      </c>
    </row>
    <row r="965">
      <c r="A965" t="s">
        <v>31</v>
      </c>
      <c r="B965" t="s">
        <v>1372</v>
      </c>
      <c r="C965" t="s">
        <v>1373</v>
      </c>
      <c r="D965" t="s">
        <v>1387</v>
      </c>
      <c r="E965" s="14" t="n">
        <v>1.28328180281615</v>
      </c>
      <c r="F965" s="17" t="n">
        <v>27.6134342429242</v>
      </c>
      <c r="G965" s="15" t="n">
        <v>0.731892098833599</v>
      </c>
      <c r="H965" s="16" t="n">
        <v>1.0541091694431</v>
      </c>
    </row>
    <row r="966">
      <c r="A966" t="s">
        <v>31</v>
      </c>
      <c r="B966" t="s">
        <v>1372</v>
      </c>
      <c r="C966" t="s">
        <v>1374</v>
      </c>
      <c r="D966" t="s">
        <v>1387</v>
      </c>
      <c r="E966" s="14" t="n">
        <v>1.433870598243</v>
      </c>
      <c r="F966" s="17" t="n">
        <v>176.714882542419</v>
      </c>
      <c r="G966" s="15" t="n">
        <v>1.42445342547145</v>
      </c>
      <c r="H966" s="16" t="n">
        <v>-0.164065021160544</v>
      </c>
    </row>
    <row r="967">
      <c r="A967" t="s">
        <v>30</v>
      </c>
      <c r="B967" t="s">
        <v>1375</v>
      </c>
      <c r="C967" t="s">
        <v>1376</v>
      </c>
      <c r="D967" t="s">
        <v>1387</v>
      </c>
      <c r="E967" s="14" t="n">
        <v>0.644251931952941</v>
      </c>
      <c r="F967" s="17" t="n">
        <v>113.580036023002</v>
      </c>
      <c r="G967" s="15" t="n">
        <v>-0.438060683863376</v>
      </c>
      <c r="H967" s="16" t="n">
        <v>-0.472401724254101</v>
      </c>
    </row>
    <row r="968">
      <c r="A968" t="s">
        <v>30</v>
      </c>
      <c r="B968" t="s">
        <v>1377</v>
      </c>
      <c r="C968" t="s">
        <v>1378</v>
      </c>
      <c r="D968" t="s">
        <v>1387</v>
      </c>
      <c r="E968" s="14" t="n">
        <v>1.3120563763783</v>
      </c>
      <c r="F968" s="17" t="n">
        <v>162.63160303467</v>
      </c>
      <c r="G968" s="15" t="n">
        <v>1.07821945103534</v>
      </c>
      <c r="H968" s="16" t="n">
        <v>-0.747619388595569</v>
      </c>
    </row>
    <row r="969">
      <c r="A969" t="s">
        <v>32</v>
      </c>
      <c r="B969" t="s">
        <v>1379</v>
      </c>
      <c r="C969" t="s">
        <v>1380</v>
      </c>
      <c r="D969" t="s">
        <v>1387</v>
      </c>
      <c r="E969" s="14" t="n">
        <v>0.0868240888334652</v>
      </c>
      <c r="F969" s="17" t="n">
        <v>154</v>
      </c>
      <c r="G969" s="15" t="n">
        <v>0.0534542466250171</v>
      </c>
      <c r="H969" s="16" t="n">
        <v>-0.0684183156728759</v>
      </c>
    </row>
    <row r="970">
      <c r="A970" t="s">
        <v>32</v>
      </c>
      <c r="B970" t="s">
        <v>1379</v>
      </c>
      <c r="C970" t="s">
        <v>1381</v>
      </c>
      <c r="D970" t="s">
        <v>1387</v>
      </c>
      <c r="E970" s="14" t="n">
        <v>0.25</v>
      </c>
      <c r="F970" s="17" t="n">
        <v>159</v>
      </c>
      <c r="G970" s="15" t="n">
        <v>0.185786206369348</v>
      </c>
      <c r="H970" s="16" t="n">
        <v>-0.167282651589715</v>
      </c>
    </row>
    <row r="971">
      <c r="A971" t="s">
        <v>32</v>
      </c>
      <c r="B971" t="s">
        <v>1382</v>
      </c>
      <c r="C971" t="s">
        <v>1383</v>
      </c>
      <c r="D971" t="s">
        <v>1387</v>
      </c>
      <c r="E971" s="14" t="n">
        <v>0.75</v>
      </c>
      <c r="F971" s="17" t="n">
        <v>121</v>
      </c>
      <c r="G971" s="15" t="n">
        <v>-0.352103672089418</v>
      </c>
      <c r="H971" s="16" t="n">
        <v>-0.662210694644195</v>
      </c>
    </row>
    <row r="972">
      <c r="A972" t="s">
        <v>32</v>
      </c>
      <c r="B972" t="s">
        <v>1382</v>
      </c>
      <c r="C972" t="s">
        <v>1384</v>
      </c>
      <c r="D972" t="s">
        <v>1387</v>
      </c>
      <c r="E972" s="14" t="n">
        <v>1.21532661711884</v>
      </c>
      <c r="F972" s="17" t="n">
        <v>55.302658839876</v>
      </c>
      <c r="G972" s="15" t="n">
        <v>-0.427708101969016</v>
      </c>
      <c r="H972" s="16" t="n">
        <v>1.13757837786571</v>
      </c>
    </row>
    <row r="973">
      <c r="A973" t="s">
        <v>32</v>
      </c>
      <c r="B973" t="s">
        <v>1385</v>
      </c>
      <c r="C973" t="s">
        <v>1386</v>
      </c>
      <c r="D973" t="s">
        <v>1387</v>
      </c>
      <c r="E973" s="14" t="n">
        <v>0.257484099988617</v>
      </c>
      <c r="F973" s="17" t="n">
        <v>145.853240451461</v>
      </c>
      <c r="G973" s="15" t="n">
        <v>0.0952309712332542</v>
      </c>
      <c r="H973" s="16" t="n">
        <v>-0.239226093612129</v>
      </c>
    </row>
    <row r="974">
      <c r="A974" t="s">
        <v>30</v>
      </c>
      <c r="B974" t="s">
        <v>609</v>
      </c>
      <c r="C974" t="s">
        <v>610</v>
      </c>
      <c r="D974" t="s">
        <v>1388</v>
      </c>
      <c r="E974" s="14" t="n">
        <v>0.5</v>
      </c>
      <c r="F974" s="17" t="n">
        <v>49</v>
      </c>
      <c r="G974" s="15" t="n">
        <v>-0.0695865504800326</v>
      </c>
      <c r="H974" s="16" t="n">
        <v>0.495134034370785</v>
      </c>
    </row>
    <row r="975">
      <c r="A975" t="s">
        <v>30</v>
      </c>
      <c r="B975" t="s">
        <v>609</v>
      </c>
      <c r="C975" t="s">
        <v>612</v>
      </c>
      <c r="D975" t="s">
        <v>1388</v>
      </c>
      <c r="E975" s="14" t="n">
        <v>0.75</v>
      </c>
      <c r="F975" s="17" t="n">
        <v>131</v>
      </c>
      <c r="G975" s="15" t="n">
        <v>-0.104379825720049</v>
      </c>
      <c r="H975" s="16" t="n">
        <v>-0.742701051556178</v>
      </c>
    </row>
    <row r="976">
      <c r="A976" t="s">
        <v>30</v>
      </c>
      <c r="B976" t="s">
        <v>613</v>
      </c>
      <c r="C976" t="s">
        <v>614</v>
      </c>
      <c r="D976" t="s">
        <v>1388</v>
      </c>
      <c r="E976" s="14" t="n">
        <v>0.75</v>
      </c>
      <c r="F976" s="17" t="n">
        <v>160</v>
      </c>
      <c r="G976" s="15" t="n">
        <v>0.574533332339233</v>
      </c>
      <c r="H976" s="16" t="n">
        <v>-0.482090707264905</v>
      </c>
    </row>
    <row r="977">
      <c r="A977" t="s">
        <v>32</v>
      </c>
      <c r="B977" t="s">
        <v>1389</v>
      </c>
      <c r="C977" t="s">
        <v>1390</v>
      </c>
      <c r="D977" t="s">
        <v>1388</v>
      </c>
      <c r="E977" s="14" t="n">
        <v>0.5</v>
      </c>
      <c r="F977" s="17" t="n">
        <v>80</v>
      </c>
      <c r="G977" s="15" t="n">
        <v>-0.469846310392954</v>
      </c>
      <c r="H977" s="16" t="n">
        <v>0.171010071662834</v>
      </c>
    </row>
    <row r="978">
      <c r="A978" t="s">
        <v>32</v>
      </c>
      <c r="B978" t="s">
        <v>1389</v>
      </c>
      <c r="C978" t="s">
        <v>1391</v>
      </c>
      <c r="D978" t="s">
        <v>1388</v>
      </c>
      <c r="E978" s="14" t="n">
        <v>0.5</v>
      </c>
      <c r="F978" s="17" t="n">
        <v>103</v>
      </c>
      <c r="G978" s="15" t="n">
        <v>-0.449397023149584</v>
      </c>
      <c r="H978" s="16" t="n">
        <v>-0.219185573394539</v>
      </c>
    </row>
    <row r="979">
      <c r="A979" t="s">
        <v>31</v>
      </c>
      <c r="B979" t="s">
        <v>615</v>
      </c>
      <c r="C979" t="s">
        <v>616</v>
      </c>
      <c r="D979" t="s">
        <v>1388</v>
      </c>
      <c r="E979" s="14" t="n">
        <v>0.5</v>
      </c>
      <c r="F979" s="17" t="n">
        <v>95</v>
      </c>
      <c r="G979" s="15" t="n">
        <v>-0.492403876506104</v>
      </c>
      <c r="H979" s="16" t="n">
        <v>-0.0868240888334653</v>
      </c>
    </row>
    <row r="980">
      <c r="A980" t="s">
        <v>31</v>
      </c>
      <c r="B980" t="s">
        <v>615</v>
      </c>
      <c r="C980" t="s">
        <v>617</v>
      </c>
      <c r="D980" t="s">
        <v>1388</v>
      </c>
      <c r="E980" s="14" t="n">
        <v>0.25</v>
      </c>
      <c r="F980" s="17" t="n">
        <v>82</v>
      </c>
      <c r="G980" s="15" t="n">
        <v>-0.24031542398458</v>
      </c>
      <c r="H980" s="16" t="n">
        <v>0.0689093389542498</v>
      </c>
    </row>
    <row r="981">
      <c r="A981" t="s">
        <v>32</v>
      </c>
      <c r="B981" t="s">
        <v>618</v>
      </c>
      <c r="C981" t="s">
        <v>619</v>
      </c>
      <c r="D981" t="s">
        <v>1388</v>
      </c>
      <c r="E981" s="14" t="n">
        <v>0.25</v>
      </c>
      <c r="F981" s="17" t="n">
        <v>57</v>
      </c>
      <c r="G981" s="15" t="n">
        <v>-0.10168416076895</v>
      </c>
      <c r="H981" s="16" t="n">
        <v>0.22838636441065</v>
      </c>
    </row>
    <row r="982">
      <c r="A982" t="s">
        <v>30</v>
      </c>
      <c r="B982" t="s">
        <v>620</v>
      </c>
      <c r="C982" t="s">
        <v>621</v>
      </c>
      <c r="D982" t="s">
        <v>1388</v>
      </c>
      <c r="E982" s="14" t="n">
        <v>0.5</v>
      </c>
      <c r="F982" s="17" t="n">
        <v>89</v>
      </c>
      <c r="G982" s="15" t="n">
        <v>-0.499695413509548</v>
      </c>
      <c r="H982" s="16" t="n">
        <v>0.0174497483512506</v>
      </c>
    </row>
    <row r="983">
      <c r="A983" t="s">
        <v>30</v>
      </c>
      <c r="B983" t="s">
        <v>620</v>
      </c>
      <c r="C983" t="s">
        <v>622</v>
      </c>
      <c r="D983" t="s">
        <v>1388</v>
      </c>
      <c r="E983" s="14" t="n">
        <v>1</v>
      </c>
      <c r="F983" s="17" t="n">
        <v>80</v>
      </c>
      <c r="G983" s="15" t="n">
        <v>-0.939692620785908</v>
      </c>
      <c r="H983" s="16" t="n">
        <v>0.342020143325669</v>
      </c>
    </row>
    <row r="984">
      <c r="A984" t="s">
        <v>31</v>
      </c>
      <c r="B984" t="s">
        <v>623</v>
      </c>
      <c r="C984" t="s">
        <v>624</v>
      </c>
      <c r="D984" t="s">
        <v>1388</v>
      </c>
      <c r="E984" s="14" t="n">
        <v>0.25</v>
      </c>
      <c r="F984" s="17" t="n">
        <v>99</v>
      </c>
      <c r="G984" s="15" t="n">
        <v>-0.237764129073788</v>
      </c>
      <c r="H984" s="16" t="n">
        <v>-0.077254248593737</v>
      </c>
    </row>
    <row r="985">
      <c r="A985" t="s">
        <v>30</v>
      </c>
      <c r="B985" t="s">
        <v>625</v>
      </c>
      <c r="C985" t="s">
        <v>626</v>
      </c>
      <c r="D985" t="s">
        <v>1388</v>
      </c>
      <c r="E985" s="14" t="n">
        <v>0.75</v>
      </c>
      <c r="F985" s="17" t="n">
        <v>5</v>
      </c>
      <c r="G985" s="15" t="n">
        <v>0.738605814759156</v>
      </c>
      <c r="H985" s="16" t="n">
        <v>0.130236133250198</v>
      </c>
    </row>
    <row r="986">
      <c r="A986" t="s">
        <v>30</v>
      </c>
      <c r="B986" t="s">
        <v>625</v>
      </c>
      <c r="C986" t="s">
        <v>627</v>
      </c>
      <c r="D986" t="s">
        <v>1388</v>
      </c>
      <c r="E986" s="14" t="n">
        <v>0.5</v>
      </c>
      <c r="F986" s="17" t="n">
        <v>16</v>
      </c>
      <c r="G986" s="15" t="n">
        <v>0.424024048078213</v>
      </c>
      <c r="H986" s="16" t="n">
        <v>0.264959632116602</v>
      </c>
    </row>
    <row r="987">
      <c r="A987" t="s">
        <v>30</v>
      </c>
      <c r="B987" t="s">
        <v>628</v>
      </c>
      <c r="C987" t="s">
        <v>629</v>
      </c>
      <c r="D987" t="s">
        <v>1388</v>
      </c>
      <c r="E987" s="14" t="n">
        <v>0.75</v>
      </c>
      <c r="F987" s="17" t="n">
        <v>94</v>
      </c>
      <c r="G987" s="15" t="n">
        <v>-0.742701051556178</v>
      </c>
      <c r="H987" s="16" t="n">
        <v>-0.104379825720049</v>
      </c>
    </row>
    <row r="988">
      <c r="A988" t="s">
        <v>30</v>
      </c>
      <c r="B988" t="s">
        <v>630</v>
      </c>
      <c r="C988" t="s">
        <v>631</v>
      </c>
      <c r="D988" t="s">
        <v>1388</v>
      </c>
      <c r="E988" s="14" t="n">
        <v>1.75</v>
      </c>
      <c r="F988" s="17" t="n">
        <v>113</v>
      </c>
      <c r="G988" s="15" t="n">
        <v>-1.21565214830325</v>
      </c>
      <c r="H988" s="16" t="n">
        <v>-1.25884465059264</v>
      </c>
    </row>
    <row r="989">
      <c r="A989" t="s">
        <v>30</v>
      </c>
      <c r="B989" t="s">
        <v>630</v>
      </c>
      <c r="C989" t="s">
        <v>632</v>
      </c>
      <c r="D989" t="s">
        <v>1388</v>
      </c>
      <c r="E989" s="14" t="n">
        <v>1.5</v>
      </c>
      <c r="F989" s="17" t="n">
        <v>82</v>
      </c>
      <c r="G989" s="15" t="n">
        <v>-1.44189254390748</v>
      </c>
      <c r="H989" s="16" t="n">
        <v>0.413456033725499</v>
      </c>
    </row>
    <row r="990">
      <c r="A990" t="s">
        <v>30</v>
      </c>
      <c r="B990" t="s">
        <v>633</v>
      </c>
      <c r="C990" t="s">
        <v>634</v>
      </c>
      <c r="D990" t="s">
        <v>1388</v>
      </c>
      <c r="E990" s="14" t="n">
        <v>1.25</v>
      </c>
      <c r="F990" s="17" t="n">
        <v>81</v>
      </c>
      <c r="G990" s="15" t="n">
        <v>-1.18882064536894</v>
      </c>
      <c r="H990" s="16" t="n">
        <v>0.386271242968684</v>
      </c>
    </row>
    <row r="991">
      <c r="A991" t="s">
        <v>30</v>
      </c>
      <c r="B991" t="s">
        <v>633</v>
      </c>
      <c r="C991" t="s">
        <v>635</v>
      </c>
      <c r="D991" t="s">
        <v>1388</v>
      </c>
      <c r="E991" s="14" t="n">
        <v>0.5</v>
      </c>
      <c r="F991" s="17" t="n">
        <v>112</v>
      </c>
      <c r="G991" s="15" t="n">
        <v>-0.359669900169326</v>
      </c>
      <c r="H991" s="16" t="n">
        <v>-0.347329185229499</v>
      </c>
    </row>
    <row r="992">
      <c r="A992" t="s">
        <v>30</v>
      </c>
      <c r="B992" t="s">
        <v>636</v>
      </c>
      <c r="C992" t="s">
        <v>637</v>
      </c>
      <c r="D992" t="s">
        <v>1388</v>
      </c>
      <c r="E992" s="14" t="n">
        <v>0.25</v>
      </c>
      <c r="F992" s="17" t="n">
        <v>75</v>
      </c>
      <c r="G992" s="15" t="n">
        <v>-0.21650635094611</v>
      </c>
      <c r="H992" s="16" t="n">
        <v>0.125</v>
      </c>
    </row>
    <row r="993">
      <c r="A993" t="s">
        <v>31</v>
      </c>
      <c r="B993" t="s">
        <v>638</v>
      </c>
      <c r="C993" t="s">
        <v>639</v>
      </c>
      <c r="D993" t="s">
        <v>1388</v>
      </c>
      <c r="E993" s="14" t="n">
        <v>0.75</v>
      </c>
      <c r="F993" s="17" t="n">
        <v>87</v>
      </c>
      <c r="G993" s="15" t="n">
        <v>-0.745891421526205</v>
      </c>
      <c r="H993" s="16" t="n">
        <v>0.0783963474507403</v>
      </c>
    </row>
    <row r="994">
      <c r="A994" t="s">
        <v>31</v>
      </c>
      <c r="B994" t="s">
        <v>638</v>
      </c>
      <c r="C994" t="s">
        <v>640</v>
      </c>
      <c r="D994" t="s">
        <v>1388</v>
      </c>
      <c r="E994" s="14" t="n">
        <v>0.25</v>
      </c>
      <c r="F994" s="17" t="n">
        <v>104</v>
      </c>
      <c r="G994" s="15" t="n">
        <v>-0.220736898214732</v>
      </c>
      <c r="H994" s="16" t="n">
        <v>-0.117367890696473</v>
      </c>
    </row>
    <row r="995">
      <c r="A995" t="s">
        <v>31</v>
      </c>
      <c r="B995" t="s">
        <v>641</v>
      </c>
      <c r="C995" t="s">
        <v>642</v>
      </c>
      <c r="D995" t="s">
        <v>1388</v>
      </c>
      <c r="E995" s="14" t="n">
        <v>0.5</v>
      </c>
      <c r="F995" s="17" t="n">
        <v>34</v>
      </c>
      <c r="G995" s="15" t="n">
        <v>0.187303296707956</v>
      </c>
      <c r="H995" s="16" t="n">
        <v>0.463591927283394</v>
      </c>
    </row>
    <row r="996">
      <c r="A996" t="s">
        <v>31</v>
      </c>
      <c r="B996" t="s">
        <v>641</v>
      </c>
      <c r="C996" t="s">
        <v>643</v>
      </c>
      <c r="D996" t="s">
        <v>1388</v>
      </c>
      <c r="E996" s="14" t="n">
        <v>0.25</v>
      </c>
      <c r="F996" s="17" t="n">
        <v>149</v>
      </c>
      <c r="G996" s="15" t="n">
        <v>0.117367890696473</v>
      </c>
      <c r="H996" s="16" t="n">
        <v>-0.220736898214732</v>
      </c>
    </row>
    <row r="997">
      <c r="A997" t="s">
        <v>30</v>
      </c>
      <c r="B997" t="s">
        <v>644</v>
      </c>
      <c r="C997" t="s">
        <v>645</v>
      </c>
      <c r="D997" t="s">
        <v>1388</v>
      </c>
      <c r="E997" s="14" t="n">
        <v>0.75</v>
      </c>
      <c r="F997" s="17" t="n">
        <v>140</v>
      </c>
      <c r="G997" s="15" t="n">
        <v>0.130236133250197</v>
      </c>
      <c r="H997" s="16" t="n">
        <v>-0.738605814759156</v>
      </c>
    </row>
    <row r="998">
      <c r="A998" t="s">
        <v>30</v>
      </c>
      <c r="B998" t="s">
        <v>646</v>
      </c>
      <c r="C998" t="s">
        <v>647</v>
      </c>
      <c r="D998" t="s">
        <v>1388</v>
      </c>
      <c r="E998" s="14" t="n">
        <v>0.5</v>
      </c>
      <c r="F998" s="17" t="n">
        <v>175</v>
      </c>
      <c r="G998" s="15" t="n">
        <v>0.492403876506104</v>
      </c>
      <c r="H998" s="16" t="n">
        <v>-0.0868240888334652</v>
      </c>
    </row>
    <row r="999">
      <c r="A999" t="s">
        <v>31</v>
      </c>
      <c r="B999" t="s">
        <v>648</v>
      </c>
      <c r="C999" t="s">
        <v>649</v>
      </c>
      <c r="D999" t="s">
        <v>1388</v>
      </c>
      <c r="E999" s="14" t="n">
        <v>0.75</v>
      </c>
      <c r="F999" s="17" t="n">
        <v>179</v>
      </c>
      <c r="G999" s="15" t="n">
        <v>0.749543120264322</v>
      </c>
      <c r="H999" s="16" t="n">
        <v>-0.0261746225268756</v>
      </c>
    </row>
    <row r="1000">
      <c r="A1000" t="s">
        <v>31</v>
      </c>
      <c r="B1000" t="s">
        <v>648</v>
      </c>
      <c r="C1000" t="s">
        <v>650</v>
      </c>
      <c r="D1000" t="s">
        <v>1388</v>
      </c>
      <c r="E1000" s="14" t="n">
        <v>1.5</v>
      </c>
      <c r="F1000" s="17" t="n">
        <v>8</v>
      </c>
      <c r="G1000" s="15" t="n">
        <v>1.44189254390748</v>
      </c>
      <c r="H1000" s="16" t="n">
        <v>0.413456033725499</v>
      </c>
    </row>
    <row r="1001">
      <c r="A1001" t="s">
        <v>30</v>
      </c>
      <c r="B1001" t="s">
        <v>651</v>
      </c>
      <c r="C1001" t="s">
        <v>652</v>
      </c>
      <c r="D1001" t="s">
        <v>1388</v>
      </c>
      <c r="E1001" s="14" t="n">
        <v>1.5</v>
      </c>
      <c r="F1001" s="17" t="n">
        <v>147</v>
      </c>
      <c r="G1001" s="15" t="n">
        <v>0.6101049646137</v>
      </c>
      <c r="H1001" s="16" t="n">
        <v>-1.3703181864639</v>
      </c>
    </row>
    <row r="1002">
      <c r="A1002" t="s">
        <v>30</v>
      </c>
      <c r="B1002" t="s">
        <v>651</v>
      </c>
      <c r="C1002" t="s">
        <v>653</v>
      </c>
      <c r="D1002" t="s">
        <v>1388</v>
      </c>
      <c r="E1002" s="14" t="n">
        <v>1</v>
      </c>
      <c r="F1002" s="17" t="n">
        <v>38</v>
      </c>
      <c r="G1002" s="15" t="n">
        <v>0.241921895599668</v>
      </c>
      <c r="H1002" s="16" t="n">
        <v>0.970295726275996</v>
      </c>
    </row>
    <row r="1003">
      <c r="A1003" t="s">
        <v>30</v>
      </c>
      <c r="B1003" t="s">
        <v>654</v>
      </c>
      <c r="C1003" t="s">
        <v>655</v>
      </c>
      <c r="D1003" t="s">
        <v>1388</v>
      </c>
      <c r="E1003" s="14" t="n">
        <v>1.25</v>
      </c>
      <c r="F1003" s="17" t="n">
        <v>105</v>
      </c>
      <c r="G1003" s="15" t="n">
        <v>-1.08253175473055</v>
      </c>
      <c r="H1003" s="16" t="n">
        <v>-0.625</v>
      </c>
    </row>
    <row r="1004">
      <c r="A1004" t="s">
        <v>30</v>
      </c>
      <c r="B1004" t="s">
        <v>654</v>
      </c>
      <c r="C1004" t="s">
        <v>656</v>
      </c>
      <c r="D1004" t="s">
        <v>1388</v>
      </c>
      <c r="E1004" s="14" t="n">
        <v>0.5</v>
      </c>
      <c r="F1004" s="17" t="n">
        <v>96</v>
      </c>
      <c r="G1004" s="15" t="n">
        <v>-0.489073800366903</v>
      </c>
      <c r="H1004" s="16" t="n">
        <v>-0.10395584540888</v>
      </c>
    </row>
    <row r="1005">
      <c r="A1005" t="s">
        <v>30</v>
      </c>
      <c r="B1005" t="s">
        <v>657</v>
      </c>
      <c r="C1005" t="s">
        <v>658</v>
      </c>
      <c r="D1005" t="s">
        <v>1388</v>
      </c>
      <c r="E1005" s="14" t="n">
        <v>1.75</v>
      </c>
      <c r="F1005" s="17" t="n">
        <v>113</v>
      </c>
      <c r="G1005" s="15" t="n">
        <v>-1.21565214830325</v>
      </c>
      <c r="H1005" s="16" t="n">
        <v>-1.25884465059264</v>
      </c>
    </row>
    <row r="1006">
      <c r="A1006" t="s">
        <v>30</v>
      </c>
      <c r="B1006" t="s">
        <v>657</v>
      </c>
      <c r="C1006" t="s">
        <v>659</v>
      </c>
      <c r="D1006" t="s">
        <v>1388</v>
      </c>
      <c r="E1006" s="14" t="n">
        <v>0.75</v>
      </c>
      <c r="F1006" s="17" t="n">
        <v>59</v>
      </c>
      <c r="G1006" s="15" t="n">
        <v>-0.352103672089418</v>
      </c>
      <c r="H1006" s="16" t="n">
        <v>0.662210694644195</v>
      </c>
    </row>
    <row r="1007">
      <c r="A1007" t="s">
        <v>32</v>
      </c>
      <c r="B1007" t="s">
        <v>660</v>
      </c>
      <c r="C1007" t="s">
        <v>661</v>
      </c>
      <c r="D1007" t="s">
        <v>1388</v>
      </c>
      <c r="E1007" s="14" t="n">
        <v>0.25</v>
      </c>
      <c r="F1007" s="17" t="n">
        <v>104</v>
      </c>
      <c r="G1007" s="15" t="n">
        <v>-0.220736898214732</v>
      </c>
      <c r="H1007" s="16" t="n">
        <v>-0.117367890696473</v>
      </c>
    </row>
    <row r="1008">
      <c r="A1008" t="s">
        <v>30</v>
      </c>
      <c r="B1008" t="s">
        <v>662</v>
      </c>
      <c r="C1008" t="s">
        <v>663</v>
      </c>
      <c r="D1008" t="s">
        <v>1388</v>
      </c>
      <c r="E1008" s="14" t="n">
        <v>1.75</v>
      </c>
      <c r="F1008" s="17" t="n">
        <v>18</v>
      </c>
      <c r="G1008" s="15" t="n">
        <v>1.41577974015616</v>
      </c>
      <c r="H1008" s="16" t="n">
        <v>1.02862419151183</v>
      </c>
    </row>
    <row r="1009">
      <c r="A1009" t="s">
        <v>30</v>
      </c>
      <c r="B1009" t="s">
        <v>662</v>
      </c>
      <c r="C1009" t="s">
        <v>664</v>
      </c>
      <c r="D1009" t="s">
        <v>1388</v>
      </c>
      <c r="E1009" s="14" t="n">
        <v>1</v>
      </c>
      <c r="F1009" s="17" t="n">
        <v>157</v>
      </c>
      <c r="G1009" s="15" t="n">
        <v>0.694658370458997</v>
      </c>
      <c r="H1009" s="16" t="n">
        <v>-0.719339800338651</v>
      </c>
    </row>
    <row r="1010">
      <c r="A1010" t="s">
        <v>31</v>
      </c>
      <c r="B1010" t="s">
        <v>665</v>
      </c>
      <c r="C1010" t="s">
        <v>666</v>
      </c>
      <c r="D1010" t="s">
        <v>1388</v>
      </c>
      <c r="E1010" s="14" t="n">
        <v>1.5</v>
      </c>
      <c r="F1010" s="17" t="n">
        <v>81</v>
      </c>
      <c r="G1010" s="15" t="n">
        <v>-1.42658477444273</v>
      </c>
      <c r="H1010" s="16" t="n">
        <v>0.463525491562421</v>
      </c>
    </row>
    <row r="1011">
      <c r="A1011" t="s">
        <v>30</v>
      </c>
      <c r="B1011" t="s">
        <v>667</v>
      </c>
      <c r="C1011" t="s">
        <v>668</v>
      </c>
      <c r="D1011" t="s">
        <v>1388</v>
      </c>
      <c r="E1011" s="14" t="n">
        <v>1</v>
      </c>
      <c r="F1011" s="17" t="n">
        <v>19</v>
      </c>
      <c r="G1011" s="15" t="n">
        <v>0.788010753606722</v>
      </c>
      <c r="H1011" s="16" t="n">
        <v>0.615661475325658</v>
      </c>
    </row>
    <row r="1012">
      <c r="A1012" t="s">
        <v>32</v>
      </c>
      <c r="B1012" t="s">
        <v>669</v>
      </c>
      <c r="C1012" t="s">
        <v>670</v>
      </c>
      <c r="D1012" t="s">
        <v>1388</v>
      </c>
      <c r="E1012" s="14" t="n">
        <v>0.75</v>
      </c>
      <c r="F1012" s="17" t="n">
        <v>66</v>
      </c>
      <c r="G1012" s="15" t="n">
        <v>-0.501847954769143</v>
      </c>
      <c r="H1012" s="16" t="n">
        <v>0.557358619108046</v>
      </c>
    </row>
    <row r="1013">
      <c r="A1013" t="s">
        <v>32</v>
      </c>
      <c r="B1013" t="s">
        <v>669</v>
      </c>
      <c r="C1013" t="s">
        <v>671</v>
      </c>
      <c r="D1013" t="s">
        <v>1388</v>
      </c>
      <c r="E1013" s="14" t="n">
        <v>1</v>
      </c>
      <c r="F1013" s="17" t="n">
        <v>116</v>
      </c>
      <c r="G1013" s="15" t="n">
        <v>-0.615661475325658</v>
      </c>
      <c r="H1013" s="16" t="n">
        <v>-0.788010753606722</v>
      </c>
    </row>
    <row r="1014">
      <c r="A1014" t="s">
        <v>32</v>
      </c>
      <c r="B1014" t="s">
        <v>672</v>
      </c>
      <c r="C1014" t="s">
        <v>673</v>
      </c>
      <c r="D1014" t="s">
        <v>1388</v>
      </c>
      <c r="E1014" s="14" t="n">
        <v>0.75</v>
      </c>
      <c r="F1014" s="17" t="n">
        <v>92</v>
      </c>
      <c r="G1014" s="15" t="n">
        <v>-0.748173037694868</v>
      </c>
      <c r="H1014" s="16" t="n">
        <v>-0.0523173553080938</v>
      </c>
    </row>
    <row r="1015">
      <c r="A1015" t="s">
        <v>32</v>
      </c>
      <c r="B1015" t="s">
        <v>672</v>
      </c>
      <c r="C1015" t="s">
        <v>674</v>
      </c>
      <c r="D1015" t="s">
        <v>1388</v>
      </c>
      <c r="E1015" s="14" t="n">
        <v>1.75</v>
      </c>
      <c r="F1015" s="17" t="n">
        <v>86</v>
      </c>
      <c r="G1015" s="15" t="n">
        <v>-1.73296912029775</v>
      </c>
      <c r="H1015" s="16" t="n">
        <v>0.243552926680114</v>
      </c>
    </row>
    <row r="1016">
      <c r="A1016" t="s">
        <v>32</v>
      </c>
      <c r="B1016" t="s">
        <v>675</v>
      </c>
      <c r="C1016" t="s">
        <v>676</v>
      </c>
      <c r="D1016" t="s">
        <v>1388</v>
      </c>
      <c r="E1016" s="14" t="n">
        <v>0.75</v>
      </c>
      <c r="F1016" s="17" t="n">
        <v>75</v>
      </c>
      <c r="G1016" s="15" t="n">
        <v>-0.649519052838329</v>
      </c>
      <c r="H1016" s="16" t="n">
        <v>0.375</v>
      </c>
    </row>
    <row r="1017">
      <c r="A1017" t="s">
        <v>32</v>
      </c>
      <c r="B1017" t="s">
        <v>675</v>
      </c>
      <c r="C1017" t="s">
        <v>677</v>
      </c>
      <c r="D1017" t="s">
        <v>1388</v>
      </c>
      <c r="E1017" s="14" t="n">
        <v>1</v>
      </c>
      <c r="F1017" s="17" t="n">
        <v>108</v>
      </c>
      <c r="G1017" s="15" t="n">
        <v>-0.809016994374948</v>
      </c>
      <c r="H1017" s="16" t="n">
        <v>-0.587785252292473</v>
      </c>
    </row>
    <row r="1018">
      <c r="A1018" t="s">
        <v>31</v>
      </c>
      <c r="B1018" t="s">
        <v>678</v>
      </c>
      <c r="C1018" t="s">
        <v>679</v>
      </c>
      <c r="D1018" t="s">
        <v>1388</v>
      </c>
      <c r="E1018" s="14" t="n">
        <v>1.75</v>
      </c>
      <c r="F1018" s="17" t="n">
        <v>94</v>
      </c>
      <c r="G1018" s="15" t="n">
        <v>-1.73296912029775</v>
      </c>
      <c r="H1018" s="16" t="n">
        <v>-0.243552926680115</v>
      </c>
    </row>
    <row r="1019">
      <c r="A1019" t="s">
        <v>31</v>
      </c>
      <c r="B1019" t="s">
        <v>678</v>
      </c>
      <c r="C1019" t="s">
        <v>680</v>
      </c>
      <c r="D1019" t="s">
        <v>1388</v>
      </c>
      <c r="E1019" s="14" t="n">
        <v>1</v>
      </c>
      <c r="F1019" s="17" t="n">
        <v>92</v>
      </c>
      <c r="G1019" s="15" t="n">
        <v>-0.997564050259824</v>
      </c>
      <c r="H1019" s="16" t="n">
        <v>-0.0697564737441251</v>
      </c>
    </row>
    <row r="1020">
      <c r="A1020" t="s">
        <v>31</v>
      </c>
      <c r="B1020" t="s">
        <v>1392</v>
      </c>
      <c r="C1020" t="s">
        <v>1393</v>
      </c>
      <c r="D1020" t="s">
        <v>1388</v>
      </c>
      <c r="E1020" s="14" t="n">
        <v>1</v>
      </c>
      <c r="F1020" s="17" t="n">
        <v>87</v>
      </c>
      <c r="G1020" s="15" t="n">
        <v>-0.994521895368273</v>
      </c>
      <c r="H1020" s="16" t="n">
        <v>0.104528463267654</v>
      </c>
    </row>
    <row r="1021">
      <c r="A1021" t="s">
        <v>31</v>
      </c>
      <c r="B1021" t="s">
        <v>1392</v>
      </c>
      <c r="C1021" t="s">
        <v>1394</v>
      </c>
      <c r="D1021" t="s">
        <v>1388</v>
      </c>
      <c r="E1021" s="14" t="n">
        <v>2.25</v>
      </c>
      <c r="F1021" s="17" t="n">
        <v>97</v>
      </c>
      <c r="G1021" s="15" t="n">
        <v>-2.18316538412099</v>
      </c>
      <c r="H1021" s="16" t="n">
        <v>-0.544324265099252</v>
      </c>
    </row>
    <row r="1022">
      <c r="A1022" t="s">
        <v>30</v>
      </c>
      <c r="B1022" t="s">
        <v>681</v>
      </c>
      <c r="C1022" t="s">
        <v>682</v>
      </c>
      <c r="D1022" t="s">
        <v>1388</v>
      </c>
      <c r="E1022" s="14" t="n">
        <v>0.25</v>
      </c>
      <c r="F1022" s="17" t="n">
        <v>104</v>
      </c>
      <c r="G1022" s="15" t="n">
        <v>-0.220736898214732</v>
      </c>
      <c r="H1022" s="16" t="n">
        <v>-0.117367890696473</v>
      </c>
    </row>
    <row r="1023">
      <c r="A1023" t="s">
        <v>30</v>
      </c>
      <c r="B1023" t="s">
        <v>1395</v>
      </c>
      <c r="C1023" t="s">
        <v>1396</v>
      </c>
      <c r="D1023" t="s">
        <v>1388</v>
      </c>
      <c r="E1023" s="14" t="n">
        <v>0.5</v>
      </c>
      <c r="F1023" s="17" t="n">
        <v>89</v>
      </c>
      <c r="G1023" s="15" t="n">
        <v>-0.499695413509548</v>
      </c>
      <c r="H1023" s="16" t="n">
        <v>0.0174497483512506</v>
      </c>
    </row>
    <row r="1024">
      <c r="A1024" t="s">
        <v>30</v>
      </c>
      <c r="B1024" t="s">
        <v>1395</v>
      </c>
      <c r="C1024" t="s">
        <v>1397</v>
      </c>
      <c r="D1024" t="s">
        <v>1388</v>
      </c>
      <c r="E1024" s="14" t="n">
        <v>0.5</v>
      </c>
      <c r="F1024" s="17" t="n">
        <v>86</v>
      </c>
      <c r="G1024" s="15" t="n">
        <v>-0.495134034370785</v>
      </c>
      <c r="H1024" s="16" t="n">
        <v>0.0695865504800327</v>
      </c>
    </row>
    <row r="1025">
      <c r="A1025" t="s">
        <v>32</v>
      </c>
      <c r="B1025" t="s">
        <v>1398</v>
      </c>
      <c r="C1025" t="s">
        <v>1399</v>
      </c>
      <c r="D1025" t="s">
        <v>1388</v>
      </c>
      <c r="E1025" s="14" t="n">
        <v>2.75</v>
      </c>
      <c r="F1025" s="17" t="n">
        <v>56</v>
      </c>
      <c r="G1025" s="15" t="n">
        <v>-1.03016813189376</v>
      </c>
      <c r="H1025" s="16" t="n">
        <v>2.54975560005867</v>
      </c>
    </row>
    <row r="1026">
      <c r="A1026" t="s">
        <v>32</v>
      </c>
      <c r="B1026" t="s">
        <v>1398</v>
      </c>
      <c r="C1026" t="s">
        <v>1400</v>
      </c>
      <c r="D1026" t="s">
        <v>1388</v>
      </c>
      <c r="E1026" s="14" t="n">
        <v>2.25</v>
      </c>
      <c r="F1026" s="17" t="n">
        <v>120</v>
      </c>
      <c r="G1026" s="15" t="n">
        <v>-1.125</v>
      </c>
      <c r="H1026" s="16" t="n">
        <v>-1.94855715851499</v>
      </c>
    </row>
    <row r="1027">
      <c r="A1027" t="s">
        <v>30</v>
      </c>
      <c r="B1027" t="s">
        <v>683</v>
      </c>
      <c r="C1027" t="s">
        <v>684</v>
      </c>
      <c r="D1027" t="s">
        <v>1388</v>
      </c>
      <c r="E1027" s="14" t="n">
        <v>1.25</v>
      </c>
      <c r="F1027" s="17" t="n">
        <v>92</v>
      </c>
      <c r="G1027" s="15" t="n">
        <v>-1.24695506282478</v>
      </c>
      <c r="H1027" s="16" t="n">
        <v>-0.0871955921801564</v>
      </c>
    </row>
    <row r="1028">
      <c r="A1028" t="s">
        <v>32</v>
      </c>
      <c r="B1028" t="s">
        <v>1401</v>
      </c>
      <c r="C1028" t="s">
        <v>1402</v>
      </c>
      <c r="D1028" t="s">
        <v>1388</v>
      </c>
      <c r="E1028" s="14" t="n">
        <v>0.75</v>
      </c>
      <c r="F1028" s="17" t="n">
        <v>22</v>
      </c>
      <c r="G1028" s="15" t="n">
        <v>0.539504850253988</v>
      </c>
      <c r="H1028" s="16" t="n">
        <v>0.520993777844248</v>
      </c>
    </row>
    <row r="1029">
      <c r="A1029" t="s">
        <v>32</v>
      </c>
      <c r="B1029" t="s">
        <v>1401</v>
      </c>
      <c r="C1029" t="s">
        <v>1403</v>
      </c>
      <c r="D1029" t="s">
        <v>1388</v>
      </c>
      <c r="E1029" s="14" t="n">
        <v>1.25</v>
      </c>
      <c r="F1029" s="17" t="n">
        <v>165</v>
      </c>
      <c r="G1029" s="15" t="n">
        <v>1.08253175473055</v>
      </c>
      <c r="H1029" s="16" t="n">
        <v>-0.625</v>
      </c>
    </row>
    <row r="1030">
      <c r="A1030" t="s">
        <v>31</v>
      </c>
      <c r="B1030" t="s">
        <v>685</v>
      </c>
      <c r="C1030" t="s">
        <v>686</v>
      </c>
      <c r="D1030" t="s">
        <v>1388</v>
      </c>
      <c r="E1030" s="14" t="n">
        <v>0.75</v>
      </c>
      <c r="F1030" s="17" t="n">
        <v>172</v>
      </c>
      <c r="G1030" s="15" t="n">
        <v>0.720946271953739</v>
      </c>
      <c r="H1030" s="16" t="n">
        <v>-0.206728016862749</v>
      </c>
    </row>
    <row r="1031">
      <c r="A1031" t="s">
        <v>32</v>
      </c>
      <c r="B1031" t="s">
        <v>687</v>
      </c>
      <c r="C1031" t="s">
        <v>688</v>
      </c>
      <c r="D1031" t="s">
        <v>1388</v>
      </c>
      <c r="E1031" s="14" t="n">
        <v>1</v>
      </c>
      <c r="F1031" s="17" t="n">
        <v>57</v>
      </c>
      <c r="G1031" s="15" t="n">
        <v>-0.4067366430758</v>
      </c>
      <c r="H1031" s="16" t="n">
        <v>0.913545457642601</v>
      </c>
    </row>
    <row r="1032">
      <c r="A1032" t="s">
        <v>32</v>
      </c>
      <c r="B1032" t="s">
        <v>687</v>
      </c>
      <c r="C1032" t="s">
        <v>689</v>
      </c>
      <c r="D1032" t="s">
        <v>1388</v>
      </c>
      <c r="E1032" s="14" t="n">
        <v>1.75</v>
      </c>
      <c r="F1032" s="17" t="n">
        <v>126</v>
      </c>
      <c r="G1032" s="15" t="n">
        <v>-0.540779740156158</v>
      </c>
      <c r="H1032" s="16" t="n">
        <v>-1.66434890351652</v>
      </c>
    </row>
    <row r="1033">
      <c r="A1033" t="s">
        <v>31</v>
      </c>
      <c r="B1033" t="s">
        <v>690</v>
      </c>
      <c r="C1033" t="s">
        <v>691</v>
      </c>
      <c r="D1033" t="s">
        <v>1388</v>
      </c>
      <c r="E1033" s="14" t="n">
        <v>1.5</v>
      </c>
      <c r="F1033" s="17" t="n">
        <v>128</v>
      </c>
      <c r="G1033" s="15" t="n">
        <v>-0.362882843399502</v>
      </c>
      <c r="H1033" s="16" t="n">
        <v>-1.45544358941399</v>
      </c>
    </row>
    <row r="1034">
      <c r="A1034" t="s">
        <v>31</v>
      </c>
      <c r="B1034" t="s">
        <v>690</v>
      </c>
      <c r="C1034" t="s">
        <v>692</v>
      </c>
      <c r="D1034" t="s">
        <v>1388</v>
      </c>
      <c r="E1034" s="14" t="n">
        <v>1.5</v>
      </c>
      <c r="F1034" s="17" t="n">
        <v>42</v>
      </c>
      <c r="G1034" s="15" t="n">
        <v>0.15679269490148</v>
      </c>
      <c r="H1034" s="16" t="n">
        <v>1.49178284305241</v>
      </c>
    </row>
    <row r="1035">
      <c r="A1035" t="s">
        <v>32</v>
      </c>
      <c r="B1035" t="s">
        <v>1404</v>
      </c>
      <c r="C1035" t="s">
        <v>1405</v>
      </c>
      <c r="D1035" t="s">
        <v>1388</v>
      </c>
      <c r="E1035" s="14" t="n">
        <v>1</v>
      </c>
      <c r="F1035" s="17" t="n">
        <v>81</v>
      </c>
      <c r="G1035" s="15" t="n">
        <v>-0.951056516295154</v>
      </c>
      <c r="H1035" s="16" t="n">
        <v>0.309016994374948</v>
      </c>
    </row>
    <row r="1036">
      <c r="A1036" t="s">
        <v>32</v>
      </c>
      <c r="B1036" t="s">
        <v>1404</v>
      </c>
      <c r="C1036" t="s">
        <v>1406</v>
      </c>
      <c r="D1036" t="s">
        <v>1388</v>
      </c>
      <c r="E1036" s="14" t="n">
        <v>0.25</v>
      </c>
      <c r="F1036" s="17" t="n">
        <v>104</v>
      </c>
      <c r="G1036" s="15" t="n">
        <v>-0.220736898214732</v>
      </c>
      <c r="H1036" s="16" t="n">
        <v>-0.117367890696473</v>
      </c>
    </row>
    <row r="1037">
      <c r="A1037" t="s">
        <v>31</v>
      </c>
      <c r="B1037" t="s">
        <v>693</v>
      </c>
      <c r="C1037" t="s">
        <v>694</v>
      </c>
      <c r="D1037" t="s">
        <v>1388</v>
      </c>
      <c r="E1037" s="14" t="n">
        <v>0.5</v>
      </c>
      <c r="F1037" s="17" t="n">
        <v>79</v>
      </c>
      <c r="G1037" s="15" t="n">
        <v>-0.463591927283394</v>
      </c>
      <c r="H1037" s="16" t="n">
        <v>0.187303296707956</v>
      </c>
    </row>
    <row r="1038">
      <c r="A1038" t="s">
        <v>31</v>
      </c>
      <c r="B1038" t="s">
        <v>693</v>
      </c>
      <c r="C1038" t="s">
        <v>695</v>
      </c>
      <c r="D1038" t="s">
        <v>1388</v>
      </c>
      <c r="E1038" s="14" t="n">
        <v>0.5</v>
      </c>
      <c r="F1038" s="17" t="n">
        <v>99</v>
      </c>
      <c r="G1038" s="15" t="n">
        <v>-0.475528258147577</v>
      </c>
      <c r="H1038" s="16" t="n">
        <v>-0.154508497187474</v>
      </c>
    </row>
    <row r="1039">
      <c r="A1039" t="s">
        <v>30</v>
      </c>
      <c r="B1039" t="s">
        <v>696</v>
      </c>
      <c r="C1039" t="s">
        <v>697</v>
      </c>
      <c r="D1039" t="s">
        <v>1388</v>
      </c>
      <c r="E1039" s="14" t="n">
        <v>1.5</v>
      </c>
      <c r="F1039" s="17" t="n">
        <v>86</v>
      </c>
      <c r="G1039" s="15" t="n">
        <v>-1.48540210311236</v>
      </c>
      <c r="H1039" s="16" t="n">
        <v>0.208759651440098</v>
      </c>
    </row>
    <row r="1040">
      <c r="A1040" t="s">
        <v>30</v>
      </c>
      <c r="B1040" t="s">
        <v>696</v>
      </c>
      <c r="C1040" t="s">
        <v>698</v>
      </c>
      <c r="D1040" t="s">
        <v>1388</v>
      </c>
      <c r="E1040" s="14" t="n">
        <v>1</v>
      </c>
      <c r="F1040" s="17" t="n">
        <v>111</v>
      </c>
      <c r="G1040" s="15" t="n">
        <v>-0.743144825477394</v>
      </c>
      <c r="H1040" s="16" t="n">
        <v>-0.669130606358858</v>
      </c>
    </row>
    <row r="1041">
      <c r="A1041" t="s">
        <v>32</v>
      </c>
      <c r="B1041" t="s">
        <v>699</v>
      </c>
      <c r="C1041" t="s">
        <v>700</v>
      </c>
      <c r="D1041" t="s">
        <v>1388</v>
      </c>
      <c r="E1041" s="14" t="n">
        <v>0.5</v>
      </c>
      <c r="F1041" s="17" t="n">
        <v>22</v>
      </c>
      <c r="G1041" s="15" t="n">
        <v>0.359669900169326</v>
      </c>
      <c r="H1041" s="16" t="n">
        <v>0.347329185229499</v>
      </c>
    </row>
    <row r="1042">
      <c r="A1042" t="s">
        <v>32</v>
      </c>
      <c r="B1042" t="s">
        <v>699</v>
      </c>
      <c r="C1042" t="s">
        <v>701</v>
      </c>
      <c r="D1042" t="s">
        <v>1388</v>
      </c>
      <c r="E1042" s="14" t="n">
        <v>0.25</v>
      </c>
      <c r="F1042" s="17" t="n">
        <v>154</v>
      </c>
      <c r="G1042" s="15" t="n">
        <v>0.153915368831414</v>
      </c>
      <c r="H1042" s="16" t="n">
        <v>-0.197002688401681</v>
      </c>
    </row>
    <row r="1043">
      <c r="A1043" t="s">
        <v>32</v>
      </c>
      <c r="B1043" t="s">
        <v>702</v>
      </c>
      <c r="C1043" t="s">
        <v>703</v>
      </c>
      <c r="D1043" t="s">
        <v>1388</v>
      </c>
      <c r="E1043" s="14" t="n">
        <v>3.25</v>
      </c>
      <c r="F1043" s="17" t="n">
        <v>88</v>
      </c>
      <c r="G1043" s="15" t="n">
        <v>-3.24208316334443</v>
      </c>
      <c r="H1043" s="16" t="n">
        <v>0.226708539668408</v>
      </c>
    </row>
    <row r="1044">
      <c r="A1044" t="s">
        <v>32</v>
      </c>
      <c r="B1044" t="s">
        <v>702</v>
      </c>
      <c r="C1044" t="s">
        <v>704</v>
      </c>
      <c r="D1044" t="s">
        <v>1388</v>
      </c>
      <c r="E1044" s="14" t="n">
        <v>2.25</v>
      </c>
      <c r="F1044" s="17" t="n">
        <v>83</v>
      </c>
      <c r="G1044" s="15" t="n">
        <v>-2.18316538412099</v>
      </c>
      <c r="H1044" s="16" t="n">
        <v>0.544324265099252</v>
      </c>
    </row>
    <row r="1045">
      <c r="A1045" t="s">
        <v>30</v>
      </c>
      <c r="B1045" t="s">
        <v>705</v>
      </c>
      <c r="C1045" t="s">
        <v>706</v>
      </c>
      <c r="D1045" t="s">
        <v>1388</v>
      </c>
      <c r="E1045" s="14" t="n">
        <v>1</v>
      </c>
      <c r="F1045" s="17" t="n">
        <v>77</v>
      </c>
      <c r="G1045" s="15" t="n">
        <v>-0.898794046299167</v>
      </c>
      <c r="H1045" s="16" t="n">
        <v>0.438371146789078</v>
      </c>
    </row>
    <row r="1046">
      <c r="A1046" t="s">
        <v>31</v>
      </c>
      <c r="B1046" t="s">
        <v>707</v>
      </c>
      <c r="C1046" t="s">
        <v>708</v>
      </c>
      <c r="D1046" t="s">
        <v>1388</v>
      </c>
      <c r="E1046" s="14" t="n">
        <v>1.5</v>
      </c>
      <c r="F1046" s="17" t="n">
        <v>89</v>
      </c>
      <c r="G1046" s="15" t="n">
        <v>-1.49908624052864</v>
      </c>
      <c r="H1046" s="16" t="n">
        <v>0.0523492450537517</v>
      </c>
    </row>
    <row r="1047">
      <c r="A1047" t="s">
        <v>32</v>
      </c>
      <c r="B1047" t="s">
        <v>709</v>
      </c>
      <c r="C1047" t="s">
        <v>710</v>
      </c>
      <c r="D1047" t="s">
        <v>1388</v>
      </c>
      <c r="E1047" s="14" t="n">
        <v>0.5</v>
      </c>
      <c r="F1047" s="17" t="n">
        <v>153</v>
      </c>
      <c r="G1047" s="15" t="n">
        <v>0.293892626146236</v>
      </c>
      <c r="H1047" s="16" t="n">
        <v>-0.404508497187474</v>
      </c>
    </row>
    <row r="1048">
      <c r="A1048" t="s">
        <v>32</v>
      </c>
      <c r="B1048" t="s">
        <v>711</v>
      </c>
      <c r="C1048" t="s">
        <v>712</v>
      </c>
      <c r="D1048" t="s">
        <v>1388</v>
      </c>
      <c r="E1048" s="14" t="n">
        <v>0.5</v>
      </c>
      <c r="F1048" s="17" t="n">
        <v>145</v>
      </c>
      <c r="G1048" s="15" t="n">
        <v>0.171010071662834</v>
      </c>
      <c r="H1048" s="16" t="n">
        <v>-0.469846310392954</v>
      </c>
    </row>
    <row r="1049">
      <c r="A1049" t="s">
        <v>32</v>
      </c>
      <c r="B1049" t="s">
        <v>711</v>
      </c>
      <c r="C1049" t="s">
        <v>713</v>
      </c>
      <c r="D1049" t="s">
        <v>1388</v>
      </c>
      <c r="E1049" s="14" t="n">
        <v>2</v>
      </c>
      <c r="F1049" s="17" t="n">
        <v>34</v>
      </c>
      <c r="G1049" s="15" t="n">
        <v>0.749213186831824</v>
      </c>
      <c r="H1049" s="16" t="n">
        <v>1.85436770913357</v>
      </c>
    </row>
    <row r="1050">
      <c r="A1050" t="s">
        <v>32</v>
      </c>
      <c r="B1050" t="s">
        <v>714</v>
      </c>
      <c r="C1050" t="s">
        <v>715</v>
      </c>
      <c r="D1050" t="s">
        <v>1388</v>
      </c>
      <c r="E1050" s="14" t="n">
        <v>0.5</v>
      </c>
      <c r="F1050" s="17" t="n">
        <v>109</v>
      </c>
      <c r="G1050" s="15" t="n">
        <v>-0.394005376803361</v>
      </c>
      <c r="H1050" s="16" t="n">
        <v>-0.307830737662829</v>
      </c>
    </row>
    <row r="1051">
      <c r="A1051" t="s">
        <v>32</v>
      </c>
      <c r="B1051" t="s">
        <v>714</v>
      </c>
      <c r="C1051" t="s">
        <v>716</v>
      </c>
      <c r="D1051" t="s">
        <v>1388</v>
      </c>
      <c r="E1051" s="14" t="n">
        <v>0.5</v>
      </c>
      <c r="F1051" s="17" t="n">
        <v>77</v>
      </c>
      <c r="G1051" s="15" t="n">
        <v>-0.449397023149583</v>
      </c>
      <c r="H1051" s="16" t="n">
        <v>0.219185573394539</v>
      </c>
    </row>
    <row r="1052">
      <c r="A1052" t="s">
        <v>30</v>
      </c>
      <c r="B1052" t="s">
        <v>1407</v>
      </c>
      <c r="C1052" t="s">
        <v>1408</v>
      </c>
      <c r="D1052" t="s">
        <v>1388</v>
      </c>
      <c r="E1052" s="14" t="n">
        <v>0.75</v>
      </c>
      <c r="F1052" s="17" t="n">
        <v>26</v>
      </c>
      <c r="G1052" s="15" t="n">
        <v>0.461746106494244</v>
      </c>
      <c r="H1052" s="16" t="n">
        <v>0.591008065205041</v>
      </c>
    </row>
    <row r="1053">
      <c r="A1053" t="s">
        <v>30</v>
      </c>
      <c r="B1053" t="s">
        <v>1407</v>
      </c>
      <c r="C1053" t="s">
        <v>1409</v>
      </c>
      <c r="D1053" t="s">
        <v>1388</v>
      </c>
      <c r="E1053" s="14" t="n">
        <v>1</v>
      </c>
      <c r="F1053" s="17" t="n">
        <v>149</v>
      </c>
      <c r="G1053" s="15" t="n">
        <v>0.46947156278589</v>
      </c>
      <c r="H1053" s="16" t="n">
        <v>-0.882947592858927</v>
      </c>
    </row>
    <row r="1054">
      <c r="A1054" t="s">
        <v>31</v>
      </c>
      <c r="B1054" t="s">
        <v>717</v>
      </c>
      <c r="C1054" t="s">
        <v>718</v>
      </c>
      <c r="D1054" t="s">
        <v>1388</v>
      </c>
      <c r="E1054" s="14" t="n">
        <v>0.25</v>
      </c>
      <c r="F1054" s="17" t="n">
        <v>77</v>
      </c>
      <c r="G1054" s="15" t="n">
        <v>-0.224698511574792</v>
      </c>
      <c r="H1054" s="16" t="n">
        <v>0.109592786697269</v>
      </c>
    </row>
    <row r="1055">
      <c r="A1055" t="s">
        <v>30</v>
      </c>
      <c r="B1055" t="s">
        <v>719</v>
      </c>
      <c r="C1055" t="s">
        <v>720</v>
      </c>
      <c r="D1055" t="s">
        <v>1388</v>
      </c>
      <c r="E1055" s="14" t="n">
        <v>1</v>
      </c>
      <c r="F1055" s="17" t="n">
        <v>11</v>
      </c>
      <c r="G1055" s="15" t="n">
        <v>0.927183854566787</v>
      </c>
      <c r="H1055" s="16" t="n">
        <v>0.374606593415912</v>
      </c>
    </row>
    <row r="1056">
      <c r="A1056" t="s">
        <v>30</v>
      </c>
      <c r="B1056" t="s">
        <v>719</v>
      </c>
      <c r="C1056" t="s">
        <v>721</v>
      </c>
      <c r="D1056" t="s">
        <v>1388</v>
      </c>
      <c r="E1056" s="14" t="n">
        <v>1</v>
      </c>
      <c r="F1056" s="17" t="n">
        <v>173</v>
      </c>
      <c r="G1056" s="15" t="n">
        <v>0.970295726275996</v>
      </c>
      <c r="H1056" s="16" t="n">
        <v>-0.241921895599668</v>
      </c>
    </row>
    <row r="1057">
      <c r="A1057" t="s">
        <v>30</v>
      </c>
      <c r="B1057" t="s">
        <v>722</v>
      </c>
      <c r="C1057" t="s">
        <v>723</v>
      </c>
      <c r="D1057" t="s">
        <v>1388</v>
      </c>
      <c r="E1057" s="14" t="n">
        <v>1</v>
      </c>
      <c r="F1057" s="17" t="n">
        <v>80</v>
      </c>
      <c r="G1057" s="15" t="n">
        <v>-0.939692620785908</v>
      </c>
      <c r="H1057" s="16" t="n">
        <v>0.342020143325669</v>
      </c>
    </row>
    <row r="1058">
      <c r="A1058" t="s">
        <v>30</v>
      </c>
      <c r="B1058" t="s">
        <v>722</v>
      </c>
      <c r="C1058" t="s">
        <v>724</v>
      </c>
      <c r="D1058" t="s">
        <v>1388</v>
      </c>
      <c r="E1058" s="14" t="n">
        <v>1.25</v>
      </c>
      <c r="F1058" s="17" t="n">
        <v>80</v>
      </c>
      <c r="G1058" s="15" t="n">
        <v>-1.17461577598239</v>
      </c>
      <c r="H1058" s="16" t="n">
        <v>0.427525179157086</v>
      </c>
    </row>
    <row r="1059">
      <c r="A1059" t="s">
        <v>32</v>
      </c>
      <c r="B1059" t="s">
        <v>725</v>
      </c>
      <c r="C1059" t="s">
        <v>726</v>
      </c>
      <c r="D1059" t="s">
        <v>1388</v>
      </c>
      <c r="E1059" s="14" t="n">
        <v>1.75</v>
      </c>
      <c r="F1059" s="17" t="n">
        <v>108</v>
      </c>
      <c r="G1059" s="15" t="n">
        <v>-1.41577974015616</v>
      </c>
      <c r="H1059" s="16" t="n">
        <v>-1.02862419151183</v>
      </c>
    </row>
    <row r="1060">
      <c r="A1060" t="s">
        <v>32</v>
      </c>
      <c r="B1060" t="s">
        <v>725</v>
      </c>
      <c r="C1060" t="s">
        <v>727</v>
      </c>
      <c r="D1060" t="s">
        <v>1388</v>
      </c>
      <c r="E1060" s="14" t="n">
        <v>1.25</v>
      </c>
      <c r="F1060" s="17" t="n">
        <v>81</v>
      </c>
      <c r="G1060" s="15" t="n">
        <v>-1.18882064536894</v>
      </c>
      <c r="H1060" s="16" t="n">
        <v>0.386271242968684</v>
      </c>
    </row>
    <row r="1061">
      <c r="A1061" t="s">
        <v>30</v>
      </c>
      <c r="B1061" t="s">
        <v>728</v>
      </c>
      <c r="C1061" t="s">
        <v>729</v>
      </c>
      <c r="D1061" t="s">
        <v>1388</v>
      </c>
      <c r="E1061" s="14" t="n">
        <v>1.5</v>
      </c>
      <c r="F1061" s="17" t="n">
        <v>70</v>
      </c>
      <c r="G1061" s="15" t="n">
        <v>-1.14906666467847</v>
      </c>
      <c r="H1061" s="16" t="n">
        <v>0.964181414529809</v>
      </c>
    </row>
    <row r="1062">
      <c r="A1062" t="s">
        <v>30</v>
      </c>
      <c r="B1062" t="s">
        <v>728</v>
      </c>
      <c r="C1062" t="s">
        <v>730</v>
      </c>
      <c r="D1062" t="s">
        <v>1388</v>
      </c>
      <c r="E1062" s="14" t="n">
        <v>0.5</v>
      </c>
      <c r="F1062" s="17" t="n">
        <v>101</v>
      </c>
      <c r="G1062" s="15" t="n">
        <v>-0.463591927283394</v>
      </c>
      <c r="H1062" s="16" t="n">
        <v>-0.187303296707956</v>
      </c>
    </row>
    <row r="1063">
      <c r="A1063" t="s">
        <v>30</v>
      </c>
      <c r="B1063" t="s">
        <v>731</v>
      </c>
      <c r="C1063" t="s">
        <v>732</v>
      </c>
      <c r="D1063" t="s">
        <v>1388</v>
      </c>
      <c r="E1063" s="14" t="n">
        <v>0.75</v>
      </c>
      <c r="F1063" s="17" t="n">
        <v>109</v>
      </c>
      <c r="G1063" s="15" t="n">
        <v>-0.591008065205042</v>
      </c>
      <c r="H1063" s="16" t="n">
        <v>-0.461746106494244</v>
      </c>
    </row>
    <row r="1064">
      <c r="A1064" t="s">
        <v>30</v>
      </c>
      <c r="B1064" t="s">
        <v>731</v>
      </c>
      <c r="C1064" t="s">
        <v>733</v>
      </c>
      <c r="D1064" t="s">
        <v>1388</v>
      </c>
      <c r="E1064" s="14" t="n">
        <v>0.5</v>
      </c>
      <c r="F1064" s="17" t="n">
        <v>60</v>
      </c>
      <c r="G1064" s="15" t="n">
        <v>-0.25</v>
      </c>
      <c r="H1064" s="16" t="n">
        <v>0.433012701892219</v>
      </c>
    </row>
    <row r="1065">
      <c r="A1065" t="s">
        <v>30</v>
      </c>
      <c r="B1065" t="s">
        <v>734</v>
      </c>
      <c r="C1065" t="s">
        <v>735</v>
      </c>
      <c r="D1065" t="s">
        <v>1388</v>
      </c>
      <c r="E1065" s="14" t="n">
        <v>2.5</v>
      </c>
      <c r="F1065" s="17" t="n">
        <v>83</v>
      </c>
      <c r="G1065" s="15" t="n">
        <v>-2.42573931568999</v>
      </c>
      <c r="H1065" s="16" t="n">
        <v>0.604804738999169</v>
      </c>
    </row>
    <row r="1066">
      <c r="A1066" t="s">
        <v>30</v>
      </c>
      <c r="B1066" t="s">
        <v>734</v>
      </c>
      <c r="C1066" t="s">
        <v>736</v>
      </c>
      <c r="D1066" t="s">
        <v>1388</v>
      </c>
      <c r="E1066" s="14" t="n">
        <v>1.5</v>
      </c>
      <c r="F1066" s="17" t="n">
        <v>94</v>
      </c>
      <c r="G1066" s="15" t="n">
        <v>-1.48540210311236</v>
      </c>
      <c r="H1066" s="16" t="n">
        <v>-0.208759651440099</v>
      </c>
    </row>
    <row r="1067">
      <c r="A1067" t="s">
        <v>30</v>
      </c>
      <c r="B1067" t="s">
        <v>737</v>
      </c>
      <c r="C1067" t="s">
        <v>738</v>
      </c>
      <c r="D1067" t="s">
        <v>1388</v>
      </c>
      <c r="E1067" s="14" t="n">
        <v>1.25</v>
      </c>
      <c r="F1067" s="17" t="n">
        <v>134</v>
      </c>
      <c r="G1067" s="15" t="n">
        <v>-0.0436243708781259</v>
      </c>
      <c r="H1067" s="16" t="n">
        <v>-1.24923853377387</v>
      </c>
    </row>
    <row r="1068">
      <c r="A1068" t="s">
        <v>30</v>
      </c>
      <c r="B1068" t="s">
        <v>737</v>
      </c>
      <c r="C1068" t="s">
        <v>739</v>
      </c>
      <c r="D1068" t="s">
        <v>1388</v>
      </c>
      <c r="E1068" s="14" t="n">
        <v>0.5</v>
      </c>
      <c r="F1068" s="17" t="n">
        <v>52</v>
      </c>
      <c r="G1068" s="15" t="n">
        <v>-0.120960947799834</v>
      </c>
      <c r="H1068" s="16" t="n">
        <v>0.485147863137998</v>
      </c>
    </row>
    <row r="1069">
      <c r="A1069" t="s">
        <v>31</v>
      </c>
      <c r="B1069" t="s">
        <v>740</v>
      </c>
      <c r="C1069" t="s">
        <v>741</v>
      </c>
      <c r="D1069" t="s">
        <v>1388</v>
      </c>
      <c r="E1069" s="14" t="n">
        <v>0.5</v>
      </c>
      <c r="F1069" s="17" t="n">
        <v>103</v>
      </c>
      <c r="G1069" s="15" t="n">
        <v>-0.449397023149584</v>
      </c>
      <c r="H1069" s="16" t="n">
        <v>-0.219185573394539</v>
      </c>
    </row>
    <row r="1070">
      <c r="A1070" t="s">
        <v>31</v>
      </c>
      <c r="B1070" t="s">
        <v>740</v>
      </c>
      <c r="C1070" t="s">
        <v>742</v>
      </c>
      <c r="D1070" t="s">
        <v>1388</v>
      </c>
      <c r="E1070" s="14" t="n">
        <v>0.5</v>
      </c>
      <c r="F1070" s="17" t="n">
        <v>76</v>
      </c>
      <c r="G1070" s="15" t="n">
        <v>-0.441473796429463</v>
      </c>
      <c r="H1070" s="16" t="n">
        <v>0.234735781392945</v>
      </c>
    </row>
    <row r="1071">
      <c r="A1071" t="s">
        <v>32</v>
      </c>
      <c r="B1071" t="s">
        <v>743</v>
      </c>
      <c r="C1071" t="s">
        <v>744</v>
      </c>
      <c r="D1071" t="s">
        <v>1388</v>
      </c>
      <c r="E1071" s="14" t="n">
        <v>0.5</v>
      </c>
      <c r="F1071" s="17" t="n">
        <v>101</v>
      </c>
      <c r="G1071" s="15" t="n">
        <v>-0.463591927283394</v>
      </c>
      <c r="H1071" s="16" t="n">
        <v>-0.187303296707956</v>
      </c>
    </row>
    <row r="1072">
      <c r="A1072" t="s">
        <v>32</v>
      </c>
      <c r="B1072" t="s">
        <v>743</v>
      </c>
      <c r="C1072" t="s">
        <v>745</v>
      </c>
      <c r="D1072" t="s">
        <v>1388</v>
      </c>
      <c r="E1072" s="14" t="n">
        <v>1</v>
      </c>
      <c r="F1072" s="17" t="n">
        <v>69</v>
      </c>
      <c r="G1072" s="15" t="n">
        <v>-0.743144825477394</v>
      </c>
      <c r="H1072" s="16" t="n">
        <v>0.669130606358858</v>
      </c>
    </row>
    <row r="1073">
      <c r="A1073" t="s">
        <v>30</v>
      </c>
      <c r="B1073" t="s">
        <v>746</v>
      </c>
      <c r="C1073" t="s">
        <v>747</v>
      </c>
      <c r="D1073" t="s">
        <v>1388</v>
      </c>
      <c r="E1073" s="14" t="n">
        <v>0.5</v>
      </c>
      <c r="F1073" s="17" t="n">
        <v>32</v>
      </c>
      <c r="G1073" s="15" t="n">
        <v>0.219185573394539</v>
      </c>
      <c r="H1073" s="16" t="n">
        <v>0.449397023149584</v>
      </c>
    </row>
    <row r="1074">
      <c r="A1074" t="s">
        <v>32</v>
      </c>
      <c r="B1074" t="s">
        <v>748</v>
      </c>
      <c r="C1074" t="s">
        <v>749</v>
      </c>
      <c r="D1074" t="s">
        <v>1388</v>
      </c>
      <c r="E1074" s="14" t="n">
        <v>0.25</v>
      </c>
      <c r="F1074" s="17" t="n">
        <v>145</v>
      </c>
      <c r="G1074" s="15" t="n">
        <v>0.0855050358314172</v>
      </c>
      <c r="H1074" s="16" t="n">
        <v>-0.234923155196477</v>
      </c>
    </row>
    <row r="1075">
      <c r="A1075" t="s">
        <v>32</v>
      </c>
      <c r="B1075" t="s">
        <v>750</v>
      </c>
      <c r="C1075" t="s">
        <v>751</v>
      </c>
      <c r="D1075" t="s">
        <v>1388</v>
      </c>
      <c r="E1075" s="14" t="n">
        <v>1.5</v>
      </c>
      <c r="F1075" s="17" t="n">
        <v>120</v>
      </c>
      <c r="G1075" s="15" t="n">
        <v>-0.750000000000001</v>
      </c>
      <c r="H1075" s="16" t="n">
        <v>-1.29903810567666</v>
      </c>
    </row>
    <row r="1076">
      <c r="A1076" t="s">
        <v>32</v>
      </c>
      <c r="B1076" t="s">
        <v>750</v>
      </c>
      <c r="C1076" t="s">
        <v>752</v>
      </c>
      <c r="D1076" t="s">
        <v>1388</v>
      </c>
      <c r="E1076" s="14" t="n">
        <v>1.25</v>
      </c>
      <c r="F1076" s="17" t="n">
        <v>46</v>
      </c>
      <c r="G1076" s="15" t="n">
        <v>-0.0436243708781259</v>
      </c>
      <c r="H1076" s="16" t="n">
        <v>1.24923853377387</v>
      </c>
    </row>
    <row r="1077">
      <c r="A1077" t="s">
        <v>30</v>
      </c>
      <c r="B1077" t="s">
        <v>753</v>
      </c>
      <c r="C1077" t="s">
        <v>754</v>
      </c>
      <c r="D1077" t="s">
        <v>1388</v>
      </c>
      <c r="E1077" s="14" t="n">
        <v>0.5</v>
      </c>
      <c r="F1077" s="17" t="n">
        <v>101</v>
      </c>
      <c r="G1077" s="15" t="n">
        <v>-0.463591927283394</v>
      </c>
      <c r="H1077" s="16" t="n">
        <v>-0.187303296707956</v>
      </c>
    </row>
    <row r="1078">
      <c r="A1078" t="s">
        <v>30</v>
      </c>
      <c r="B1078" t="s">
        <v>753</v>
      </c>
      <c r="C1078" t="s">
        <v>755</v>
      </c>
      <c r="D1078" t="s">
        <v>1388</v>
      </c>
      <c r="E1078" s="14" t="n">
        <v>0.75</v>
      </c>
      <c r="F1078" s="17" t="n">
        <v>63</v>
      </c>
      <c r="G1078" s="15" t="n">
        <v>-0.440838939219355</v>
      </c>
      <c r="H1078" s="16" t="n">
        <v>0.606762745781211</v>
      </c>
    </row>
    <row r="1079">
      <c r="A1079" t="s">
        <v>30</v>
      </c>
      <c r="B1079" t="s">
        <v>756</v>
      </c>
      <c r="C1079" t="s">
        <v>757</v>
      </c>
      <c r="D1079" t="s">
        <v>1388</v>
      </c>
      <c r="E1079" s="14" t="n">
        <v>2.25</v>
      </c>
      <c r="F1079" s="17" t="n">
        <v>117</v>
      </c>
      <c r="G1079" s="15" t="n">
        <v>-1.32251681765806</v>
      </c>
      <c r="H1079" s="16" t="n">
        <v>-1.82028823734363</v>
      </c>
    </row>
    <row r="1080">
      <c r="A1080" t="s">
        <v>30</v>
      </c>
      <c r="B1080" t="s">
        <v>756</v>
      </c>
      <c r="C1080" t="s">
        <v>758</v>
      </c>
      <c r="D1080" t="s">
        <v>1388</v>
      </c>
      <c r="E1080" s="14" t="n">
        <v>2.25</v>
      </c>
      <c r="F1080" s="17" t="n">
        <v>62</v>
      </c>
      <c r="G1080" s="15" t="n">
        <v>-1.25818403280918</v>
      </c>
      <c r="H1080" s="16" t="n">
        <v>1.86533453824884</v>
      </c>
    </row>
    <row r="1081">
      <c r="A1081" t="s">
        <v>31</v>
      </c>
      <c r="B1081" t="s">
        <v>759</v>
      </c>
      <c r="C1081" t="s">
        <v>760</v>
      </c>
      <c r="D1081" t="s">
        <v>1388</v>
      </c>
      <c r="E1081" s="14" t="n">
        <v>0.5</v>
      </c>
      <c r="F1081" s="17" t="n">
        <v>38</v>
      </c>
      <c r="G1081" s="15" t="n">
        <v>0.120960947799834</v>
      </c>
      <c r="H1081" s="16" t="n">
        <v>0.485147863137998</v>
      </c>
    </row>
    <row r="1082">
      <c r="A1082" t="s">
        <v>31</v>
      </c>
      <c r="B1082" t="s">
        <v>759</v>
      </c>
      <c r="C1082" t="s">
        <v>761</v>
      </c>
      <c r="D1082" t="s">
        <v>1388</v>
      </c>
      <c r="E1082" s="14" t="n">
        <v>0.75</v>
      </c>
      <c r="F1082" s="17" t="n">
        <v>139</v>
      </c>
      <c r="G1082" s="15" t="n">
        <v>0.104379825720049</v>
      </c>
      <c r="H1082" s="16" t="n">
        <v>-0.742701051556178</v>
      </c>
    </row>
    <row r="1083">
      <c r="A1083" t="s">
        <v>32</v>
      </c>
      <c r="B1083" t="s">
        <v>762</v>
      </c>
      <c r="C1083" t="s">
        <v>763</v>
      </c>
      <c r="D1083" t="s">
        <v>1388</v>
      </c>
      <c r="E1083" s="14" t="n">
        <v>0.5</v>
      </c>
      <c r="F1083" s="17" t="n">
        <v>98</v>
      </c>
      <c r="G1083" s="15" t="n">
        <v>-0.48063084796916</v>
      </c>
      <c r="H1083" s="16" t="n">
        <v>-0.137818677908499</v>
      </c>
    </row>
    <row r="1084">
      <c r="A1084" t="s">
        <v>32</v>
      </c>
      <c r="B1084" t="s">
        <v>762</v>
      </c>
      <c r="C1084" t="s">
        <v>764</v>
      </c>
      <c r="D1084" t="s">
        <v>1388</v>
      </c>
      <c r="E1084" s="14" t="n">
        <v>0.5</v>
      </c>
      <c r="F1084" s="17" t="n">
        <v>73</v>
      </c>
      <c r="G1084" s="15" t="n">
        <v>-0.414518786277521</v>
      </c>
      <c r="H1084" s="16" t="n">
        <v>0.279596451735373</v>
      </c>
    </row>
    <row r="1085">
      <c r="A1085" t="s">
        <v>32</v>
      </c>
      <c r="B1085" t="s">
        <v>765</v>
      </c>
      <c r="C1085" t="s">
        <v>766</v>
      </c>
      <c r="D1085" t="s">
        <v>1388</v>
      </c>
      <c r="E1085" s="14" t="n">
        <v>1</v>
      </c>
      <c r="F1085" s="17" t="n">
        <v>160</v>
      </c>
      <c r="G1085" s="15" t="n">
        <v>0.766044443118978</v>
      </c>
      <c r="H1085" s="16" t="n">
        <v>-0.64278760968654</v>
      </c>
    </row>
    <row r="1086">
      <c r="A1086" t="s">
        <v>32</v>
      </c>
      <c r="B1086" t="s">
        <v>765</v>
      </c>
      <c r="C1086" t="s">
        <v>767</v>
      </c>
      <c r="D1086" t="s">
        <v>1388</v>
      </c>
      <c r="E1086" s="14" t="n">
        <v>1</v>
      </c>
      <c r="F1086" s="17" t="n">
        <v>17</v>
      </c>
      <c r="G1086" s="15" t="n">
        <v>0.829037572555042</v>
      </c>
      <c r="H1086" s="16" t="n">
        <v>0.559192903470747</v>
      </c>
    </row>
    <row r="1087">
      <c r="A1087" t="s">
        <v>30</v>
      </c>
      <c r="B1087" t="s">
        <v>768</v>
      </c>
      <c r="C1087" t="s">
        <v>769</v>
      </c>
      <c r="D1087" t="s">
        <v>1388</v>
      </c>
      <c r="E1087" s="14" t="n">
        <v>0.75</v>
      </c>
      <c r="F1087" s="17" t="n">
        <v>75</v>
      </c>
      <c r="G1087" s="15" t="n">
        <v>-0.649519052838329</v>
      </c>
      <c r="H1087" s="16" t="n">
        <v>0.375</v>
      </c>
    </row>
    <row r="1088">
      <c r="A1088" t="s">
        <v>30</v>
      </c>
      <c r="B1088" t="s">
        <v>768</v>
      </c>
      <c r="C1088" t="s">
        <v>770</v>
      </c>
      <c r="D1088" t="s">
        <v>1388</v>
      </c>
      <c r="E1088" s="14" t="n">
        <v>2</v>
      </c>
      <c r="F1088" s="17" t="n">
        <v>114</v>
      </c>
      <c r="G1088" s="15" t="n">
        <v>-1.33826121271772</v>
      </c>
      <c r="H1088" s="16" t="n">
        <v>-1.48628965095479</v>
      </c>
    </row>
    <row r="1089">
      <c r="A1089" t="s">
        <v>32</v>
      </c>
      <c r="B1089" t="s">
        <v>1410</v>
      </c>
      <c r="C1089" t="s">
        <v>1411</v>
      </c>
      <c r="D1089" t="s">
        <v>1388</v>
      </c>
      <c r="E1089" s="14" t="n">
        <v>1.5</v>
      </c>
      <c r="F1089" s="17" t="n">
        <v>132</v>
      </c>
      <c r="G1089" s="15" t="n">
        <v>-0.156792694901481</v>
      </c>
      <c r="H1089" s="16" t="n">
        <v>-1.49178284305241</v>
      </c>
    </row>
    <row r="1090">
      <c r="A1090" t="s">
        <v>31</v>
      </c>
      <c r="B1090" t="s">
        <v>771</v>
      </c>
      <c r="C1090" t="s">
        <v>772</v>
      </c>
      <c r="D1090" t="s">
        <v>1388</v>
      </c>
      <c r="E1090" s="14" t="n">
        <v>0.5</v>
      </c>
      <c r="F1090" s="17" t="n">
        <v>61</v>
      </c>
      <c r="G1090" s="15" t="n">
        <v>-0.264959632116602</v>
      </c>
      <c r="H1090" s="16" t="n">
        <v>0.424024048078213</v>
      </c>
    </row>
    <row r="1091">
      <c r="A1091" t="s">
        <v>31</v>
      </c>
      <c r="B1091" t="s">
        <v>771</v>
      </c>
      <c r="C1091" t="s">
        <v>773</v>
      </c>
      <c r="D1091" t="s">
        <v>1388</v>
      </c>
      <c r="E1091" s="14" t="n">
        <v>0.5</v>
      </c>
      <c r="F1091" s="17" t="n">
        <v>96</v>
      </c>
      <c r="G1091" s="15" t="n">
        <v>-0.489073800366903</v>
      </c>
      <c r="H1091" s="16" t="n">
        <v>-0.10395584540888</v>
      </c>
    </row>
    <row r="1092">
      <c r="A1092" t="s">
        <v>30</v>
      </c>
      <c r="B1092" t="s">
        <v>774</v>
      </c>
      <c r="C1092" t="s">
        <v>775</v>
      </c>
      <c r="D1092" t="s">
        <v>1388</v>
      </c>
      <c r="E1092" s="14" t="n">
        <v>1</v>
      </c>
      <c r="F1092" s="17" t="n">
        <v>111</v>
      </c>
      <c r="G1092" s="15" t="n">
        <v>-0.743144825477394</v>
      </c>
      <c r="H1092" s="16" t="n">
        <v>-0.669130606358858</v>
      </c>
    </row>
    <row r="1093">
      <c r="A1093" t="s">
        <v>30</v>
      </c>
      <c r="B1093" t="s">
        <v>774</v>
      </c>
      <c r="C1093" t="s">
        <v>776</v>
      </c>
      <c r="D1093" t="s">
        <v>1388</v>
      </c>
      <c r="E1093" s="14" t="n">
        <v>1.75</v>
      </c>
      <c r="F1093" s="17" t="n">
        <v>74</v>
      </c>
      <c r="G1093" s="15" t="n">
        <v>-1.48408416827375</v>
      </c>
      <c r="H1093" s="16" t="n">
        <v>0.927358712408109</v>
      </c>
    </row>
    <row r="1094">
      <c r="A1094" t="s">
        <v>32</v>
      </c>
      <c r="B1094" t="s">
        <v>777</v>
      </c>
      <c r="C1094" t="s">
        <v>778</v>
      </c>
      <c r="D1094" t="s">
        <v>1388</v>
      </c>
      <c r="E1094" s="14" t="n">
        <v>0.25</v>
      </c>
      <c r="F1094" s="17" t="n">
        <v>58</v>
      </c>
      <c r="G1094" s="15" t="n">
        <v>-0.109592786697269</v>
      </c>
      <c r="H1094" s="16" t="n">
        <v>0.224698511574792</v>
      </c>
    </row>
    <row r="1095">
      <c r="A1095" t="s">
        <v>32</v>
      </c>
      <c r="B1095" t="s">
        <v>777</v>
      </c>
      <c r="C1095" t="s">
        <v>779</v>
      </c>
      <c r="D1095" t="s">
        <v>1388</v>
      </c>
      <c r="E1095" s="14" t="n">
        <v>0.5</v>
      </c>
      <c r="F1095" s="17" t="n">
        <v>133</v>
      </c>
      <c r="G1095" s="15" t="n">
        <v>-0.0348782368720628</v>
      </c>
      <c r="H1095" s="16" t="n">
        <v>-0.498782025129912</v>
      </c>
    </row>
    <row r="1096">
      <c r="A1096" t="s">
        <v>30</v>
      </c>
      <c r="B1096" t="s">
        <v>1412</v>
      </c>
      <c r="C1096" t="s">
        <v>1413</v>
      </c>
      <c r="D1096" t="s">
        <v>1388</v>
      </c>
      <c r="E1096" s="14" t="n">
        <v>0.75</v>
      </c>
      <c r="F1096" s="17" t="n">
        <v>99</v>
      </c>
      <c r="G1096" s="15" t="n">
        <v>-0.713292387221365</v>
      </c>
      <c r="H1096" s="16" t="n">
        <v>-0.231762745781211</v>
      </c>
    </row>
    <row r="1097">
      <c r="A1097" t="s">
        <v>30</v>
      </c>
      <c r="B1097" t="s">
        <v>780</v>
      </c>
      <c r="C1097" t="s">
        <v>781</v>
      </c>
      <c r="D1097" t="s">
        <v>1388</v>
      </c>
      <c r="E1097" s="14" t="n">
        <v>0.5</v>
      </c>
      <c r="F1097" s="17" t="n">
        <v>84</v>
      </c>
      <c r="G1097" s="15" t="n">
        <v>-0.489073800366903</v>
      </c>
      <c r="H1097" s="16" t="n">
        <v>0.10395584540888</v>
      </c>
    </row>
    <row r="1098">
      <c r="A1098" t="s">
        <v>30</v>
      </c>
      <c r="B1098" t="s">
        <v>780</v>
      </c>
      <c r="C1098" t="s">
        <v>782</v>
      </c>
      <c r="D1098" t="s">
        <v>1388</v>
      </c>
      <c r="E1098" s="14" t="n">
        <v>0.5</v>
      </c>
      <c r="F1098" s="17" t="n">
        <v>92</v>
      </c>
      <c r="G1098" s="15" t="n">
        <v>-0.498782025129912</v>
      </c>
      <c r="H1098" s="16" t="n">
        <v>-0.0348782368720625</v>
      </c>
    </row>
    <row r="1099">
      <c r="A1099" t="s">
        <v>30</v>
      </c>
      <c r="B1099" t="s">
        <v>783</v>
      </c>
      <c r="C1099" t="s">
        <v>784</v>
      </c>
      <c r="D1099" t="s">
        <v>1388</v>
      </c>
      <c r="E1099" s="14" t="n">
        <v>0.5</v>
      </c>
      <c r="F1099" s="17" t="n">
        <v>108</v>
      </c>
      <c r="G1099" s="15" t="n">
        <v>-0.404508497187474</v>
      </c>
      <c r="H1099" s="16" t="n">
        <v>-0.293892626146237</v>
      </c>
    </row>
    <row r="1100">
      <c r="A1100" t="s">
        <v>30</v>
      </c>
      <c r="B1100" t="s">
        <v>783</v>
      </c>
      <c r="C1100" t="s">
        <v>785</v>
      </c>
      <c r="D1100" t="s">
        <v>1388</v>
      </c>
      <c r="E1100" s="14" t="n">
        <v>0.75</v>
      </c>
      <c r="F1100" s="17" t="n">
        <v>81</v>
      </c>
      <c r="G1100" s="15" t="n">
        <v>-0.713292387221365</v>
      </c>
      <c r="H1100" s="16" t="n">
        <v>0.231762745781211</v>
      </c>
    </row>
    <row r="1101">
      <c r="A1101" t="s">
        <v>31</v>
      </c>
      <c r="B1101" t="s">
        <v>786</v>
      </c>
      <c r="C1101" t="s">
        <v>787</v>
      </c>
      <c r="D1101" t="s">
        <v>1388</v>
      </c>
      <c r="E1101" s="14" t="n">
        <v>1</v>
      </c>
      <c r="F1101" s="17" t="n">
        <v>91</v>
      </c>
      <c r="G1101" s="15" t="n">
        <v>-0.999390827019096</v>
      </c>
      <c r="H1101" s="16" t="n">
        <v>-0.0348994967025011</v>
      </c>
    </row>
    <row r="1102">
      <c r="A1102" t="s">
        <v>31</v>
      </c>
      <c r="B1102" t="s">
        <v>786</v>
      </c>
      <c r="C1102" t="s">
        <v>788</v>
      </c>
      <c r="D1102" t="s">
        <v>1388</v>
      </c>
      <c r="E1102" s="14" t="n">
        <v>1</v>
      </c>
      <c r="F1102" s="17" t="n">
        <v>76</v>
      </c>
      <c r="G1102" s="15" t="n">
        <v>-0.882947592858927</v>
      </c>
      <c r="H1102" s="16" t="n">
        <v>0.469471562785891</v>
      </c>
    </row>
    <row r="1103">
      <c r="A1103" t="s">
        <v>31</v>
      </c>
      <c r="B1103" t="s">
        <v>789</v>
      </c>
      <c r="C1103" t="s">
        <v>790</v>
      </c>
      <c r="D1103" t="s">
        <v>1388</v>
      </c>
      <c r="E1103" s="14" t="n">
        <v>0.75</v>
      </c>
      <c r="F1103" s="17" t="n">
        <v>76</v>
      </c>
      <c r="G1103" s="15" t="n">
        <v>-0.662210694644195</v>
      </c>
      <c r="H1103" s="16" t="n">
        <v>0.352103672089418</v>
      </c>
    </row>
    <row r="1104">
      <c r="A1104" t="s">
        <v>31</v>
      </c>
      <c r="B1104" t="s">
        <v>789</v>
      </c>
      <c r="C1104" t="s">
        <v>791</v>
      </c>
      <c r="D1104" t="s">
        <v>1388</v>
      </c>
      <c r="E1104" s="14" t="n">
        <v>1</v>
      </c>
      <c r="F1104" s="17" t="n">
        <v>104</v>
      </c>
      <c r="G1104" s="15" t="n">
        <v>-0.882947592858927</v>
      </c>
      <c r="H1104" s="16" t="n">
        <v>-0.469471562785891</v>
      </c>
    </row>
    <row r="1105">
      <c r="A1105" t="s">
        <v>32</v>
      </c>
      <c r="B1105" t="s">
        <v>792</v>
      </c>
      <c r="C1105" t="s">
        <v>793</v>
      </c>
      <c r="D1105" t="s">
        <v>1388</v>
      </c>
      <c r="E1105" s="14" t="n">
        <v>1.5</v>
      </c>
      <c r="F1105" s="17" t="n">
        <v>176</v>
      </c>
      <c r="G1105" s="15" t="n">
        <v>1.48540210311236</v>
      </c>
      <c r="H1105" s="16" t="n">
        <v>-0.208759651440098</v>
      </c>
    </row>
    <row r="1106">
      <c r="A1106" t="s">
        <v>32</v>
      </c>
      <c r="B1106" t="s">
        <v>792</v>
      </c>
      <c r="C1106" t="s">
        <v>794</v>
      </c>
      <c r="D1106" t="s">
        <v>1388</v>
      </c>
      <c r="E1106" s="14" t="n">
        <v>2</v>
      </c>
      <c r="F1106" s="17" t="n">
        <v>174</v>
      </c>
      <c r="G1106" s="15" t="n">
        <v>1.95629520146761</v>
      </c>
      <c r="H1106" s="16" t="n">
        <v>-0.415823381635519</v>
      </c>
    </row>
    <row r="1107">
      <c r="A1107" t="s">
        <v>32</v>
      </c>
      <c r="B1107" t="s">
        <v>795</v>
      </c>
      <c r="C1107" t="s">
        <v>796</v>
      </c>
      <c r="D1107" t="s">
        <v>1388</v>
      </c>
      <c r="E1107" s="14" t="n">
        <v>0.25</v>
      </c>
      <c r="F1107" s="17" t="n">
        <v>96</v>
      </c>
      <c r="G1107" s="15" t="n">
        <v>-0.244536900183451</v>
      </c>
      <c r="H1107" s="16" t="n">
        <v>-0.0519779227044398</v>
      </c>
    </row>
    <row r="1108">
      <c r="A1108" t="s">
        <v>32</v>
      </c>
      <c r="B1108" t="s">
        <v>795</v>
      </c>
      <c r="C1108" t="s">
        <v>797</v>
      </c>
      <c r="D1108" t="s">
        <v>1388</v>
      </c>
      <c r="E1108" s="14" t="n">
        <v>0.75</v>
      </c>
      <c r="F1108" s="17" t="n">
        <v>77</v>
      </c>
      <c r="G1108" s="15" t="n">
        <v>-0.674095534724375</v>
      </c>
      <c r="H1108" s="16" t="n">
        <v>0.328778360091808</v>
      </c>
    </row>
    <row r="1109">
      <c r="A1109" t="s">
        <v>31</v>
      </c>
      <c r="B1109" t="s">
        <v>798</v>
      </c>
      <c r="C1109" t="s">
        <v>799</v>
      </c>
      <c r="D1109" t="s">
        <v>1388</v>
      </c>
      <c r="E1109" s="14" t="n">
        <v>1.25</v>
      </c>
      <c r="F1109" s="17" t="n">
        <v>67</v>
      </c>
      <c r="G1109" s="15" t="n">
        <v>-0.868322963073747</v>
      </c>
      <c r="H1109" s="16" t="n">
        <v>0.899174750423314</v>
      </c>
    </row>
    <row r="1110">
      <c r="A1110" t="s">
        <v>31</v>
      </c>
      <c r="B1110" t="s">
        <v>798</v>
      </c>
      <c r="C1110" t="s">
        <v>800</v>
      </c>
      <c r="D1110" t="s">
        <v>1388</v>
      </c>
      <c r="E1110" s="14" t="n">
        <v>0.25</v>
      </c>
      <c r="F1110" s="17" t="n">
        <v>103</v>
      </c>
      <c r="G1110" s="15" t="n">
        <v>-0.224698511574792</v>
      </c>
      <c r="H1110" s="16" t="n">
        <v>-0.109592786697269</v>
      </c>
    </row>
    <row r="1111">
      <c r="A1111" t="s">
        <v>31</v>
      </c>
      <c r="B1111" t="s">
        <v>801</v>
      </c>
      <c r="C1111" t="s">
        <v>802</v>
      </c>
      <c r="D1111" t="s">
        <v>1388</v>
      </c>
      <c r="E1111" s="14" t="n">
        <v>1.75</v>
      </c>
      <c r="F1111" s="17" t="n">
        <v>97</v>
      </c>
      <c r="G1111" s="15" t="n">
        <v>-1.69801752098299</v>
      </c>
      <c r="H1111" s="16" t="n">
        <v>-0.423363317299419</v>
      </c>
    </row>
    <row r="1112">
      <c r="A1112" t="s">
        <v>31</v>
      </c>
      <c r="B1112" t="s">
        <v>801</v>
      </c>
      <c r="C1112" t="s">
        <v>803</v>
      </c>
      <c r="D1112" t="s">
        <v>1388</v>
      </c>
      <c r="E1112" s="14" t="n">
        <v>1</v>
      </c>
      <c r="F1112" s="17" t="n">
        <v>90</v>
      </c>
      <c r="G1112" s="15" t="n">
        <v>-1</v>
      </c>
      <c r="H1112" s="16" t="n">
        <v>0</v>
      </c>
    </row>
    <row r="1113">
      <c r="A1113" t="s">
        <v>31</v>
      </c>
      <c r="B1113" t="s">
        <v>804</v>
      </c>
      <c r="C1113" t="s">
        <v>805</v>
      </c>
      <c r="D1113" t="s">
        <v>1388</v>
      </c>
      <c r="E1113" s="14" t="n">
        <v>0.5</v>
      </c>
      <c r="F1113" s="17" t="n">
        <v>107</v>
      </c>
      <c r="G1113" s="15" t="n">
        <v>-0.414518786277521</v>
      </c>
      <c r="H1113" s="16" t="n">
        <v>-0.279596451735373</v>
      </c>
    </row>
    <row r="1114">
      <c r="A1114" t="s">
        <v>31</v>
      </c>
      <c r="B1114" t="s">
        <v>806</v>
      </c>
      <c r="C1114" t="s">
        <v>807</v>
      </c>
      <c r="D1114" t="s">
        <v>1388</v>
      </c>
      <c r="E1114" s="14" t="n">
        <v>0.25</v>
      </c>
      <c r="F1114" s="17" t="n">
        <v>4</v>
      </c>
      <c r="G1114" s="15" t="n">
        <v>0.247567017185393</v>
      </c>
      <c r="H1114" s="16" t="n">
        <v>0.0347932752400164</v>
      </c>
    </row>
    <row r="1115">
      <c r="A1115" t="s">
        <v>31</v>
      </c>
      <c r="B1115" t="s">
        <v>806</v>
      </c>
      <c r="C1115" t="s">
        <v>808</v>
      </c>
      <c r="D1115" t="s">
        <v>1388</v>
      </c>
      <c r="E1115" s="14" t="n">
        <v>0.25</v>
      </c>
      <c r="F1115" s="17" t="n">
        <v>179</v>
      </c>
      <c r="G1115" s="15" t="n">
        <v>0.249847706754774</v>
      </c>
      <c r="H1115" s="16" t="n">
        <v>-0.00872487417562521</v>
      </c>
    </row>
    <row r="1116">
      <c r="A1116" t="s">
        <v>32</v>
      </c>
      <c r="B1116" t="s">
        <v>809</v>
      </c>
      <c r="C1116" t="s">
        <v>810</v>
      </c>
      <c r="D1116" t="s">
        <v>1388</v>
      </c>
      <c r="E1116" s="14" t="n">
        <v>1.5</v>
      </c>
      <c r="F1116" s="17" t="n">
        <v>124</v>
      </c>
      <c r="G1116" s="15" t="n">
        <v>-0.561909890123868</v>
      </c>
      <c r="H1116" s="16" t="n">
        <v>-1.39077578185018</v>
      </c>
    </row>
    <row r="1117">
      <c r="A1117" t="s">
        <v>32</v>
      </c>
      <c r="B1117" t="s">
        <v>809</v>
      </c>
      <c r="C1117" t="s">
        <v>811</v>
      </c>
      <c r="D1117" t="s">
        <v>1388</v>
      </c>
      <c r="E1117" s="14" t="n">
        <v>0.5</v>
      </c>
      <c r="F1117" s="17" t="n">
        <v>55</v>
      </c>
      <c r="G1117" s="15" t="n">
        <v>-0.171010071662834</v>
      </c>
      <c r="H1117" s="16" t="n">
        <v>0.469846310392954</v>
      </c>
    </row>
    <row r="1118">
      <c r="A1118" t="s">
        <v>30</v>
      </c>
      <c r="B1118" t="s">
        <v>812</v>
      </c>
      <c r="C1118" t="s">
        <v>813</v>
      </c>
      <c r="D1118" t="s">
        <v>1388</v>
      </c>
      <c r="E1118" s="14" t="n">
        <v>1</v>
      </c>
      <c r="F1118" s="17" t="n">
        <v>66</v>
      </c>
      <c r="G1118" s="15" t="n">
        <v>-0.669130606358858</v>
      </c>
      <c r="H1118" s="16" t="n">
        <v>0.743144825477394</v>
      </c>
    </row>
    <row r="1119">
      <c r="A1119" t="s">
        <v>30</v>
      </c>
      <c r="B1119" t="s">
        <v>812</v>
      </c>
      <c r="C1119" t="s">
        <v>814</v>
      </c>
      <c r="D1119" t="s">
        <v>1388</v>
      </c>
      <c r="E1119" s="14" t="n">
        <v>1.25</v>
      </c>
      <c r="F1119" s="17" t="n">
        <v>97</v>
      </c>
      <c r="G1119" s="15" t="n">
        <v>-1.212869657845</v>
      </c>
      <c r="H1119" s="16" t="n">
        <v>-0.302402369499585</v>
      </c>
    </row>
    <row r="1120">
      <c r="A1120" t="s">
        <v>30</v>
      </c>
      <c r="B1120" t="s">
        <v>815</v>
      </c>
      <c r="C1120" t="s">
        <v>816</v>
      </c>
      <c r="D1120" t="s">
        <v>1388</v>
      </c>
      <c r="E1120" s="14" t="n">
        <v>0.25</v>
      </c>
      <c r="F1120" s="17" t="n">
        <v>142</v>
      </c>
      <c r="G1120" s="15" t="n">
        <v>0.0604804738999169</v>
      </c>
      <c r="H1120" s="16" t="n">
        <v>-0.242573931568999</v>
      </c>
    </row>
    <row r="1121">
      <c r="A1121" t="s">
        <v>30</v>
      </c>
      <c r="B1121" t="s">
        <v>815</v>
      </c>
      <c r="C1121" t="s">
        <v>817</v>
      </c>
      <c r="D1121" t="s">
        <v>1388</v>
      </c>
      <c r="E1121" s="14" t="n">
        <v>0.25</v>
      </c>
      <c r="F1121" s="17" t="n">
        <v>43</v>
      </c>
      <c r="G1121" s="15" t="n">
        <v>0.0174391184360313</v>
      </c>
      <c r="H1121" s="16" t="n">
        <v>0.249391012564956</v>
      </c>
    </row>
    <row r="1122">
      <c r="A1122" t="s">
        <v>32</v>
      </c>
      <c r="B1122" t="s">
        <v>818</v>
      </c>
      <c r="C1122" t="s">
        <v>819</v>
      </c>
      <c r="D1122" t="s">
        <v>1388</v>
      </c>
      <c r="E1122" s="14" t="n">
        <v>1.25</v>
      </c>
      <c r="F1122" s="17" t="n">
        <v>92</v>
      </c>
      <c r="G1122" s="15" t="n">
        <v>-1.24695506282478</v>
      </c>
      <c r="H1122" s="16" t="n">
        <v>-0.0871955921801564</v>
      </c>
    </row>
    <row r="1123">
      <c r="A1123" t="s">
        <v>31</v>
      </c>
      <c r="B1123" t="s">
        <v>1414</v>
      </c>
      <c r="C1123" t="s">
        <v>1415</v>
      </c>
      <c r="D1123" t="s">
        <v>1388</v>
      </c>
      <c r="E1123" s="14" t="n">
        <v>0.75</v>
      </c>
      <c r="F1123" s="17" t="n">
        <v>81</v>
      </c>
      <c r="G1123" s="15" t="n">
        <v>-0.713292387221365</v>
      </c>
      <c r="H1123" s="16" t="n">
        <v>0.231762745781211</v>
      </c>
    </row>
    <row r="1124">
      <c r="A1124" t="s">
        <v>31</v>
      </c>
      <c r="B1124" t="s">
        <v>1414</v>
      </c>
      <c r="C1124" t="s">
        <v>1416</v>
      </c>
      <c r="D1124" t="s">
        <v>1388</v>
      </c>
      <c r="E1124" s="14" t="n">
        <v>1</v>
      </c>
      <c r="F1124" s="17" t="n">
        <v>88</v>
      </c>
      <c r="G1124" s="15" t="n">
        <v>-0.997564050259824</v>
      </c>
      <c r="H1124" s="16" t="n">
        <v>0.0697564737441255</v>
      </c>
    </row>
    <row r="1125">
      <c r="A1125" t="s">
        <v>31</v>
      </c>
      <c r="B1125" t="s">
        <v>820</v>
      </c>
      <c r="C1125" t="s">
        <v>821</v>
      </c>
      <c r="D1125" t="s">
        <v>1388</v>
      </c>
      <c r="E1125" s="14" t="n">
        <v>0.5</v>
      </c>
      <c r="F1125" s="17" t="n">
        <v>62</v>
      </c>
      <c r="G1125" s="15" t="n">
        <v>-0.279596451735373</v>
      </c>
      <c r="H1125" s="16" t="n">
        <v>0.414518786277521</v>
      </c>
    </row>
    <row r="1126">
      <c r="A1126" t="s">
        <v>31</v>
      </c>
      <c r="B1126" t="s">
        <v>820</v>
      </c>
      <c r="C1126" t="s">
        <v>822</v>
      </c>
      <c r="D1126" t="s">
        <v>1388</v>
      </c>
      <c r="E1126" s="14" t="n">
        <v>0.5</v>
      </c>
      <c r="F1126" s="17" t="n">
        <v>133</v>
      </c>
      <c r="G1126" s="15" t="n">
        <v>-0.0348782368720628</v>
      </c>
      <c r="H1126" s="16" t="n">
        <v>-0.498782025129912</v>
      </c>
    </row>
    <row r="1127">
      <c r="A1127" t="s">
        <v>30</v>
      </c>
      <c r="B1127" t="s">
        <v>823</v>
      </c>
      <c r="C1127" t="s">
        <v>824</v>
      </c>
      <c r="D1127" t="s">
        <v>1388</v>
      </c>
      <c r="E1127" s="14" t="n">
        <v>0.5</v>
      </c>
      <c r="F1127" s="17" t="n">
        <v>86</v>
      </c>
      <c r="G1127" s="15" t="n">
        <v>-0.495134034370785</v>
      </c>
      <c r="H1127" s="16" t="n">
        <v>0.0695865504800327</v>
      </c>
    </row>
    <row r="1128">
      <c r="A1128" t="s">
        <v>30</v>
      </c>
      <c r="B1128" t="s">
        <v>823</v>
      </c>
      <c r="C1128" t="s">
        <v>825</v>
      </c>
      <c r="D1128" t="s">
        <v>1388</v>
      </c>
      <c r="E1128" s="14" t="n">
        <v>0.5</v>
      </c>
      <c r="F1128" s="17" t="n">
        <v>101</v>
      </c>
      <c r="G1128" s="15" t="n">
        <v>-0.463591927283394</v>
      </c>
      <c r="H1128" s="16" t="n">
        <v>-0.187303296707956</v>
      </c>
    </row>
    <row r="1129">
      <c r="A1129" t="s">
        <v>31</v>
      </c>
      <c r="B1129" t="s">
        <v>826</v>
      </c>
      <c r="C1129" t="s">
        <v>827</v>
      </c>
      <c r="D1129" t="s">
        <v>1388</v>
      </c>
      <c r="E1129" s="14" t="n">
        <v>0.25</v>
      </c>
      <c r="F1129" s="17" t="n">
        <v>94</v>
      </c>
      <c r="G1129" s="15" t="n">
        <v>-0.247567017185393</v>
      </c>
      <c r="H1129" s="16" t="n">
        <v>-0.0347932752400164</v>
      </c>
    </row>
    <row r="1130">
      <c r="A1130" t="s">
        <v>31</v>
      </c>
      <c r="B1130" t="s">
        <v>828</v>
      </c>
      <c r="C1130" t="s">
        <v>829</v>
      </c>
      <c r="D1130" t="s">
        <v>1388</v>
      </c>
      <c r="E1130" s="14" t="n">
        <v>0.5</v>
      </c>
      <c r="F1130" s="17" t="n">
        <v>51</v>
      </c>
      <c r="G1130" s="15" t="n">
        <v>-0.10395584540888</v>
      </c>
      <c r="H1130" s="16" t="n">
        <v>0.489073800366903</v>
      </c>
    </row>
    <row r="1131">
      <c r="A1131" t="s">
        <v>30</v>
      </c>
      <c r="B1131" t="s">
        <v>830</v>
      </c>
      <c r="C1131" t="s">
        <v>831</v>
      </c>
      <c r="D1131" t="s">
        <v>1388</v>
      </c>
      <c r="E1131" s="14" t="n">
        <v>1</v>
      </c>
      <c r="F1131" s="17" t="n">
        <v>10</v>
      </c>
      <c r="G1131" s="15" t="n">
        <v>0.939692620785908</v>
      </c>
      <c r="H1131" s="16" t="n">
        <v>0.342020143325669</v>
      </c>
    </row>
    <row r="1132">
      <c r="A1132" t="s">
        <v>30</v>
      </c>
      <c r="B1132" t="s">
        <v>830</v>
      </c>
      <c r="C1132" t="s">
        <v>832</v>
      </c>
      <c r="D1132" t="s">
        <v>1388</v>
      </c>
      <c r="E1132" s="14" t="n">
        <v>0.75</v>
      </c>
      <c r="F1132" s="17" t="n">
        <v>176</v>
      </c>
      <c r="G1132" s="15" t="n">
        <v>0.742701051556178</v>
      </c>
      <c r="H1132" s="16" t="n">
        <v>-0.104379825720049</v>
      </c>
    </row>
    <row r="1133">
      <c r="A1133" t="s">
        <v>30</v>
      </c>
      <c r="B1133" t="s">
        <v>1417</v>
      </c>
      <c r="C1133" t="s">
        <v>1418</v>
      </c>
      <c r="D1133" t="s">
        <v>1388</v>
      </c>
      <c r="E1133" s="14" t="n">
        <v>0.75</v>
      </c>
      <c r="F1133" s="17" t="n">
        <v>87</v>
      </c>
      <c r="G1133" s="15" t="n">
        <v>-0.745891421526205</v>
      </c>
      <c r="H1133" s="16" t="n">
        <v>0.0783963474507403</v>
      </c>
    </row>
    <row r="1134">
      <c r="A1134" t="s">
        <v>30</v>
      </c>
      <c r="B1134" t="s">
        <v>1417</v>
      </c>
      <c r="C1134" t="s">
        <v>1419</v>
      </c>
      <c r="D1134" t="s">
        <v>1388</v>
      </c>
      <c r="E1134" s="14" t="n">
        <v>0.5</v>
      </c>
      <c r="F1134" s="17" t="n">
        <v>109</v>
      </c>
      <c r="G1134" s="15" t="n">
        <v>-0.394005376803361</v>
      </c>
      <c r="H1134" s="16" t="n">
        <v>-0.307830737662829</v>
      </c>
    </row>
    <row r="1135">
      <c r="A1135" t="s">
        <v>32</v>
      </c>
      <c r="B1135" t="s">
        <v>833</v>
      </c>
      <c r="C1135" t="s">
        <v>834</v>
      </c>
      <c r="D1135" t="s">
        <v>1388</v>
      </c>
      <c r="E1135" s="14" t="n">
        <v>2.25</v>
      </c>
      <c r="F1135" s="17" t="n">
        <v>93</v>
      </c>
      <c r="G1135" s="15" t="n">
        <v>-2.23767426457861</v>
      </c>
      <c r="H1135" s="16" t="n">
        <v>-0.235189042352221</v>
      </c>
    </row>
    <row r="1136">
      <c r="A1136" t="s">
        <v>30</v>
      </c>
      <c r="B1136" t="s">
        <v>835</v>
      </c>
      <c r="C1136" t="s">
        <v>836</v>
      </c>
      <c r="D1136" t="s">
        <v>1388</v>
      </c>
      <c r="E1136" s="14" t="n">
        <v>3</v>
      </c>
      <c r="F1136" s="17" t="n">
        <v>68</v>
      </c>
      <c r="G1136" s="15" t="n">
        <v>-2.15801940101595</v>
      </c>
      <c r="H1136" s="16" t="n">
        <v>2.08397511137699</v>
      </c>
    </row>
    <row r="1137">
      <c r="A1137" t="s">
        <v>30</v>
      </c>
      <c r="B1137" t="s">
        <v>835</v>
      </c>
      <c r="C1137" t="s">
        <v>837</v>
      </c>
      <c r="D1137" t="s">
        <v>1388</v>
      </c>
      <c r="E1137" s="14" t="n">
        <v>1.75</v>
      </c>
      <c r="F1137" s="17" t="n">
        <v>114</v>
      </c>
      <c r="G1137" s="15" t="n">
        <v>-1.170978561128</v>
      </c>
      <c r="H1137" s="16" t="n">
        <v>-1.30050344458544</v>
      </c>
    </row>
    <row r="1138">
      <c r="A1138" t="s">
        <v>30</v>
      </c>
      <c r="B1138" t="s">
        <v>838</v>
      </c>
      <c r="C1138" t="s">
        <v>839</v>
      </c>
      <c r="D1138" t="s">
        <v>1388</v>
      </c>
      <c r="E1138" s="14" t="n">
        <v>1.25</v>
      </c>
      <c r="F1138" s="17" t="n">
        <v>89</v>
      </c>
      <c r="G1138" s="15" t="n">
        <v>-1.24923853377387</v>
      </c>
      <c r="H1138" s="16" t="n">
        <v>0.0436243708781264</v>
      </c>
    </row>
    <row r="1139">
      <c r="A1139" t="s">
        <v>31</v>
      </c>
      <c r="B1139" t="s">
        <v>840</v>
      </c>
      <c r="C1139" t="s">
        <v>841</v>
      </c>
      <c r="D1139" t="s">
        <v>1388</v>
      </c>
      <c r="E1139" s="14" t="n">
        <v>0.75</v>
      </c>
      <c r="F1139" s="17" t="n">
        <v>94</v>
      </c>
      <c r="G1139" s="15" t="n">
        <v>-0.742701051556178</v>
      </c>
      <c r="H1139" s="16" t="n">
        <v>-0.104379825720049</v>
      </c>
    </row>
    <row r="1140">
      <c r="A1140" t="s">
        <v>30</v>
      </c>
      <c r="B1140" t="s">
        <v>842</v>
      </c>
      <c r="C1140" t="s">
        <v>843</v>
      </c>
      <c r="D1140" t="s">
        <v>1388</v>
      </c>
      <c r="E1140" s="14" t="n">
        <v>0.5</v>
      </c>
      <c r="F1140" s="17" t="n">
        <v>108</v>
      </c>
      <c r="G1140" s="15" t="n">
        <v>-0.404508497187474</v>
      </c>
      <c r="H1140" s="16" t="n">
        <v>-0.293892626146237</v>
      </c>
    </row>
    <row r="1141">
      <c r="A1141" t="s">
        <v>30</v>
      </c>
      <c r="B1141" t="s">
        <v>842</v>
      </c>
      <c r="C1141" t="s">
        <v>844</v>
      </c>
      <c r="D1141" t="s">
        <v>1388</v>
      </c>
      <c r="E1141" s="14" t="n">
        <v>1</v>
      </c>
      <c r="F1141" s="17" t="n">
        <v>72</v>
      </c>
      <c r="G1141" s="15" t="n">
        <v>-0.809016994374947</v>
      </c>
      <c r="H1141" s="16" t="n">
        <v>0.587785252292473</v>
      </c>
    </row>
    <row r="1142">
      <c r="A1142" t="s">
        <v>32</v>
      </c>
      <c r="B1142" t="s">
        <v>845</v>
      </c>
      <c r="C1142" t="s">
        <v>846</v>
      </c>
      <c r="D1142" t="s">
        <v>1388</v>
      </c>
      <c r="E1142" s="14" t="n">
        <v>2</v>
      </c>
      <c r="F1142" s="17" t="n">
        <v>88</v>
      </c>
      <c r="G1142" s="15" t="n">
        <v>-1.99512810051965</v>
      </c>
      <c r="H1142" s="16" t="n">
        <v>0.139512947488251</v>
      </c>
    </row>
    <row r="1143">
      <c r="A1143" t="s">
        <v>32</v>
      </c>
      <c r="B1143" t="s">
        <v>845</v>
      </c>
      <c r="C1143" t="s">
        <v>847</v>
      </c>
      <c r="D1143" t="s">
        <v>1388</v>
      </c>
      <c r="E1143" s="14" t="n">
        <v>1.25</v>
      </c>
      <c r="F1143" s="17" t="n">
        <v>81</v>
      </c>
      <c r="G1143" s="15" t="n">
        <v>-1.18882064536894</v>
      </c>
      <c r="H1143" s="16" t="n">
        <v>0.386271242968684</v>
      </c>
    </row>
    <row r="1144">
      <c r="A1144" t="s">
        <v>31</v>
      </c>
      <c r="B1144" t="s">
        <v>1420</v>
      </c>
      <c r="C1144" t="s">
        <v>1421</v>
      </c>
      <c r="D1144" t="s">
        <v>1388</v>
      </c>
      <c r="E1144" s="14" t="n">
        <v>0.5</v>
      </c>
      <c r="F1144" s="17" t="n">
        <v>40</v>
      </c>
      <c r="G1144" s="15" t="n">
        <v>0.0868240888334652</v>
      </c>
      <c r="H1144" s="16" t="n">
        <v>0.492403876506104</v>
      </c>
    </row>
    <row r="1145">
      <c r="A1145" t="s">
        <v>31</v>
      </c>
      <c r="B1145" t="s">
        <v>1420</v>
      </c>
      <c r="C1145" t="s">
        <v>1422</v>
      </c>
      <c r="D1145" t="s">
        <v>1388</v>
      </c>
      <c r="E1145" s="14" t="n">
        <v>1</v>
      </c>
      <c r="F1145" s="17" t="n">
        <v>134</v>
      </c>
      <c r="G1145" s="15" t="n">
        <v>-0.0348994967025008</v>
      </c>
      <c r="H1145" s="16" t="n">
        <v>-0.999390827019096</v>
      </c>
    </row>
    <row r="1146">
      <c r="A1146" t="s">
        <v>31</v>
      </c>
      <c r="B1146" t="s">
        <v>848</v>
      </c>
      <c r="C1146" t="s">
        <v>849</v>
      </c>
      <c r="D1146" t="s">
        <v>1388</v>
      </c>
      <c r="E1146" s="14" t="n">
        <v>0.25</v>
      </c>
      <c r="F1146" s="17" t="n">
        <v>87</v>
      </c>
      <c r="G1146" s="15" t="n">
        <v>-0.248630473842068</v>
      </c>
      <c r="H1146" s="16" t="n">
        <v>0.0261321158169134</v>
      </c>
    </row>
    <row r="1147">
      <c r="A1147" t="s">
        <v>31</v>
      </c>
      <c r="B1147" t="s">
        <v>848</v>
      </c>
      <c r="C1147" t="s">
        <v>850</v>
      </c>
      <c r="D1147" t="s">
        <v>1388</v>
      </c>
      <c r="E1147" s="14" t="n">
        <v>1</v>
      </c>
      <c r="F1147" s="17" t="n">
        <v>96</v>
      </c>
      <c r="G1147" s="15" t="n">
        <v>-0.978147600733806</v>
      </c>
      <c r="H1147" s="16" t="n">
        <v>-0.207911690817759</v>
      </c>
    </row>
    <row r="1148">
      <c r="A1148" t="s">
        <v>31</v>
      </c>
      <c r="B1148" t="s">
        <v>851</v>
      </c>
      <c r="C1148" t="s">
        <v>852</v>
      </c>
      <c r="D1148" t="s">
        <v>1388</v>
      </c>
      <c r="E1148" s="14" t="n">
        <v>0.75</v>
      </c>
      <c r="F1148" s="17" t="n">
        <v>88</v>
      </c>
      <c r="G1148" s="15" t="n">
        <v>-0.748173037694868</v>
      </c>
      <c r="H1148" s="16" t="n">
        <v>0.0523173553080941</v>
      </c>
    </row>
    <row r="1149">
      <c r="A1149" t="s">
        <v>31</v>
      </c>
      <c r="B1149" t="s">
        <v>851</v>
      </c>
      <c r="C1149" t="s">
        <v>853</v>
      </c>
      <c r="D1149" t="s">
        <v>1388</v>
      </c>
      <c r="E1149" s="14" t="n">
        <v>0.5</v>
      </c>
      <c r="F1149" s="17" t="n">
        <v>95</v>
      </c>
      <c r="G1149" s="15" t="n">
        <v>-0.492403876506104</v>
      </c>
      <c r="H1149" s="16" t="n">
        <v>-0.0868240888334653</v>
      </c>
    </row>
    <row r="1150">
      <c r="A1150" t="s">
        <v>30</v>
      </c>
      <c r="B1150" t="s">
        <v>1423</v>
      </c>
      <c r="C1150" t="s">
        <v>1424</v>
      </c>
      <c r="D1150" t="s">
        <v>1388</v>
      </c>
      <c r="E1150" s="14" t="n">
        <v>0.25</v>
      </c>
      <c r="F1150" s="17" t="n">
        <v>126</v>
      </c>
      <c r="G1150" s="15" t="n">
        <v>-0.0772542485937369</v>
      </c>
      <c r="H1150" s="16" t="n">
        <v>-0.237764129073788</v>
      </c>
    </row>
    <row r="1151">
      <c r="A1151" t="s">
        <v>30</v>
      </c>
      <c r="B1151" t="s">
        <v>1423</v>
      </c>
      <c r="C1151" t="s">
        <v>1425</v>
      </c>
      <c r="D1151" t="s">
        <v>1388</v>
      </c>
      <c r="E1151" s="14" t="n">
        <v>0.5</v>
      </c>
      <c r="F1151" s="17" t="n">
        <v>55</v>
      </c>
      <c r="G1151" s="15" t="n">
        <v>-0.171010071662834</v>
      </c>
      <c r="H1151" s="16" t="n">
        <v>0.469846310392954</v>
      </c>
    </row>
    <row r="1152">
      <c r="A1152" t="s">
        <v>32</v>
      </c>
      <c r="B1152" t="s">
        <v>854</v>
      </c>
      <c r="C1152" t="s">
        <v>855</v>
      </c>
      <c r="D1152" t="s">
        <v>1388</v>
      </c>
      <c r="E1152" s="14" t="n">
        <v>0.25</v>
      </c>
      <c r="F1152" s="17" t="n">
        <v>119</v>
      </c>
      <c r="G1152" s="15" t="n">
        <v>-0.132479816058301</v>
      </c>
      <c r="H1152" s="16" t="n">
        <v>-0.212012024039107</v>
      </c>
    </row>
    <row r="1153">
      <c r="A1153" t="s">
        <v>32</v>
      </c>
      <c r="B1153" t="s">
        <v>854</v>
      </c>
      <c r="C1153" t="s">
        <v>856</v>
      </c>
      <c r="D1153" t="s">
        <v>1388</v>
      </c>
      <c r="E1153" s="14" t="n">
        <v>0.5</v>
      </c>
      <c r="F1153" s="17" t="n">
        <v>60</v>
      </c>
      <c r="G1153" s="15" t="n">
        <v>-0.25</v>
      </c>
      <c r="H1153" s="16" t="n">
        <v>0.433012701892219</v>
      </c>
    </row>
    <row r="1154">
      <c r="A1154" t="s">
        <v>30</v>
      </c>
      <c r="B1154" t="s">
        <v>857</v>
      </c>
      <c r="C1154" t="s">
        <v>858</v>
      </c>
      <c r="D1154" t="s">
        <v>1388</v>
      </c>
      <c r="E1154" s="14" t="n">
        <v>1.75</v>
      </c>
      <c r="F1154" s="17" t="n">
        <v>89</v>
      </c>
      <c r="G1154" s="15" t="n">
        <v>-1.74893394728342</v>
      </c>
      <c r="H1154" s="16" t="n">
        <v>0.061074119229377</v>
      </c>
    </row>
    <row r="1155">
      <c r="A1155" t="s">
        <v>30</v>
      </c>
      <c r="B1155" t="s">
        <v>857</v>
      </c>
      <c r="C1155" t="s">
        <v>859</v>
      </c>
      <c r="D1155" t="s">
        <v>1388</v>
      </c>
      <c r="E1155" s="14" t="n">
        <v>2</v>
      </c>
      <c r="F1155" s="17" t="n">
        <v>91</v>
      </c>
      <c r="G1155" s="15" t="n">
        <v>-1.99878165403819</v>
      </c>
      <c r="H1155" s="16" t="n">
        <v>-0.0697989934050023</v>
      </c>
    </row>
    <row r="1156">
      <c r="A1156" t="s">
        <v>30</v>
      </c>
      <c r="B1156" t="s">
        <v>860</v>
      </c>
      <c r="C1156" t="s">
        <v>861</v>
      </c>
      <c r="D1156" t="s">
        <v>1388</v>
      </c>
      <c r="E1156" s="14" t="n">
        <v>1</v>
      </c>
      <c r="F1156" s="17" t="n">
        <v>102</v>
      </c>
      <c r="G1156" s="15" t="n">
        <v>-0.913545457642601</v>
      </c>
      <c r="H1156" s="16" t="n">
        <v>-0.4067366430758</v>
      </c>
    </row>
    <row r="1157">
      <c r="A1157" t="s">
        <v>30</v>
      </c>
      <c r="B1157" t="s">
        <v>860</v>
      </c>
      <c r="C1157" t="s">
        <v>862</v>
      </c>
      <c r="D1157" t="s">
        <v>1388</v>
      </c>
      <c r="E1157" s="14" t="n">
        <v>1</v>
      </c>
      <c r="F1157" s="17" t="n">
        <v>84</v>
      </c>
      <c r="G1157" s="15" t="n">
        <v>-0.978147600733806</v>
      </c>
      <c r="H1157" s="16" t="n">
        <v>0.207911690817759</v>
      </c>
    </row>
    <row r="1158">
      <c r="A1158" t="s">
        <v>31</v>
      </c>
      <c r="B1158" t="s">
        <v>863</v>
      </c>
      <c r="C1158" t="s">
        <v>864</v>
      </c>
      <c r="D1158" t="s">
        <v>1388</v>
      </c>
      <c r="E1158" s="14" t="n">
        <v>0.25</v>
      </c>
      <c r="F1158" s="17" t="n">
        <v>85</v>
      </c>
      <c r="G1158" s="15" t="n">
        <v>-0.246201938253052</v>
      </c>
      <c r="H1158" s="16" t="n">
        <v>0.0434120444167327</v>
      </c>
    </row>
    <row r="1159">
      <c r="A1159" t="s">
        <v>31</v>
      </c>
      <c r="B1159" t="s">
        <v>863</v>
      </c>
      <c r="C1159" t="s">
        <v>865</v>
      </c>
      <c r="D1159" t="s">
        <v>1388</v>
      </c>
      <c r="E1159" s="14" t="n">
        <v>0.25</v>
      </c>
      <c r="F1159" s="17" t="n">
        <v>105</v>
      </c>
      <c r="G1159" s="15" t="n">
        <v>-0.21650635094611</v>
      </c>
      <c r="H1159" s="16" t="n">
        <v>-0.125</v>
      </c>
    </row>
    <row r="1160">
      <c r="A1160" t="s">
        <v>30</v>
      </c>
      <c r="B1160" t="s">
        <v>866</v>
      </c>
      <c r="C1160" t="s">
        <v>867</v>
      </c>
      <c r="D1160" t="s">
        <v>1388</v>
      </c>
      <c r="E1160" s="14" t="n">
        <v>1</v>
      </c>
      <c r="F1160" s="17" t="n">
        <v>84</v>
      </c>
      <c r="G1160" s="15" t="n">
        <v>-0.978147600733806</v>
      </c>
      <c r="H1160" s="16" t="n">
        <v>0.207911690817759</v>
      </c>
    </row>
    <row r="1161">
      <c r="A1161" t="s">
        <v>32</v>
      </c>
      <c r="B1161" t="s">
        <v>868</v>
      </c>
      <c r="C1161" t="s">
        <v>869</v>
      </c>
      <c r="D1161" t="s">
        <v>1388</v>
      </c>
      <c r="E1161" s="14" t="n">
        <v>0.5</v>
      </c>
      <c r="F1161" s="17" t="n">
        <v>162</v>
      </c>
      <c r="G1161" s="15" t="n">
        <v>0.404508497187474</v>
      </c>
      <c r="H1161" s="16" t="n">
        <v>-0.293892626146237</v>
      </c>
    </row>
    <row r="1162">
      <c r="A1162" t="s">
        <v>31</v>
      </c>
      <c r="B1162" t="s">
        <v>870</v>
      </c>
      <c r="C1162" t="s">
        <v>871</v>
      </c>
      <c r="D1162" t="s">
        <v>1388</v>
      </c>
      <c r="E1162" s="14" t="n">
        <v>0.5</v>
      </c>
      <c r="F1162" s="17" t="n">
        <v>172</v>
      </c>
      <c r="G1162" s="15" t="n">
        <v>0.480630847969159</v>
      </c>
      <c r="H1162" s="16" t="n">
        <v>-0.137818677908499</v>
      </c>
    </row>
    <row r="1163">
      <c r="A1163" t="s">
        <v>31</v>
      </c>
      <c r="B1163" t="s">
        <v>872</v>
      </c>
      <c r="C1163" t="s">
        <v>873</v>
      </c>
      <c r="D1163" t="s">
        <v>1388</v>
      </c>
      <c r="E1163" s="14" t="n">
        <v>0.75</v>
      </c>
      <c r="F1163" s="17" t="n">
        <v>78</v>
      </c>
      <c r="G1163" s="15" t="n">
        <v>-0.685159093231951</v>
      </c>
      <c r="H1163" s="16" t="n">
        <v>0.30505248230685</v>
      </c>
    </row>
    <row r="1164">
      <c r="A1164" t="s">
        <v>31</v>
      </c>
      <c r="B1164" t="s">
        <v>872</v>
      </c>
      <c r="C1164" t="s">
        <v>874</v>
      </c>
      <c r="D1164" t="s">
        <v>1388</v>
      </c>
      <c r="E1164" s="14" t="n">
        <v>0.75</v>
      </c>
      <c r="F1164" s="17" t="n">
        <v>106</v>
      </c>
      <c r="G1164" s="15" t="n">
        <v>-0.636036072117319</v>
      </c>
      <c r="H1164" s="16" t="n">
        <v>-0.397439448174904</v>
      </c>
    </row>
    <row r="1165">
      <c r="A1165" t="s">
        <v>32</v>
      </c>
      <c r="B1165" t="s">
        <v>875</v>
      </c>
      <c r="C1165" t="s">
        <v>876</v>
      </c>
      <c r="D1165" t="s">
        <v>1388</v>
      </c>
      <c r="E1165" s="14" t="n">
        <v>0.75</v>
      </c>
      <c r="F1165" s="17" t="n">
        <v>73</v>
      </c>
      <c r="G1165" s="15" t="n">
        <v>-0.621778179416281</v>
      </c>
      <c r="H1165" s="16" t="n">
        <v>0.41939467760306</v>
      </c>
    </row>
    <row r="1166">
      <c r="A1166" t="s">
        <v>32</v>
      </c>
      <c r="B1166" t="s">
        <v>875</v>
      </c>
      <c r="C1166" t="s">
        <v>877</v>
      </c>
      <c r="D1166" t="s">
        <v>1388</v>
      </c>
      <c r="E1166" s="14" t="n">
        <v>0.25</v>
      </c>
      <c r="F1166" s="17" t="n">
        <v>105</v>
      </c>
      <c r="G1166" s="15" t="n">
        <v>-0.21650635094611</v>
      </c>
      <c r="H1166" s="16" t="n">
        <v>-0.125</v>
      </c>
    </row>
    <row r="1167">
      <c r="A1167" t="s">
        <v>31</v>
      </c>
      <c r="B1167" t="s">
        <v>878</v>
      </c>
      <c r="C1167" t="s">
        <v>879</v>
      </c>
      <c r="D1167" t="s">
        <v>1388</v>
      </c>
      <c r="E1167" s="14" t="n">
        <v>0.75</v>
      </c>
      <c r="F1167" s="17" t="n">
        <v>99</v>
      </c>
      <c r="G1167" s="15" t="n">
        <v>-0.713292387221365</v>
      </c>
      <c r="H1167" s="16" t="n">
        <v>-0.231762745781211</v>
      </c>
    </row>
    <row r="1168">
      <c r="A1168" t="s">
        <v>31</v>
      </c>
      <c r="B1168" t="s">
        <v>878</v>
      </c>
      <c r="C1168" t="s">
        <v>880</v>
      </c>
      <c r="D1168" t="s">
        <v>1388</v>
      </c>
      <c r="E1168" s="14" t="n">
        <v>0.5</v>
      </c>
      <c r="F1168" s="17" t="n">
        <v>74</v>
      </c>
      <c r="G1168" s="15" t="n">
        <v>-0.424024048078213</v>
      </c>
      <c r="H1168" s="16" t="n">
        <v>0.264959632116602</v>
      </c>
    </row>
    <row r="1169">
      <c r="A1169" t="s">
        <v>30</v>
      </c>
      <c r="B1169" t="s">
        <v>1426</v>
      </c>
      <c r="C1169" t="s">
        <v>1427</v>
      </c>
      <c r="D1169" t="s">
        <v>1388</v>
      </c>
      <c r="E1169" s="14" t="n">
        <v>0.75</v>
      </c>
      <c r="F1169" s="17" t="n">
        <v>82</v>
      </c>
      <c r="G1169" s="15" t="n">
        <v>-0.720946271953739</v>
      </c>
      <c r="H1169" s="16" t="n">
        <v>0.206728016862749</v>
      </c>
    </row>
    <row r="1170">
      <c r="A1170" t="s">
        <v>31</v>
      </c>
      <c r="B1170" t="s">
        <v>1428</v>
      </c>
      <c r="C1170" t="s">
        <v>1429</v>
      </c>
      <c r="D1170" t="s">
        <v>1388</v>
      </c>
      <c r="E1170" s="14" t="n">
        <v>1.25</v>
      </c>
      <c r="F1170" s="17" t="n">
        <v>68</v>
      </c>
      <c r="G1170" s="15" t="n">
        <v>-0.899174750423314</v>
      </c>
      <c r="H1170" s="16" t="n">
        <v>0.868322963073747</v>
      </c>
    </row>
    <row r="1171">
      <c r="A1171" t="s">
        <v>32</v>
      </c>
      <c r="B1171" t="s">
        <v>881</v>
      </c>
      <c r="C1171" t="s">
        <v>882</v>
      </c>
      <c r="D1171" t="s">
        <v>1388</v>
      </c>
      <c r="E1171" s="14" t="n">
        <v>0.25</v>
      </c>
      <c r="F1171" s="17" t="n">
        <v>7</v>
      </c>
      <c r="G1171" s="15" t="n">
        <v>0.242573931568999</v>
      </c>
      <c r="H1171" s="16" t="n">
        <v>0.0604804738999169</v>
      </c>
    </row>
    <row r="1172">
      <c r="A1172" t="s">
        <v>30</v>
      </c>
      <c r="B1172" t="s">
        <v>883</v>
      </c>
      <c r="C1172" t="s">
        <v>884</v>
      </c>
      <c r="D1172" t="s">
        <v>1388</v>
      </c>
      <c r="E1172" s="14" t="n">
        <v>1.25</v>
      </c>
      <c r="F1172" s="17" t="n">
        <v>103</v>
      </c>
      <c r="G1172" s="15" t="n">
        <v>-1.12349255787396</v>
      </c>
      <c r="H1172" s="16" t="n">
        <v>-0.547963933486347</v>
      </c>
    </row>
    <row r="1173">
      <c r="A1173" t="s">
        <v>30</v>
      </c>
      <c r="B1173" t="s">
        <v>883</v>
      </c>
      <c r="C1173" t="s">
        <v>885</v>
      </c>
      <c r="D1173" t="s">
        <v>1388</v>
      </c>
      <c r="E1173" s="14" t="n">
        <v>1</v>
      </c>
      <c r="F1173" s="17" t="n">
        <v>88</v>
      </c>
      <c r="G1173" s="15" t="n">
        <v>-0.997564050259824</v>
      </c>
      <c r="H1173" s="16" t="n">
        <v>0.0697564737441255</v>
      </c>
    </row>
    <row r="1174">
      <c r="A1174" t="s">
        <v>30</v>
      </c>
      <c r="B1174" t="s">
        <v>886</v>
      </c>
      <c r="C1174" t="s">
        <v>887</v>
      </c>
      <c r="D1174" t="s">
        <v>1388</v>
      </c>
      <c r="E1174" s="14" t="n">
        <v>3.5</v>
      </c>
      <c r="F1174" s="17" t="n">
        <v>66</v>
      </c>
      <c r="G1174" s="15" t="n">
        <v>-2.341957122256</v>
      </c>
      <c r="H1174" s="16" t="n">
        <v>2.60100688917088</v>
      </c>
    </row>
    <row r="1175">
      <c r="A1175" t="s">
        <v>30</v>
      </c>
      <c r="B1175" t="s">
        <v>886</v>
      </c>
      <c r="C1175" t="s">
        <v>888</v>
      </c>
      <c r="D1175" t="s">
        <v>1388</v>
      </c>
      <c r="E1175" s="14" t="n">
        <v>3</v>
      </c>
      <c r="F1175" s="17" t="n">
        <v>109</v>
      </c>
      <c r="G1175" s="15" t="n">
        <v>-2.36403226082017</v>
      </c>
      <c r="H1175" s="16" t="n">
        <v>-1.84698442597697</v>
      </c>
    </row>
    <row r="1176">
      <c r="A1176" t="s">
        <v>31</v>
      </c>
      <c r="B1176" t="s">
        <v>889</v>
      </c>
      <c r="C1176" t="s">
        <v>890</v>
      </c>
      <c r="D1176" t="s">
        <v>1388</v>
      </c>
      <c r="E1176" s="14" t="n">
        <v>0.5</v>
      </c>
      <c r="F1176" s="17" t="n">
        <v>100</v>
      </c>
      <c r="G1176" s="15" t="n">
        <v>-0.469846310392954</v>
      </c>
      <c r="H1176" s="16" t="n">
        <v>-0.171010071662834</v>
      </c>
    </row>
    <row r="1177">
      <c r="A1177" t="s">
        <v>31</v>
      </c>
      <c r="B1177" t="s">
        <v>889</v>
      </c>
      <c r="C1177" t="s">
        <v>891</v>
      </c>
      <c r="D1177" t="s">
        <v>1388</v>
      </c>
      <c r="E1177" s="14" t="n">
        <v>0.5</v>
      </c>
      <c r="F1177" s="17" t="n">
        <v>64</v>
      </c>
      <c r="G1177" s="15" t="n">
        <v>-0.307830737662829</v>
      </c>
      <c r="H1177" s="16" t="n">
        <v>0.394005376803361</v>
      </c>
    </row>
    <row r="1178">
      <c r="A1178" t="s">
        <v>32</v>
      </c>
      <c r="B1178" t="s">
        <v>892</v>
      </c>
      <c r="C1178" t="s">
        <v>893</v>
      </c>
      <c r="D1178" t="s">
        <v>1388</v>
      </c>
      <c r="E1178" s="14" t="n">
        <v>1.75</v>
      </c>
      <c r="F1178" s="17" t="n">
        <v>90</v>
      </c>
      <c r="G1178" s="15" t="n">
        <v>-1.75</v>
      </c>
      <c r="H1178" s="16" t="n">
        <v>0</v>
      </c>
    </row>
    <row r="1179">
      <c r="A1179" t="s">
        <v>32</v>
      </c>
      <c r="B1179" t="s">
        <v>892</v>
      </c>
      <c r="C1179" t="s">
        <v>894</v>
      </c>
      <c r="D1179" t="s">
        <v>1388</v>
      </c>
      <c r="E1179" s="14" t="n">
        <v>0.75</v>
      </c>
      <c r="F1179" s="17" t="n">
        <v>84</v>
      </c>
      <c r="G1179" s="15" t="n">
        <v>-0.733610700550354</v>
      </c>
      <c r="H1179" s="16" t="n">
        <v>0.155933768113319</v>
      </c>
    </row>
    <row r="1180">
      <c r="A1180" t="s">
        <v>32</v>
      </c>
      <c r="B1180" t="s">
        <v>895</v>
      </c>
      <c r="C1180" t="s">
        <v>896</v>
      </c>
      <c r="D1180" t="s">
        <v>1388</v>
      </c>
      <c r="E1180" s="14" t="n">
        <v>1.25</v>
      </c>
      <c r="F1180" s="17" t="n">
        <v>15</v>
      </c>
      <c r="G1180" s="15" t="n">
        <v>1.08253175473055</v>
      </c>
      <c r="H1180" s="16" t="n">
        <v>0.625</v>
      </c>
    </row>
    <row r="1181">
      <c r="A1181" t="s">
        <v>32</v>
      </c>
      <c r="B1181" t="s">
        <v>895</v>
      </c>
      <c r="C1181" t="s">
        <v>897</v>
      </c>
      <c r="D1181" t="s">
        <v>1388</v>
      </c>
      <c r="E1181" s="14" t="n">
        <v>2.25</v>
      </c>
      <c r="F1181" s="17" t="n">
        <v>172</v>
      </c>
      <c r="G1181" s="15" t="n">
        <v>2.16283881586122</v>
      </c>
      <c r="H1181" s="16" t="n">
        <v>-0.620184050588248</v>
      </c>
    </row>
    <row r="1182">
      <c r="A1182" t="s">
        <v>30</v>
      </c>
      <c r="B1182" t="s">
        <v>898</v>
      </c>
      <c r="C1182" t="s">
        <v>899</v>
      </c>
      <c r="D1182" t="s">
        <v>1388</v>
      </c>
      <c r="E1182" s="14" t="n">
        <v>0.5</v>
      </c>
      <c r="F1182" s="17" t="n">
        <v>66</v>
      </c>
      <c r="G1182" s="15" t="n">
        <v>-0.334565303179429</v>
      </c>
      <c r="H1182" s="16" t="n">
        <v>0.371572412738697</v>
      </c>
    </row>
    <row r="1183">
      <c r="A1183" t="s">
        <v>30</v>
      </c>
      <c r="B1183" t="s">
        <v>898</v>
      </c>
      <c r="C1183" t="s">
        <v>900</v>
      </c>
      <c r="D1183" t="s">
        <v>1388</v>
      </c>
      <c r="E1183" s="14" t="n">
        <v>0.5</v>
      </c>
      <c r="F1183" s="17" t="n">
        <v>101</v>
      </c>
      <c r="G1183" s="15" t="n">
        <v>-0.463591927283394</v>
      </c>
      <c r="H1183" s="16" t="n">
        <v>-0.187303296707956</v>
      </c>
    </row>
    <row r="1184">
      <c r="A1184" t="s">
        <v>31</v>
      </c>
      <c r="B1184" t="s">
        <v>1430</v>
      </c>
      <c r="C1184" t="s">
        <v>1431</v>
      </c>
      <c r="D1184" t="s">
        <v>1388</v>
      </c>
      <c r="E1184" s="14" t="n">
        <v>0.75</v>
      </c>
      <c r="F1184" s="17" t="n">
        <v>67</v>
      </c>
      <c r="G1184" s="15" t="n">
        <v>-0.520993777844248</v>
      </c>
      <c r="H1184" s="16" t="n">
        <v>0.539504850253988</v>
      </c>
    </row>
    <row r="1185">
      <c r="A1185" t="s">
        <v>31</v>
      </c>
      <c r="B1185" t="s">
        <v>1430</v>
      </c>
      <c r="C1185" t="s">
        <v>1432</v>
      </c>
      <c r="D1185" t="s">
        <v>1388</v>
      </c>
      <c r="E1185" s="14" t="n">
        <v>0.5</v>
      </c>
      <c r="F1185" s="17" t="n">
        <v>110</v>
      </c>
      <c r="G1185" s="15" t="n">
        <v>-0.383022221559489</v>
      </c>
      <c r="H1185" s="16" t="n">
        <v>-0.32139380484327</v>
      </c>
    </row>
    <row r="1186">
      <c r="A1186" t="s">
        <v>32</v>
      </c>
      <c r="B1186" t="s">
        <v>901</v>
      </c>
      <c r="C1186" t="s">
        <v>902</v>
      </c>
      <c r="D1186" t="s">
        <v>1388</v>
      </c>
      <c r="E1186" s="14" t="n">
        <v>1.25</v>
      </c>
      <c r="F1186" s="17" t="n">
        <v>132</v>
      </c>
      <c r="G1186" s="15" t="n">
        <v>-0.130660579084568</v>
      </c>
      <c r="H1186" s="16" t="n">
        <v>-1.24315236921034</v>
      </c>
    </row>
    <row r="1187">
      <c r="A1187" t="s">
        <v>31</v>
      </c>
      <c r="B1187" t="s">
        <v>903</v>
      </c>
      <c r="C1187" t="s">
        <v>904</v>
      </c>
      <c r="D1187" t="s">
        <v>1388</v>
      </c>
      <c r="E1187" s="14" t="n">
        <v>0.75</v>
      </c>
      <c r="F1187" s="17" t="n">
        <v>80</v>
      </c>
      <c r="G1187" s="15" t="n">
        <v>-0.704769465589431</v>
      </c>
      <c r="H1187" s="16" t="n">
        <v>0.256515107494252</v>
      </c>
    </row>
    <row r="1188">
      <c r="A1188" t="s">
        <v>31</v>
      </c>
      <c r="B1188" t="s">
        <v>903</v>
      </c>
      <c r="C1188" t="s">
        <v>905</v>
      </c>
      <c r="D1188" t="s">
        <v>1388</v>
      </c>
      <c r="E1188" s="14" t="n">
        <v>0.75</v>
      </c>
      <c r="F1188" s="17" t="n">
        <v>96</v>
      </c>
      <c r="G1188" s="15" t="n">
        <v>-0.733610700550354</v>
      </c>
      <c r="H1188" s="16" t="n">
        <v>-0.155933768113319</v>
      </c>
    </row>
    <row r="1189">
      <c r="A1189" t="s">
        <v>32</v>
      </c>
      <c r="B1189" t="s">
        <v>906</v>
      </c>
      <c r="C1189" t="s">
        <v>907</v>
      </c>
      <c r="D1189" t="s">
        <v>1388</v>
      </c>
      <c r="E1189" s="14" t="n">
        <v>0.5</v>
      </c>
      <c r="F1189" s="17" t="n">
        <v>135</v>
      </c>
      <c r="G1189" s="15" t="n">
        <v>0</v>
      </c>
      <c r="H1189" s="16" t="n">
        <v>-0.5</v>
      </c>
    </row>
    <row r="1190">
      <c r="A1190" t="s">
        <v>32</v>
      </c>
      <c r="B1190" t="s">
        <v>906</v>
      </c>
      <c r="C1190" t="s">
        <v>908</v>
      </c>
      <c r="D1190" t="s">
        <v>1388</v>
      </c>
      <c r="E1190" s="14" t="n">
        <v>0.5</v>
      </c>
      <c r="F1190" s="17" t="n">
        <v>49</v>
      </c>
      <c r="G1190" s="15" t="n">
        <v>-0.0695865504800326</v>
      </c>
      <c r="H1190" s="16" t="n">
        <v>0.495134034370785</v>
      </c>
    </row>
    <row r="1191">
      <c r="A1191" t="s">
        <v>30</v>
      </c>
      <c r="B1191" t="s">
        <v>909</v>
      </c>
      <c r="C1191" t="s">
        <v>910</v>
      </c>
      <c r="D1191" t="s">
        <v>1388</v>
      </c>
      <c r="E1191" s="14" t="n">
        <v>0.5</v>
      </c>
      <c r="F1191" s="17" t="n">
        <v>131</v>
      </c>
      <c r="G1191" s="15" t="n">
        <v>-0.0695865504800329</v>
      </c>
      <c r="H1191" s="16" t="n">
        <v>-0.495134034370785</v>
      </c>
    </row>
    <row r="1192">
      <c r="A1192" t="s">
        <v>32</v>
      </c>
      <c r="B1192" t="s">
        <v>911</v>
      </c>
      <c r="C1192" t="s">
        <v>912</v>
      </c>
      <c r="D1192" t="s">
        <v>1388</v>
      </c>
      <c r="E1192" s="14" t="n">
        <v>0.25</v>
      </c>
      <c r="F1192" s="17" t="n">
        <v>86</v>
      </c>
      <c r="G1192" s="15" t="n">
        <v>-0.247567017185393</v>
      </c>
      <c r="H1192" s="16" t="n">
        <v>0.0347932752400163</v>
      </c>
    </row>
    <row r="1193">
      <c r="A1193" t="s">
        <v>30</v>
      </c>
      <c r="B1193" t="s">
        <v>913</v>
      </c>
      <c r="C1193" t="s">
        <v>914</v>
      </c>
      <c r="D1193" t="s">
        <v>1388</v>
      </c>
      <c r="E1193" s="14" t="n">
        <v>0.75</v>
      </c>
      <c r="F1193" s="17" t="n">
        <v>10</v>
      </c>
      <c r="G1193" s="15" t="n">
        <v>0.704769465589431</v>
      </c>
      <c r="H1193" s="16" t="n">
        <v>0.256515107494252</v>
      </c>
    </row>
    <row r="1194">
      <c r="A1194" t="s">
        <v>30</v>
      </c>
      <c r="B1194" t="s">
        <v>913</v>
      </c>
      <c r="C1194" t="s">
        <v>915</v>
      </c>
      <c r="D1194" t="s">
        <v>1388</v>
      </c>
      <c r="E1194" s="14" t="n">
        <v>0.5</v>
      </c>
      <c r="F1194" s="17" t="n">
        <v>6</v>
      </c>
      <c r="G1194" s="15" t="n">
        <v>0.489073800366903</v>
      </c>
      <c r="H1194" s="16" t="n">
        <v>0.10395584540888</v>
      </c>
    </row>
    <row r="1195">
      <c r="A1195" t="s">
        <v>30</v>
      </c>
      <c r="B1195" t="s">
        <v>916</v>
      </c>
      <c r="C1195" t="s">
        <v>917</v>
      </c>
      <c r="D1195" t="s">
        <v>1388</v>
      </c>
      <c r="E1195" s="14" t="n">
        <v>0.75</v>
      </c>
      <c r="F1195" s="17" t="n">
        <v>121</v>
      </c>
      <c r="G1195" s="15" t="n">
        <v>-0.352103672089418</v>
      </c>
      <c r="H1195" s="16" t="n">
        <v>-0.662210694644195</v>
      </c>
    </row>
    <row r="1196">
      <c r="A1196" t="s">
        <v>30</v>
      </c>
      <c r="B1196" t="s">
        <v>916</v>
      </c>
      <c r="C1196" t="s">
        <v>918</v>
      </c>
      <c r="D1196" t="s">
        <v>1388</v>
      </c>
      <c r="E1196" s="14" t="n">
        <v>0.25</v>
      </c>
      <c r="F1196" s="17" t="n">
        <v>66</v>
      </c>
      <c r="G1196" s="15" t="n">
        <v>-0.167282651589714</v>
      </c>
      <c r="H1196" s="16" t="n">
        <v>0.185786206369349</v>
      </c>
    </row>
    <row r="1197">
      <c r="A1197" t="s">
        <v>30</v>
      </c>
      <c r="B1197" t="s">
        <v>919</v>
      </c>
      <c r="C1197" t="s">
        <v>920</v>
      </c>
      <c r="D1197" t="s">
        <v>1388</v>
      </c>
      <c r="E1197" s="14" t="n">
        <v>2</v>
      </c>
      <c r="F1197" s="17" t="n">
        <v>113</v>
      </c>
      <c r="G1197" s="15" t="n">
        <v>-1.389316740918</v>
      </c>
      <c r="H1197" s="16" t="n">
        <v>-1.4386796006773</v>
      </c>
    </row>
    <row r="1198">
      <c r="A1198" t="s">
        <v>30</v>
      </c>
      <c r="B1198" t="s">
        <v>921</v>
      </c>
      <c r="C1198" t="s">
        <v>922</v>
      </c>
      <c r="D1198" t="s">
        <v>1388</v>
      </c>
      <c r="E1198" s="14" t="n">
        <v>0.5</v>
      </c>
      <c r="F1198" s="17" t="n">
        <v>50</v>
      </c>
      <c r="G1198" s="15" t="n">
        <v>-0.0868240888334652</v>
      </c>
      <c r="H1198" s="16" t="n">
        <v>0.492403876506104</v>
      </c>
    </row>
    <row r="1199">
      <c r="A1199" t="s">
        <v>30</v>
      </c>
      <c r="B1199" t="s">
        <v>921</v>
      </c>
      <c r="C1199" t="s">
        <v>923</v>
      </c>
      <c r="D1199" t="s">
        <v>1388</v>
      </c>
      <c r="E1199" s="14" t="n">
        <v>0.25</v>
      </c>
      <c r="F1199" s="17" t="n">
        <v>132</v>
      </c>
      <c r="G1199" s="15" t="n">
        <v>-0.0261321158169136</v>
      </c>
      <c r="H1199" s="16" t="n">
        <v>-0.248630473842068</v>
      </c>
    </row>
    <row r="1200">
      <c r="A1200" t="s">
        <v>30</v>
      </c>
      <c r="B1200" t="s">
        <v>924</v>
      </c>
      <c r="C1200" t="s">
        <v>925</v>
      </c>
      <c r="D1200" t="s">
        <v>1388</v>
      </c>
      <c r="E1200" s="14" t="n">
        <v>0.75</v>
      </c>
      <c r="F1200" s="17" t="n">
        <v>94</v>
      </c>
      <c r="G1200" s="15" t="n">
        <v>-0.742701051556178</v>
      </c>
      <c r="H1200" s="16" t="n">
        <v>-0.104379825720049</v>
      </c>
    </row>
    <row r="1201">
      <c r="A1201" t="s">
        <v>30</v>
      </c>
      <c r="B1201" t="s">
        <v>924</v>
      </c>
      <c r="C1201" t="s">
        <v>926</v>
      </c>
      <c r="D1201" t="s">
        <v>1388</v>
      </c>
      <c r="E1201" s="14" t="n">
        <v>1.25</v>
      </c>
      <c r="F1201" s="17" t="n">
        <v>92</v>
      </c>
      <c r="G1201" s="15" t="n">
        <v>-1.24695506282478</v>
      </c>
      <c r="H1201" s="16" t="n">
        <v>-0.0871955921801564</v>
      </c>
    </row>
    <row r="1202">
      <c r="A1202" t="s">
        <v>30</v>
      </c>
      <c r="B1202" t="s">
        <v>927</v>
      </c>
      <c r="C1202" t="s">
        <v>928</v>
      </c>
      <c r="D1202" t="s">
        <v>1388</v>
      </c>
      <c r="E1202" s="14" t="n">
        <v>0.5</v>
      </c>
      <c r="F1202" s="17" t="n">
        <v>17</v>
      </c>
      <c r="G1202" s="15" t="n">
        <v>0.414518786277521</v>
      </c>
      <c r="H1202" s="16" t="n">
        <v>0.279596451735373</v>
      </c>
    </row>
    <row r="1203">
      <c r="A1203" t="s">
        <v>30</v>
      </c>
      <c r="B1203" t="s">
        <v>929</v>
      </c>
      <c r="C1203" t="s">
        <v>930</v>
      </c>
      <c r="D1203" t="s">
        <v>1388</v>
      </c>
      <c r="E1203" s="14" t="n">
        <v>0.25</v>
      </c>
      <c r="F1203" s="17" t="n">
        <v>80</v>
      </c>
      <c r="G1203" s="15" t="n">
        <v>-0.234923155196477</v>
      </c>
      <c r="H1203" s="16" t="n">
        <v>0.0855050358314172</v>
      </c>
    </row>
    <row r="1204">
      <c r="A1204" t="s">
        <v>30</v>
      </c>
      <c r="B1204" t="s">
        <v>929</v>
      </c>
      <c r="C1204" t="s">
        <v>931</v>
      </c>
      <c r="D1204" t="s">
        <v>1388</v>
      </c>
      <c r="E1204" s="14" t="n">
        <v>0.25</v>
      </c>
      <c r="F1204" s="17" t="n">
        <v>89</v>
      </c>
      <c r="G1204" s="15" t="n">
        <v>-0.249847706754774</v>
      </c>
      <c r="H1204" s="16" t="n">
        <v>0.00872487417562529</v>
      </c>
    </row>
    <row r="1205">
      <c r="A1205" t="s">
        <v>30</v>
      </c>
      <c r="B1205" t="s">
        <v>932</v>
      </c>
      <c r="C1205" t="s">
        <v>933</v>
      </c>
      <c r="D1205" t="s">
        <v>1388</v>
      </c>
      <c r="E1205" s="14" t="n">
        <v>1.25</v>
      </c>
      <c r="F1205" s="17" t="n">
        <v>66</v>
      </c>
      <c r="G1205" s="15" t="n">
        <v>-0.836413257948572</v>
      </c>
      <c r="H1205" s="16" t="n">
        <v>0.928931031846743</v>
      </c>
    </row>
    <row r="1206">
      <c r="A1206" t="s">
        <v>30</v>
      </c>
      <c r="B1206" t="s">
        <v>932</v>
      </c>
      <c r="C1206" t="s">
        <v>934</v>
      </c>
      <c r="D1206" t="s">
        <v>1388</v>
      </c>
      <c r="E1206" s="14" t="n">
        <v>2</v>
      </c>
      <c r="F1206" s="17" t="n">
        <v>126</v>
      </c>
      <c r="G1206" s="15" t="n">
        <v>-0.618033988749895</v>
      </c>
      <c r="H1206" s="16" t="n">
        <v>-1.90211303259031</v>
      </c>
    </row>
    <row r="1207">
      <c r="A1207" t="s">
        <v>31</v>
      </c>
      <c r="B1207" t="s">
        <v>935</v>
      </c>
      <c r="C1207" t="s">
        <v>936</v>
      </c>
      <c r="D1207" t="s">
        <v>1388</v>
      </c>
      <c r="E1207" s="14" t="n">
        <v>0.5</v>
      </c>
      <c r="F1207" s="17" t="n">
        <v>98</v>
      </c>
      <c r="G1207" s="15" t="n">
        <v>-0.48063084796916</v>
      </c>
      <c r="H1207" s="16" t="n">
        <v>-0.137818677908499</v>
      </c>
    </row>
    <row r="1208">
      <c r="A1208" t="s">
        <v>31</v>
      </c>
      <c r="B1208" t="s">
        <v>937</v>
      </c>
      <c r="C1208" t="s">
        <v>938</v>
      </c>
      <c r="D1208" t="s">
        <v>1388</v>
      </c>
      <c r="E1208" s="14" t="n">
        <v>0.25</v>
      </c>
      <c r="F1208" s="17" t="n">
        <v>85</v>
      </c>
      <c r="G1208" s="15" t="n">
        <v>-0.246201938253052</v>
      </c>
      <c r="H1208" s="16" t="n">
        <v>0.0434120444167327</v>
      </c>
    </row>
    <row r="1209">
      <c r="A1209" t="s">
        <v>31</v>
      </c>
      <c r="B1209" t="s">
        <v>939</v>
      </c>
      <c r="C1209" t="s">
        <v>940</v>
      </c>
      <c r="D1209" t="s">
        <v>1388</v>
      </c>
      <c r="E1209" s="14" t="n">
        <v>1.25</v>
      </c>
      <c r="F1209" s="17" t="n">
        <v>96</v>
      </c>
      <c r="G1209" s="15" t="n">
        <v>-1.22268450091726</v>
      </c>
      <c r="H1209" s="16" t="n">
        <v>-0.259889613522199</v>
      </c>
    </row>
    <row r="1210">
      <c r="A1210" t="s">
        <v>30</v>
      </c>
      <c r="B1210" t="s">
        <v>941</v>
      </c>
      <c r="C1210" t="s">
        <v>942</v>
      </c>
      <c r="D1210" t="s">
        <v>1388</v>
      </c>
      <c r="E1210" s="14" t="n">
        <v>0.75</v>
      </c>
      <c r="F1210" s="17" t="n">
        <v>125</v>
      </c>
      <c r="G1210" s="15" t="n">
        <v>-0.256515107494252</v>
      </c>
      <c r="H1210" s="16" t="n">
        <v>-0.704769465589431</v>
      </c>
    </row>
    <row r="1211">
      <c r="A1211" t="s">
        <v>30</v>
      </c>
      <c r="B1211" t="s">
        <v>941</v>
      </c>
      <c r="C1211" t="s">
        <v>943</v>
      </c>
      <c r="D1211" t="s">
        <v>1388</v>
      </c>
      <c r="E1211" s="14" t="n">
        <v>0.5</v>
      </c>
      <c r="F1211" s="17" t="n">
        <v>53</v>
      </c>
      <c r="G1211" s="15" t="n">
        <v>-0.1378186779085</v>
      </c>
      <c r="H1211" s="16" t="n">
        <v>0.480630847969159</v>
      </c>
    </row>
    <row r="1212">
      <c r="A1212" t="s">
        <v>30</v>
      </c>
      <c r="B1212" t="s">
        <v>944</v>
      </c>
      <c r="C1212" t="s">
        <v>945</v>
      </c>
      <c r="D1212" t="s">
        <v>1388</v>
      </c>
      <c r="E1212" s="14" t="n">
        <v>0.5</v>
      </c>
      <c r="F1212" s="17" t="n">
        <v>158</v>
      </c>
      <c r="G1212" s="15" t="n">
        <v>0.359669900169325</v>
      </c>
      <c r="H1212" s="16" t="n">
        <v>-0.347329185229499</v>
      </c>
    </row>
    <row r="1213">
      <c r="A1213" t="s">
        <v>31</v>
      </c>
      <c r="B1213" t="s">
        <v>946</v>
      </c>
      <c r="C1213" t="s">
        <v>947</v>
      </c>
      <c r="D1213" t="s">
        <v>1388</v>
      </c>
      <c r="E1213" s="14" t="n">
        <v>1.25</v>
      </c>
      <c r="F1213" s="17" t="n">
        <v>168</v>
      </c>
      <c r="G1213" s="15" t="n">
        <v>1.14193182205325</v>
      </c>
      <c r="H1213" s="16" t="n">
        <v>-0.50842080384475</v>
      </c>
    </row>
    <row r="1214">
      <c r="A1214" t="s">
        <v>31</v>
      </c>
      <c r="B1214" t="s">
        <v>946</v>
      </c>
      <c r="C1214" t="s">
        <v>948</v>
      </c>
      <c r="D1214" t="s">
        <v>1388</v>
      </c>
      <c r="E1214" s="14" t="n">
        <v>0.75</v>
      </c>
      <c r="F1214" s="17" t="n">
        <v>3</v>
      </c>
      <c r="G1214" s="15" t="n">
        <v>0.745891421526205</v>
      </c>
      <c r="H1214" s="16" t="n">
        <v>0.0783963474507401</v>
      </c>
    </row>
    <row r="1215">
      <c r="A1215" t="s">
        <v>32</v>
      </c>
      <c r="B1215" t="s">
        <v>949</v>
      </c>
      <c r="C1215" t="s">
        <v>950</v>
      </c>
      <c r="D1215" t="s">
        <v>1388</v>
      </c>
      <c r="E1215" s="14" t="n">
        <v>0.25</v>
      </c>
      <c r="F1215" s="17" t="n">
        <v>39</v>
      </c>
      <c r="G1215" s="15" t="n">
        <v>0.0519779227044398</v>
      </c>
      <c r="H1215" s="16" t="n">
        <v>0.244536900183451</v>
      </c>
    </row>
    <row r="1216">
      <c r="A1216" t="s">
        <v>32</v>
      </c>
      <c r="B1216" t="s">
        <v>949</v>
      </c>
      <c r="C1216" t="s">
        <v>951</v>
      </c>
      <c r="D1216" t="s">
        <v>1388</v>
      </c>
      <c r="E1216" s="14" t="n">
        <v>0.75</v>
      </c>
      <c r="F1216" s="17" t="n">
        <v>139</v>
      </c>
      <c r="G1216" s="15" t="n">
        <v>0.104379825720049</v>
      </c>
      <c r="H1216" s="16" t="n">
        <v>-0.742701051556178</v>
      </c>
    </row>
    <row r="1217">
      <c r="A1217" t="s">
        <v>32</v>
      </c>
      <c r="B1217" t="s">
        <v>952</v>
      </c>
      <c r="C1217" t="s">
        <v>953</v>
      </c>
      <c r="D1217" t="s">
        <v>1388</v>
      </c>
      <c r="E1217" s="14" t="n">
        <v>1</v>
      </c>
      <c r="F1217" s="17" t="n">
        <v>99</v>
      </c>
      <c r="G1217" s="15" t="n">
        <v>-0.951056516295154</v>
      </c>
      <c r="H1217" s="16" t="n">
        <v>-0.309016994374948</v>
      </c>
    </row>
    <row r="1218">
      <c r="A1218" t="s">
        <v>32</v>
      </c>
      <c r="B1218" t="s">
        <v>952</v>
      </c>
      <c r="C1218" t="s">
        <v>954</v>
      </c>
      <c r="D1218" t="s">
        <v>1388</v>
      </c>
      <c r="E1218" s="14" t="n">
        <v>1</v>
      </c>
      <c r="F1218" s="17" t="n">
        <v>86</v>
      </c>
      <c r="G1218" s="15" t="n">
        <v>-0.99026806874157</v>
      </c>
      <c r="H1218" s="16" t="n">
        <v>0.139173100960065</v>
      </c>
    </row>
    <row r="1219">
      <c r="A1219" t="s">
        <v>31</v>
      </c>
      <c r="B1219" t="s">
        <v>1433</v>
      </c>
      <c r="C1219" t="s">
        <v>1434</v>
      </c>
      <c r="D1219" t="s">
        <v>1388</v>
      </c>
      <c r="E1219" s="14" t="n">
        <v>0.5</v>
      </c>
      <c r="F1219" s="17" t="n">
        <v>80</v>
      </c>
      <c r="G1219" s="15" t="n">
        <v>-0.469846310392954</v>
      </c>
      <c r="H1219" s="16" t="n">
        <v>0.171010071662834</v>
      </c>
    </row>
    <row r="1220">
      <c r="A1220" t="s">
        <v>31</v>
      </c>
      <c r="B1220" t="s">
        <v>1433</v>
      </c>
      <c r="C1220" t="s">
        <v>1435</v>
      </c>
      <c r="D1220" t="s">
        <v>1388</v>
      </c>
      <c r="E1220" s="14" t="n">
        <v>0.25</v>
      </c>
      <c r="F1220" s="17" t="n">
        <v>104</v>
      </c>
      <c r="G1220" s="15" t="n">
        <v>-0.220736898214732</v>
      </c>
      <c r="H1220" s="16" t="n">
        <v>-0.117367890696473</v>
      </c>
    </row>
    <row r="1221">
      <c r="A1221" t="s">
        <v>30</v>
      </c>
      <c r="B1221" t="s">
        <v>1436</v>
      </c>
      <c r="C1221" t="s">
        <v>1437</v>
      </c>
      <c r="D1221" t="s">
        <v>1388</v>
      </c>
      <c r="E1221" s="14" t="n">
        <v>1.25</v>
      </c>
      <c r="F1221" s="17" t="n">
        <v>28</v>
      </c>
      <c r="G1221" s="15" t="n">
        <v>0.698991129338433</v>
      </c>
      <c r="H1221" s="16" t="n">
        <v>1.0362969656938</v>
      </c>
    </row>
    <row r="1222">
      <c r="A1222" t="s">
        <v>30</v>
      </c>
      <c r="B1222" t="s">
        <v>1436</v>
      </c>
      <c r="C1222" t="s">
        <v>1438</v>
      </c>
      <c r="D1222" t="s">
        <v>1388</v>
      </c>
      <c r="E1222" s="14" t="n">
        <v>0.75</v>
      </c>
      <c r="F1222" s="17" t="n">
        <v>135</v>
      </c>
      <c r="G1222" s="15" t="n">
        <v>0</v>
      </c>
      <c r="H1222" s="16" t="n">
        <v>-0.75</v>
      </c>
    </row>
    <row r="1223">
      <c r="A1223" t="s">
        <v>32</v>
      </c>
      <c r="B1223" t="s">
        <v>955</v>
      </c>
      <c r="C1223" t="s">
        <v>956</v>
      </c>
      <c r="D1223" t="s">
        <v>1388</v>
      </c>
      <c r="E1223" s="14" t="n">
        <v>0.5</v>
      </c>
      <c r="F1223" s="17" t="n">
        <v>126</v>
      </c>
      <c r="G1223" s="15" t="n">
        <v>-0.154508497187474</v>
      </c>
      <c r="H1223" s="16" t="n">
        <v>-0.475528258147577</v>
      </c>
    </row>
    <row r="1224">
      <c r="A1224" t="s">
        <v>32</v>
      </c>
      <c r="B1224" t="s">
        <v>955</v>
      </c>
      <c r="C1224" t="s">
        <v>957</v>
      </c>
      <c r="D1224" t="s">
        <v>1388</v>
      </c>
      <c r="E1224" s="14" t="n">
        <v>0.5</v>
      </c>
      <c r="F1224" s="17" t="n">
        <v>66</v>
      </c>
      <c r="G1224" s="15" t="n">
        <v>-0.334565303179429</v>
      </c>
      <c r="H1224" s="16" t="n">
        <v>0.371572412738697</v>
      </c>
    </row>
    <row r="1225">
      <c r="A1225" t="s">
        <v>30</v>
      </c>
      <c r="B1225" t="s">
        <v>958</v>
      </c>
      <c r="C1225" t="s">
        <v>959</v>
      </c>
      <c r="D1225" t="s">
        <v>1388</v>
      </c>
      <c r="E1225" s="14" t="n">
        <v>1.25</v>
      </c>
      <c r="F1225" s="17" t="n">
        <v>169</v>
      </c>
      <c r="G1225" s="15" t="n">
        <v>1.15897981820848</v>
      </c>
      <c r="H1225" s="16" t="n">
        <v>-0.46825824176989</v>
      </c>
    </row>
    <row r="1226">
      <c r="A1226" t="s">
        <v>30</v>
      </c>
      <c r="B1226" t="s">
        <v>960</v>
      </c>
      <c r="C1226" t="s">
        <v>961</v>
      </c>
      <c r="D1226" t="s">
        <v>1388</v>
      </c>
      <c r="E1226" s="14" t="n">
        <v>0.75</v>
      </c>
      <c r="F1226" s="17" t="n">
        <v>171</v>
      </c>
      <c r="G1226" s="15" t="n">
        <v>0.713292387221365</v>
      </c>
      <c r="H1226" s="16" t="n">
        <v>-0.231762745781211</v>
      </c>
    </row>
    <row r="1227">
      <c r="A1227" t="s">
        <v>30</v>
      </c>
      <c r="B1227" t="s">
        <v>960</v>
      </c>
      <c r="C1227" t="s">
        <v>962</v>
      </c>
      <c r="D1227" t="s">
        <v>1388</v>
      </c>
      <c r="E1227" s="14" t="n">
        <v>0.75</v>
      </c>
      <c r="F1227" s="17" t="n">
        <v>3</v>
      </c>
      <c r="G1227" s="15" t="n">
        <v>0.745891421526205</v>
      </c>
      <c r="H1227" s="16" t="n">
        <v>0.0783963474507401</v>
      </c>
    </row>
    <row r="1228">
      <c r="A1228" t="s">
        <v>31</v>
      </c>
      <c r="B1228" t="s">
        <v>963</v>
      </c>
      <c r="C1228" t="s">
        <v>964</v>
      </c>
      <c r="D1228" t="s">
        <v>1388</v>
      </c>
      <c r="E1228" s="14" t="n">
        <v>1.25</v>
      </c>
      <c r="F1228" s="17" t="n">
        <v>8</v>
      </c>
      <c r="G1228" s="15" t="n">
        <v>1.2015771199229</v>
      </c>
      <c r="H1228" s="16" t="n">
        <v>0.344546694771249</v>
      </c>
    </row>
    <row r="1229">
      <c r="A1229" t="s">
        <v>31</v>
      </c>
      <c r="B1229" t="s">
        <v>963</v>
      </c>
      <c r="C1229" t="s">
        <v>965</v>
      </c>
      <c r="D1229" t="s">
        <v>1388</v>
      </c>
      <c r="E1229" s="14" t="n">
        <v>0.5</v>
      </c>
      <c r="F1229" s="17" t="n">
        <v>171</v>
      </c>
      <c r="G1229" s="15" t="n">
        <v>0.475528258147577</v>
      </c>
      <c r="H1229" s="16" t="n">
        <v>-0.154508497187474</v>
      </c>
    </row>
    <row r="1230">
      <c r="A1230" t="s">
        <v>31</v>
      </c>
      <c r="B1230" t="s">
        <v>966</v>
      </c>
      <c r="C1230" t="s">
        <v>967</v>
      </c>
      <c r="D1230" t="s">
        <v>1388</v>
      </c>
      <c r="E1230" s="14" t="n">
        <v>0.5</v>
      </c>
      <c r="F1230" s="17" t="n">
        <v>70</v>
      </c>
      <c r="G1230" s="15" t="n">
        <v>-0.383022221559489</v>
      </c>
      <c r="H1230" s="16" t="n">
        <v>0.32139380484327</v>
      </c>
    </row>
    <row r="1231">
      <c r="A1231" t="s">
        <v>31</v>
      </c>
      <c r="B1231" t="s">
        <v>966</v>
      </c>
      <c r="C1231" t="s">
        <v>968</v>
      </c>
      <c r="D1231" t="s">
        <v>1388</v>
      </c>
      <c r="E1231" s="14" t="n">
        <v>1</v>
      </c>
      <c r="F1231" s="17" t="n">
        <v>115</v>
      </c>
      <c r="G1231" s="15" t="n">
        <v>-0.642787609686539</v>
      </c>
      <c r="H1231" s="16" t="n">
        <v>-0.766044443118978</v>
      </c>
    </row>
    <row r="1232">
      <c r="A1232" t="s">
        <v>32</v>
      </c>
      <c r="B1232" t="s">
        <v>969</v>
      </c>
      <c r="C1232" t="s">
        <v>970</v>
      </c>
      <c r="D1232" t="s">
        <v>1388</v>
      </c>
      <c r="E1232" s="14" t="n">
        <v>0.5</v>
      </c>
      <c r="F1232" s="17" t="n">
        <v>81</v>
      </c>
      <c r="G1232" s="15" t="n">
        <v>-0.475528258147577</v>
      </c>
      <c r="H1232" s="16" t="n">
        <v>0.154508497187474</v>
      </c>
    </row>
    <row r="1233">
      <c r="A1233" t="s">
        <v>30</v>
      </c>
      <c r="B1233" t="s">
        <v>971</v>
      </c>
      <c r="C1233" t="s">
        <v>972</v>
      </c>
      <c r="D1233" t="s">
        <v>1388</v>
      </c>
      <c r="E1233" s="14" t="n">
        <v>0.25</v>
      </c>
      <c r="F1233" s="17" t="n">
        <v>103</v>
      </c>
      <c r="G1233" s="15" t="n">
        <v>-0.224698511574792</v>
      </c>
      <c r="H1233" s="16" t="n">
        <v>-0.109592786697269</v>
      </c>
    </row>
    <row r="1234">
      <c r="A1234" t="s">
        <v>30</v>
      </c>
      <c r="B1234" t="s">
        <v>971</v>
      </c>
      <c r="C1234" t="s">
        <v>973</v>
      </c>
      <c r="D1234" t="s">
        <v>1388</v>
      </c>
      <c r="E1234" s="14" t="n">
        <v>1</v>
      </c>
      <c r="F1234" s="17" t="n">
        <v>90</v>
      </c>
      <c r="G1234" s="15" t="n">
        <v>-1</v>
      </c>
      <c r="H1234" s="16" t="n">
        <v>0</v>
      </c>
    </row>
    <row r="1235">
      <c r="A1235" t="s">
        <v>30</v>
      </c>
      <c r="B1235" t="s">
        <v>974</v>
      </c>
      <c r="C1235" t="s">
        <v>975</v>
      </c>
      <c r="D1235" t="s">
        <v>1388</v>
      </c>
      <c r="E1235" s="14" t="n">
        <v>1</v>
      </c>
      <c r="F1235" s="17" t="n">
        <v>94</v>
      </c>
      <c r="G1235" s="15" t="n">
        <v>-0.99026806874157</v>
      </c>
      <c r="H1235" s="16" t="n">
        <v>-0.139173100960066</v>
      </c>
    </row>
    <row r="1236">
      <c r="A1236" t="s">
        <v>31</v>
      </c>
      <c r="B1236" t="s">
        <v>976</v>
      </c>
      <c r="C1236" t="s">
        <v>977</v>
      </c>
      <c r="D1236" t="s">
        <v>1388</v>
      </c>
      <c r="E1236" s="14" t="n">
        <v>0.75</v>
      </c>
      <c r="F1236" s="17" t="n">
        <v>35</v>
      </c>
      <c r="G1236" s="15" t="n">
        <v>0.256515107494252</v>
      </c>
      <c r="H1236" s="16" t="n">
        <v>0.704769465589431</v>
      </c>
    </row>
    <row r="1237">
      <c r="A1237" t="s">
        <v>31</v>
      </c>
      <c r="B1237" t="s">
        <v>976</v>
      </c>
      <c r="C1237" t="s">
        <v>978</v>
      </c>
      <c r="D1237" t="s">
        <v>1388</v>
      </c>
      <c r="E1237" s="14" t="n">
        <v>0.5</v>
      </c>
      <c r="F1237" s="17" t="n">
        <v>159</v>
      </c>
      <c r="G1237" s="15" t="n">
        <v>0.371572412738697</v>
      </c>
      <c r="H1237" s="16" t="n">
        <v>-0.334565303179429</v>
      </c>
    </row>
    <row r="1238">
      <c r="A1238" t="s">
        <v>32</v>
      </c>
      <c r="B1238" t="s">
        <v>979</v>
      </c>
      <c r="C1238" t="s">
        <v>980</v>
      </c>
      <c r="D1238" t="s">
        <v>1388</v>
      </c>
      <c r="E1238" s="14" t="n">
        <v>0.25</v>
      </c>
      <c r="F1238" s="17" t="n">
        <v>87</v>
      </c>
      <c r="G1238" s="15" t="n">
        <v>-0.248630473842068</v>
      </c>
      <c r="H1238" s="16" t="n">
        <v>0.0261321158169134</v>
      </c>
    </row>
    <row r="1239">
      <c r="A1239" t="s">
        <v>32</v>
      </c>
      <c r="B1239" t="s">
        <v>979</v>
      </c>
      <c r="C1239" t="s">
        <v>981</v>
      </c>
      <c r="D1239" t="s">
        <v>1388</v>
      </c>
      <c r="E1239" s="14" t="n">
        <v>0</v>
      </c>
      <c r="F1239" s="17" t="n">
        <v>100</v>
      </c>
      <c r="G1239" s="15" t="n">
        <v>0</v>
      </c>
      <c r="H1239" s="16" t="n">
        <v>0</v>
      </c>
    </row>
    <row r="1240">
      <c r="A1240" t="s">
        <v>32</v>
      </c>
      <c r="B1240" t="s">
        <v>982</v>
      </c>
      <c r="C1240" t="s">
        <v>983</v>
      </c>
      <c r="D1240" t="s">
        <v>1388</v>
      </c>
      <c r="E1240" s="14" t="n">
        <v>1.25</v>
      </c>
      <c r="F1240" s="17" t="n">
        <v>1</v>
      </c>
      <c r="G1240" s="15" t="n">
        <v>1.24923853377387</v>
      </c>
      <c r="H1240" s="16" t="n">
        <v>0.0436243708781262</v>
      </c>
    </row>
    <row r="1241">
      <c r="A1241" t="s">
        <v>32</v>
      </c>
      <c r="B1241" t="s">
        <v>982</v>
      </c>
      <c r="C1241" t="s">
        <v>984</v>
      </c>
      <c r="D1241" t="s">
        <v>1388</v>
      </c>
      <c r="E1241" s="14" t="n">
        <v>1.25</v>
      </c>
      <c r="F1241" s="17" t="n">
        <v>176</v>
      </c>
      <c r="G1241" s="15" t="n">
        <v>1.23783508592696</v>
      </c>
      <c r="H1241" s="16" t="n">
        <v>-0.173966376200082</v>
      </c>
    </row>
    <row r="1242">
      <c r="A1242" t="s">
        <v>30</v>
      </c>
      <c r="B1242" t="s">
        <v>985</v>
      </c>
      <c r="C1242" t="s">
        <v>986</v>
      </c>
      <c r="D1242" t="s">
        <v>1388</v>
      </c>
      <c r="E1242" s="14" t="n">
        <v>0.75</v>
      </c>
      <c r="F1242" s="17" t="n">
        <v>98</v>
      </c>
      <c r="G1242" s="15" t="n">
        <v>-0.720946271953739</v>
      </c>
      <c r="H1242" s="16" t="n">
        <v>-0.206728016862749</v>
      </c>
    </row>
    <row r="1243">
      <c r="A1243" t="s">
        <v>30</v>
      </c>
      <c r="B1243" t="s">
        <v>985</v>
      </c>
      <c r="C1243" t="s">
        <v>987</v>
      </c>
      <c r="D1243" t="s">
        <v>1388</v>
      </c>
      <c r="E1243" s="14" t="n">
        <v>1.75</v>
      </c>
      <c r="F1243" s="17" t="n">
        <v>78</v>
      </c>
      <c r="G1243" s="15" t="n">
        <v>-1.59870455087455</v>
      </c>
      <c r="H1243" s="16" t="n">
        <v>0.71178912538265</v>
      </c>
    </row>
    <row r="1244">
      <c r="A1244" t="s">
        <v>30</v>
      </c>
      <c r="B1244" t="s">
        <v>988</v>
      </c>
      <c r="C1244" t="s">
        <v>989</v>
      </c>
      <c r="D1244" t="s">
        <v>1388</v>
      </c>
      <c r="E1244" s="14" t="n">
        <v>1.25</v>
      </c>
      <c r="F1244" s="17" t="n">
        <v>103</v>
      </c>
      <c r="G1244" s="15" t="n">
        <v>-1.12349255787396</v>
      </c>
      <c r="H1244" s="16" t="n">
        <v>-0.547963933486347</v>
      </c>
    </row>
    <row r="1245">
      <c r="A1245" t="s">
        <v>32</v>
      </c>
      <c r="B1245" t="s">
        <v>990</v>
      </c>
      <c r="C1245" t="s">
        <v>991</v>
      </c>
      <c r="D1245" t="s">
        <v>1388</v>
      </c>
      <c r="E1245" s="14" t="n">
        <v>0.25</v>
      </c>
      <c r="F1245" s="17" t="n">
        <v>95</v>
      </c>
      <c r="G1245" s="15" t="n">
        <v>-0.246201938253052</v>
      </c>
      <c r="H1245" s="16" t="n">
        <v>-0.0434120444167327</v>
      </c>
    </row>
    <row r="1246">
      <c r="A1246" t="s">
        <v>32</v>
      </c>
      <c r="B1246" t="s">
        <v>992</v>
      </c>
      <c r="C1246" t="s">
        <v>993</v>
      </c>
      <c r="D1246" t="s">
        <v>1388</v>
      </c>
      <c r="E1246" s="14" t="n">
        <v>0.5</v>
      </c>
      <c r="F1246" s="17" t="n">
        <v>40</v>
      </c>
      <c r="G1246" s="15" t="n">
        <v>0.0868240888334652</v>
      </c>
      <c r="H1246" s="16" t="n">
        <v>0.492403876506104</v>
      </c>
    </row>
    <row r="1247">
      <c r="A1247" t="s">
        <v>30</v>
      </c>
      <c r="B1247" t="s">
        <v>994</v>
      </c>
      <c r="C1247" t="s">
        <v>995</v>
      </c>
      <c r="D1247" t="s">
        <v>1388</v>
      </c>
      <c r="E1247" s="14" t="n">
        <v>0.75</v>
      </c>
      <c r="F1247" s="17" t="n">
        <v>92</v>
      </c>
      <c r="G1247" s="15" t="n">
        <v>-0.748173037694868</v>
      </c>
      <c r="H1247" s="16" t="n">
        <v>-0.0523173553080938</v>
      </c>
    </row>
    <row r="1248">
      <c r="A1248" t="s">
        <v>30</v>
      </c>
      <c r="B1248" t="s">
        <v>994</v>
      </c>
      <c r="C1248" t="s">
        <v>996</v>
      </c>
      <c r="D1248" t="s">
        <v>1388</v>
      </c>
      <c r="E1248" s="14" t="n">
        <v>0.75</v>
      </c>
      <c r="F1248" s="17" t="n">
        <v>90</v>
      </c>
      <c r="G1248" s="15" t="n">
        <v>-0.75</v>
      </c>
      <c r="H1248" s="16" t="n">
        <v>0</v>
      </c>
    </row>
    <row r="1249">
      <c r="A1249" t="s">
        <v>31</v>
      </c>
      <c r="B1249" t="s">
        <v>997</v>
      </c>
      <c r="C1249" t="s">
        <v>998</v>
      </c>
      <c r="D1249" t="s">
        <v>1388</v>
      </c>
      <c r="E1249" s="14" t="n">
        <v>1.75</v>
      </c>
      <c r="F1249" s="17" t="n">
        <v>96</v>
      </c>
      <c r="G1249" s="15" t="n">
        <v>-1.71175830128416</v>
      </c>
      <c r="H1249" s="16" t="n">
        <v>-0.363845458931079</v>
      </c>
    </row>
    <row r="1250">
      <c r="A1250" t="s">
        <v>31</v>
      </c>
      <c r="B1250" t="s">
        <v>997</v>
      </c>
      <c r="C1250" t="s">
        <v>999</v>
      </c>
      <c r="D1250" t="s">
        <v>1388</v>
      </c>
      <c r="E1250" s="14" t="n">
        <v>1.25</v>
      </c>
      <c r="F1250" s="17" t="n">
        <v>98</v>
      </c>
      <c r="G1250" s="15" t="n">
        <v>-1.2015771199229</v>
      </c>
      <c r="H1250" s="16" t="n">
        <v>-0.344546694771249</v>
      </c>
    </row>
    <row r="1251">
      <c r="A1251" t="s">
        <v>31</v>
      </c>
      <c r="B1251" t="s">
        <v>1000</v>
      </c>
      <c r="C1251" t="s">
        <v>1001</v>
      </c>
      <c r="D1251" t="s">
        <v>1388</v>
      </c>
      <c r="E1251" s="14" t="n">
        <v>1</v>
      </c>
      <c r="F1251" s="17" t="n">
        <v>163</v>
      </c>
      <c r="G1251" s="15" t="n">
        <v>0.829037572555041</v>
      </c>
      <c r="H1251" s="16" t="n">
        <v>-0.559192903470747</v>
      </c>
    </row>
    <row r="1252">
      <c r="A1252" t="s">
        <v>31</v>
      </c>
      <c r="B1252" t="s">
        <v>1002</v>
      </c>
      <c r="C1252" t="s">
        <v>1003</v>
      </c>
      <c r="D1252" t="s">
        <v>1388</v>
      </c>
      <c r="E1252" s="14" t="n">
        <v>1.25</v>
      </c>
      <c r="F1252" s="17" t="n">
        <v>78</v>
      </c>
      <c r="G1252" s="15" t="n">
        <v>-1.14193182205325</v>
      </c>
      <c r="H1252" s="16" t="n">
        <v>0.50842080384475</v>
      </c>
    </row>
    <row r="1253">
      <c r="A1253" t="s">
        <v>31</v>
      </c>
      <c r="B1253" t="s">
        <v>1004</v>
      </c>
      <c r="C1253" t="s">
        <v>1005</v>
      </c>
      <c r="D1253" t="s">
        <v>1388</v>
      </c>
      <c r="E1253" s="14" t="n">
        <v>0.75</v>
      </c>
      <c r="F1253" s="17" t="n">
        <v>140</v>
      </c>
      <c r="G1253" s="15" t="n">
        <v>0.130236133250197</v>
      </c>
      <c r="H1253" s="16" t="n">
        <v>-0.738605814759156</v>
      </c>
    </row>
    <row r="1254">
      <c r="A1254" t="s">
        <v>31</v>
      </c>
      <c r="B1254" t="s">
        <v>1004</v>
      </c>
      <c r="C1254" t="s">
        <v>1006</v>
      </c>
      <c r="D1254" t="s">
        <v>1388</v>
      </c>
      <c r="E1254" s="14" t="n">
        <v>1.25</v>
      </c>
      <c r="F1254" s="17" t="n">
        <v>42</v>
      </c>
      <c r="G1254" s="15" t="n">
        <v>0.130660579084567</v>
      </c>
      <c r="H1254" s="16" t="n">
        <v>1.24315236921034</v>
      </c>
    </row>
    <row r="1255">
      <c r="A1255" t="s">
        <v>31</v>
      </c>
      <c r="B1255" t="s">
        <v>1007</v>
      </c>
      <c r="C1255" t="s">
        <v>1008</v>
      </c>
      <c r="D1255" t="s">
        <v>1388</v>
      </c>
      <c r="E1255" s="14" t="n">
        <v>1.5</v>
      </c>
      <c r="F1255" s="17" t="n">
        <v>87</v>
      </c>
      <c r="G1255" s="15" t="n">
        <v>-1.49178284305241</v>
      </c>
      <c r="H1255" s="16" t="n">
        <v>0.156792694901481</v>
      </c>
    </row>
    <row r="1256">
      <c r="A1256" t="s">
        <v>31</v>
      </c>
      <c r="B1256" t="s">
        <v>1007</v>
      </c>
      <c r="C1256" t="s">
        <v>1009</v>
      </c>
      <c r="D1256" t="s">
        <v>1388</v>
      </c>
      <c r="E1256" s="14" t="n">
        <v>1.5</v>
      </c>
      <c r="F1256" s="17" t="n">
        <v>63</v>
      </c>
      <c r="G1256" s="15" t="n">
        <v>-0.88167787843871</v>
      </c>
      <c r="H1256" s="16" t="n">
        <v>1.21352549156242</v>
      </c>
    </row>
    <row r="1257">
      <c r="A1257" t="s">
        <v>30</v>
      </c>
      <c r="B1257" t="s">
        <v>1010</v>
      </c>
      <c r="C1257" t="s">
        <v>1011</v>
      </c>
      <c r="D1257" t="s">
        <v>1388</v>
      </c>
      <c r="E1257" s="14" t="n">
        <v>0.5</v>
      </c>
      <c r="F1257" s="17" t="n">
        <v>134</v>
      </c>
      <c r="G1257" s="15" t="n">
        <v>-0.0174497483512504</v>
      </c>
      <c r="H1257" s="16" t="n">
        <v>-0.499695413509548</v>
      </c>
    </row>
    <row r="1258">
      <c r="A1258" t="s">
        <v>30</v>
      </c>
      <c r="B1258" t="s">
        <v>1010</v>
      </c>
      <c r="C1258" t="s">
        <v>1012</v>
      </c>
      <c r="D1258" t="s">
        <v>1388</v>
      </c>
      <c r="E1258" s="14" t="n">
        <v>0.5</v>
      </c>
      <c r="F1258" s="17" t="n">
        <v>35</v>
      </c>
      <c r="G1258" s="15" t="n">
        <v>0.171010071662834</v>
      </c>
      <c r="H1258" s="16" t="n">
        <v>0.469846310392954</v>
      </c>
    </row>
    <row r="1259">
      <c r="A1259" t="s">
        <v>31</v>
      </c>
      <c r="B1259" t="s">
        <v>1013</v>
      </c>
      <c r="C1259" t="s">
        <v>1014</v>
      </c>
      <c r="D1259" t="s">
        <v>1388</v>
      </c>
      <c r="E1259" s="14" t="n">
        <v>0.5</v>
      </c>
      <c r="F1259" s="17" t="n">
        <v>50</v>
      </c>
      <c r="G1259" s="15" t="n">
        <v>-0.0868240888334652</v>
      </c>
      <c r="H1259" s="16" t="n">
        <v>0.492403876506104</v>
      </c>
    </row>
    <row r="1260">
      <c r="A1260" t="s">
        <v>31</v>
      </c>
      <c r="B1260" t="s">
        <v>1013</v>
      </c>
      <c r="C1260" t="s">
        <v>1015</v>
      </c>
      <c r="D1260" t="s">
        <v>1388</v>
      </c>
      <c r="E1260" s="14" t="n">
        <v>0.75</v>
      </c>
      <c r="F1260" s="17" t="n">
        <v>131</v>
      </c>
      <c r="G1260" s="15" t="n">
        <v>-0.104379825720049</v>
      </c>
      <c r="H1260" s="16" t="n">
        <v>-0.742701051556178</v>
      </c>
    </row>
    <row r="1261">
      <c r="A1261" t="s">
        <v>31</v>
      </c>
      <c r="B1261" t="s">
        <v>1016</v>
      </c>
      <c r="C1261" t="s">
        <v>1017</v>
      </c>
      <c r="D1261" t="s">
        <v>1388</v>
      </c>
      <c r="E1261" s="14" t="n">
        <v>1.25</v>
      </c>
      <c r="F1261" s="17" t="n">
        <v>92</v>
      </c>
      <c r="G1261" s="15" t="n">
        <v>-1.24695506282478</v>
      </c>
      <c r="H1261" s="16" t="n">
        <v>-0.0871955921801564</v>
      </c>
    </row>
    <row r="1262">
      <c r="A1262" t="s">
        <v>31</v>
      </c>
      <c r="B1262" t="s">
        <v>1016</v>
      </c>
      <c r="C1262" t="s">
        <v>1018</v>
      </c>
      <c r="D1262" t="s">
        <v>1388</v>
      </c>
      <c r="E1262" s="14" t="n">
        <v>1.5</v>
      </c>
      <c r="F1262" s="17" t="n">
        <v>75</v>
      </c>
      <c r="G1262" s="15" t="n">
        <v>-1.29903810567666</v>
      </c>
      <c r="H1262" s="16" t="n">
        <v>0.75</v>
      </c>
    </row>
    <row r="1263">
      <c r="A1263" t="s">
        <v>31</v>
      </c>
      <c r="B1263" t="s">
        <v>1019</v>
      </c>
      <c r="C1263" t="s">
        <v>1020</v>
      </c>
      <c r="D1263" t="s">
        <v>1388</v>
      </c>
      <c r="E1263" s="14" t="n">
        <v>0.25</v>
      </c>
      <c r="F1263" s="17" t="n">
        <v>0</v>
      </c>
      <c r="G1263" s="15" t="n">
        <v>0.25</v>
      </c>
      <c r="H1263" s="16" t="n">
        <v>0</v>
      </c>
    </row>
    <row r="1264">
      <c r="A1264" t="s">
        <v>31</v>
      </c>
      <c r="B1264" t="s">
        <v>1021</v>
      </c>
      <c r="C1264" t="s">
        <v>1022</v>
      </c>
      <c r="D1264" t="s">
        <v>1388</v>
      </c>
      <c r="E1264" s="14" t="n">
        <v>1</v>
      </c>
      <c r="F1264" s="17" t="n">
        <v>172</v>
      </c>
      <c r="G1264" s="15" t="n">
        <v>0.961261695938319</v>
      </c>
      <c r="H1264" s="16" t="n">
        <v>-0.275637355816999</v>
      </c>
    </row>
    <row r="1265">
      <c r="A1265" t="s">
        <v>31</v>
      </c>
      <c r="B1265" t="s">
        <v>1021</v>
      </c>
      <c r="C1265" t="s">
        <v>1023</v>
      </c>
      <c r="D1265" t="s">
        <v>1388</v>
      </c>
      <c r="E1265" s="14" t="n">
        <v>1</v>
      </c>
      <c r="F1265" s="17" t="n">
        <v>170</v>
      </c>
      <c r="G1265" s="15" t="n">
        <v>0.939692620785908</v>
      </c>
      <c r="H1265" s="16" t="n">
        <v>-0.342020143325669</v>
      </c>
    </row>
    <row r="1266">
      <c r="A1266" t="s">
        <v>30</v>
      </c>
      <c r="B1266" t="s">
        <v>1024</v>
      </c>
      <c r="C1266" t="s">
        <v>1025</v>
      </c>
      <c r="D1266" t="s">
        <v>1388</v>
      </c>
      <c r="E1266" s="14" t="n">
        <v>1.25</v>
      </c>
      <c r="F1266" s="17" t="n">
        <v>106</v>
      </c>
      <c r="G1266" s="15" t="n">
        <v>-1.06006012019553</v>
      </c>
      <c r="H1266" s="16" t="n">
        <v>-0.662399080291506</v>
      </c>
    </row>
    <row r="1267">
      <c r="A1267" t="s">
        <v>30</v>
      </c>
      <c r="B1267" t="s">
        <v>1024</v>
      </c>
      <c r="C1267" t="s">
        <v>1026</v>
      </c>
      <c r="D1267" t="s">
        <v>1388</v>
      </c>
      <c r="E1267" s="14" t="n">
        <v>1.5</v>
      </c>
      <c r="F1267" s="17" t="n">
        <v>76</v>
      </c>
      <c r="G1267" s="15" t="n">
        <v>-1.32442138928839</v>
      </c>
      <c r="H1267" s="16" t="n">
        <v>0.704207344178836</v>
      </c>
    </row>
    <row r="1268">
      <c r="A1268" t="s">
        <v>31</v>
      </c>
      <c r="B1268" t="s">
        <v>1027</v>
      </c>
      <c r="C1268" t="s">
        <v>1028</v>
      </c>
      <c r="D1268" t="s">
        <v>1388</v>
      </c>
      <c r="E1268" s="14" t="n">
        <v>0.5</v>
      </c>
      <c r="F1268" s="17" t="n">
        <v>75</v>
      </c>
      <c r="G1268" s="15" t="n">
        <v>-0.433012701892219</v>
      </c>
      <c r="H1268" s="16" t="n">
        <v>0.25</v>
      </c>
    </row>
    <row r="1269">
      <c r="A1269" t="s">
        <v>30</v>
      </c>
      <c r="B1269" t="s">
        <v>1029</v>
      </c>
      <c r="C1269" t="s">
        <v>1030</v>
      </c>
      <c r="D1269" t="s">
        <v>1388</v>
      </c>
      <c r="E1269" s="14" t="n">
        <v>0.75</v>
      </c>
      <c r="F1269" s="17" t="n">
        <v>97</v>
      </c>
      <c r="G1269" s="15" t="n">
        <v>-0.727721794706997</v>
      </c>
      <c r="H1269" s="16" t="n">
        <v>-0.181441421699751</v>
      </c>
    </row>
    <row r="1270">
      <c r="A1270" t="s">
        <v>30</v>
      </c>
      <c r="B1270" t="s">
        <v>1031</v>
      </c>
      <c r="C1270" t="s">
        <v>1032</v>
      </c>
      <c r="D1270" t="s">
        <v>1388</v>
      </c>
      <c r="E1270" s="14" t="n">
        <v>0.75</v>
      </c>
      <c r="F1270" s="17" t="n">
        <v>179</v>
      </c>
      <c r="G1270" s="15" t="n">
        <v>0.749543120264322</v>
      </c>
      <c r="H1270" s="16" t="n">
        <v>-0.0261746225268756</v>
      </c>
    </row>
    <row r="1271">
      <c r="A1271" t="s">
        <v>30</v>
      </c>
      <c r="B1271" t="s">
        <v>1033</v>
      </c>
      <c r="C1271" t="s">
        <v>1034</v>
      </c>
      <c r="D1271" t="s">
        <v>1388</v>
      </c>
      <c r="E1271" s="14" t="n">
        <v>0.5</v>
      </c>
      <c r="F1271" s="17" t="n">
        <v>75</v>
      </c>
      <c r="G1271" s="15" t="n">
        <v>-0.433012701892219</v>
      </c>
      <c r="H1271" s="16" t="n">
        <v>0.25</v>
      </c>
    </row>
    <row r="1272">
      <c r="A1272" t="s">
        <v>30</v>
      </c>
      <c r="B1272" t="s">
        <v>1033</v>
      </c>
      <c r="C1272" t="s">
        <v>1035</v>
      </c>
      <c r="D1272" t="s">
        <v>1388</v>
      </c>
      <c r="E1272" s="14" t="n">
        <v>0.5</v>
      </c>
      <c r="F1272" s="17" t="n">
        <v>111</v>
      </c>
      <c r="G1272" s="15" t="n">
        <v>-0.371572412738697</v>
      </c>
      <c r="H1272" s="16" t="n">
        <v>-0.334565303179429</v>
      </c>
    </row>
    <row r="1273">
      <c r="A1273" t="s">
        <v>31</v>
      </c>
      <c r="B1273" t="s">
        <v>1036</v>
      </c>
      <c r="C1273" t="s">
        <v>1037</v>
      </c>
      <c r="D1273" t="s">
        <v>1388</v>
      </c>
      <c r="E1273" s="14" t="n">
        <v>1.25</v>
      </c>
      <c r="F1273" s="17" t="n">
        <v>95</v>
      </c>
      <c r="G1273" s="15" t="n">
        <v>-1.23100969126526</v>
      </c>
      <c r="H1273" s="16" t="n">
        <v>-0.217060222083663</v>
      </c>
    </row>
    <row r="1274">
      <c r="A1274" t="s">
        <v>30</v>
      </c>
      <c r="B1274" t="s">
        <v>1038</v>
      </c>
      <c r="C1274" t="s">
        <v>1039</v>
      </c>
      <c r="D1274" t="s">
        <v>1388</v>
      </c>
      <c r="E1274" s="14" t="n">
        <v>1</v>
      </c>
      <c r="F1274" s="17" t="n">
        <v>77</v>
      </c>
      <c r="G1274" s="15" t="n">
        <v>-0.898794046299167</v>
      </c>
      <c r="H1274" s="16" t="n">
        <v>0.438371146789078</v>
      </c>
    </row>
    <row r="1275">
      <c r="A1275" t="s">
        <v>30</v>
      </c>
      <c r="B1275" t="s">
        <v>1040</v>
      </c>
      <c r="C1275" t="s">
        <v>1041</v>
      </c>
      <c r="D1275" t="s">
        <v>1388</v>
      </c>
      <c r="E1275" s="14" t="n">
        <v>0.5</v>
      </c>
      <c r="F1275" s="17" t="n">
        <v>100</v>
      </c>
      <c r="G1275" s="15" t="n">
        <v>-0.469846310392954</v>
      </c>
      <c r="H1275" s="16" t="n">
        <v>-0.171010071662834</v>
      </c>
    </row>
    <row r="1276">
      <c r="A1276" t="s">
        <v>32</v>
      </c>
      <c r="B1276" t="s">
        <v>1042</v>
      </c>
      <c r="C1276" t="s">
        <v>1043</v>
      </c>
      <c r="D1276" t="s">
        <v>1388</v>
      </c>
      <c r="E1276" s="14" t="n">
        <v>0.75</v>
      </c>
      <c r="F1276" s="17" t="n">
        <v>64</v>
      </c>
      <c r="G1276" s="15" t="n">
        <v>-0.461746106494244</v>
      </c>
      <c r="H1276" s="16" t="n">
        <v>0.591008065205042</v>
      </c>
    </row>
    <row r="1277">
      <c r="A1277" t="s">
        <v>32</v>
      </c>
      <c r="B1277" t="s">
        <v>1042</v>
      </c>
      <c r="C1277" t="s">
        <v>1044</v>
      </c>
      <c r="D1277" t="s">
        <v>1388</v>
      </c>
      <c r="E1277" s="14" t="n">
        <v>0.5</v>
      </c>
      <c r="F1277" s="17" t="n">
        <v>105</v>
      </c>
      <c r="G1277" s="15" t="n">
        <v>-0.433012701892219</v>
      </c>
      <c r="H1277" s="16" t="n">
        <v>-0.25</v>
      </c>
    </row>
    <row r="1278">
      <c r="A1278" t="s">
        <v>31</v>
      </c>
      <c r="B1278" t="s">
        <v>1045</v>
      </c>
      <c r="C1278" t="s">
        <v>1046</v>
      </c>
      <c r="D1278" t="s">
        <v>1388</v>
      </c>
      <c r="E1278" s="14" t="n">
        <v>0.5</v>
      </c>
      <c r="F1278" s="17" t="n">
        <v>104</v>
      </c>
      <c r="G1278" s="15" t="n">
        <v>-0.441473796429464</v>
      </c>
      <c r="H1278" s="16" t="n">
        <v>-0.234735781392945</v>
      </c>
    </row>
    <row r="1279">
      <c r="A1279" t="s">
        <v>32</v>
      </c>
      <c r="B1279" t="s">
        <v>1047</v>
      </c>
      <c r="C1279" t="s">
        <v>1048</v>
      </c>
      <c r="D1279" t="s">
        <v>1388</v>
      </c>
      <c r="E1279" s="14" t="n">
        <v>0.75</v>
      </c>
      <c r="F1279" s="17" t="n">
        <v>147</v>
      </c>
      <c r="G1279" s="15" t="n">
        <v>0.30505248230685</v>
      </c>
      <c r="H1279" s="16" t="n">
        <v>-0.685159093231951</v>
      </c>
    </row>
    <row r="1280">
      <c r="A1280" t="s">
        <v>32</v>
      </c>
      <c r="B1280" t="s">
        <v>1047</v>
      </c>
      <c r="C1280" t="s">
        <v>1049</v>
      </c>
      <c r="D1280" t="s">
        <v>1388</v>
      </c>
      <c r="E1280" s="14" t="n">
        <v>0.75</v>
      </c>
      <c r="F1280" s="17" t="n">
        <v>25</v>
      </c>
      <c r="G1280" s="15" t="n">
        <v>0.482090707264905</v>
      </c>
      <c r="H1280" s="16" t="n">
        <v>0.574533332339234</v>
      </c>
    </row>
    <row r="1281">
      <c r="A1281" t="s">
        <v>30</v>
      </c>
      <c r="B1281" t="s">
        <v>1050</v>
      </c>
      <c r="C1281" t="s">
        <v>1051</v>
      </c>
      <c r="D1281" t="s">
        <v>1388</v>
      </c>
      <c r="E1281" s="14" t="n">
        <v>0.75</v>
      </c>
      <c r="F1281" s="17" t="n">
        <v>55</v>
      </c>
      <c r="G1281" s="15" t="n">
        <v>-0.256515107494252</v>
      </c>
      <c r="H1281" s="16" t="n">
        <v>0.704769465589431</v>
      </c>
    </row>
    <row r="1282">
      <c r="A1282" t="s">
        <v>30</v>
      </c>
      <c r="B1282" t="s">
        <v>1050</v>
      </c>
      <c r="C1282" t="s">
        <v>1052</v>
      </c>
      <c r="D1282" t="s">
        <v>1388</v>
      </c>
      <c r="E1282" s="14" t="n">
        <v>1.25</v>
      </c>
      <c r="F1282" s="17" t="n">
        <v>121</v>
      </c>
      <c r="G1282" s="15" t="n">
        <v>-0.586839453482363</v>
      </c>
      <c r="H1282" s="16" t="n">
        <v>-1.10368449107366</v>
      </c>
    </row>
    <row r="1283">
      <c r="A1283" t="s">
        <v>30</v>
      </c>
      <c r="B1283" t="s">
        <v>1053</v>
      </c>
      <c r="C1283" t="s">
        <v>1054</v>
      </c>
      <c r="D1283" t="s">
        <v>1388</v>
      </c>
      <c r="E1283" s="14" t="n">
        <v>0.5</v>
      </c>
      <c r="F1283" s="17" t="n">
        <v>76</v>
      </c>
      <c r="G1283" s="15" t="n">
        <v>-0.441473796429463</v>
      </c>
      <c r="H1283" s="16" t="n">
        <v>0.234735781392945</v>
      </c>
    </row>
    <row r="1284">
      <c r="A1284" t="s">
        <v>30</v>
      </c>
      <c r="B1284" t="s">
        <v>1053</v>
      </c>
      <c r="C1284" t="s">
        <v>1055</v>
      </c>
      <c r="D1284" t="s">
        <v>1388</v>
      </c>
      <c r="E1284" s="14" t="n">
        <v>0.25</v>
      </c>
      <c r="F1284" s="17" t="n">
        <v>102</v>
      </c>
      <c r="G1284" s="15" t="n">
        <v>-0.22838636441065</v>
      </c>
      <c r="H1284" s="16" t="n">
        <v>-0.10168416076895</v>
      </c>
    </row>
    <row r="1285">
      <c r="A1285" t="s">
        <v>30</v>
      </c>
      <c r="B1285" t="s">
        <v>1439</v>
      </c>
      <c r="C1285" t="s">
        <v>1440</v>
      </c>
      <c r="D1285" t="s">
        <v>1388</v>
      </c>
      <c r="E1285" s="14" t="n">
        <v>0.5</v>
      </c>
      <c r="F1285" s="17" t="n">
        <v>70</v>
      </c>
      <c r="G1285" s="15" t="n">
        <v>-0.383022221559489</v>
      </c>
      <c r="H1285" s="16" t="n">
        <v>0.32139380484327</v>
      </c>
    </row>
    <row r="1286">
      <c r="A1286" t="s">
        <v>30</v>
      </c>
      <c r="B1286" t="s">
        <v>1439</v>
      </c>
      <c r="C1286" t="s">
        <v>1441</v>
      </c>
      <c r="D1286" t="s">
        <v>1388</v>
      </c>
      <c r="E1286" s="14" t="n">
        <v>0.5</v>
      </c>
      <c r="F1286" s="17" t="n">
        <v>113</v>
      </c>
      <c r="G1286" s="15" t="n">
        <v>-0.347329185229499</v>
      </c>
      <c r="H1286" s="16" t="n">
        <v>-0.359669900169326</v>
      </c>
    </row>
    <row r="1287">
      <c r="A1287" t="s">
        <v>32</v>
      </c>
      <c r="B1287" t="s">
        <v>1056</v>
      </c>
      <c r="C1287" t="s">
        <v>1057</v>
      </c>
      <c r="D1287" t="s">
        <v>1388</v>
      </c>
      <c r="E1287" s="14" t="n">
        <v>0.25</v>
      </c>
      <c r="F1287" s="17" t="n">
        <v>72</v>
      </c>
      <c r="G1287" s="15" t="n">
        <v>-0.202254248593737</v>
      </c>
      <c r="H1287" s="16" t="n">
        <v>0.146946313073118</v>
      </c>
    </row>
    <row r="1288">
      <c r="A1288" t="s">
        <v>30</v>
      </c>
      <c r="B1288" t="s">
        <v>1058</v>
      </c>
      <c r="C1288" t="s">
        <v>1059</v>
      </c>
      <c r="D1288" t="s">
        <v>1388</v>
      </c>
      <c r="E1288" s="14" t="n">
        <v>0.25</v>
      </c>
      <c r="F1288" s="17" t="n">
        <v>125</v>
      </c>
      <c r="G1288" s="15" t="n">
        <v>-0.0855050358314173</v>
      </c>
      <c r="H1288" s="16" t="n">
        <v>-0.234923155196477</v>
      </c>
    </row>
    <row r="1289">
      <c r="A1289" t="s">
        <v>30</v>
      </c>
      <c r="B1289" t="s">
        <v>1058</v>
      </c>
      <c r="C1289" t="s">
        <v>1060</v>
      </c>
      <c r="D1289" t="s">
        <v>1388</v>
      </c>
      <c r="E1289" s="14" t="n">
        <v>0.25</v>
      </c>
      <c r="F1289" s="17" t="n">
        <v>57</v>
      </c>
      <c r="G1289" s="15" t="n">
        <v>-0.10168416076895</v>
      </c>
      <c r="H1289" s="16" t="n">
        <v>0.22838636441065</v>
      </c>
    </row>
    <row r="1290">
      <c r="A1290" t="s">
        <v>31</v>
      </c>
      <c r="B1290" t="s">
        <v>1061</v>
      </c>
      <c r="C1290" t="s">
        <v>1062</v>
      </c>
      <c r="D1290" t="s">
        <v>1388</v>
      </c>
      <c r="E1290" s="14" t="n">
        <v>0.75</v>
      </c>
      <c r="F1290" s="17" t="n">
        <v>70</v>
      </c>
      <c r="G1290" s="15" t="n">
        <v>-0.574533332339233</v>
      </c>
      <c r="H1290" s="16" t="n">
        <v>0.482090707264905</v>
      </c>
    </row>
    <row r="1291">
      <c r="A1291" t="s">
        <v>31</v>
      </c>
      <c r="B1291" t="s">
        <v>1061</v>
      </c>
      <c r="C1291" t="s">
        <v>1063</v>
      </c>
      <c r="D1291" t="s">
        <v>1388</v>
      </c>
      <c r="E1291" s="14" t="n">
        <v>0.75</v>
      </c>
      <c r="F1291" s="17" t="n">
        <v>111</v>
      </c>
      <c r="G1291" s="15" t="n">
        <v>-0.557358619108046</v>
      </c>
      <c r="H1291" s="16" t="n">
        <v>-0.501847954769144</v>
      </c>
    </row>
    <row r="1292">
      <c r="A1292" t="s">
        <v>32</v>
      </c>
      <c r="B1292" t="s">
        <v>1064</v>
      </c>
      <c r="C1292" t="s">
        <v>1065</v>
      </c>
      <c r="D1292" t="s">
        <v>1388</v>
      </c>
      <c r="E1292" s="14" t="n">
        <v>0.5</v>
      </c>
      <c r="F1292" s="17" t="n">
        <v>86</v>
      </c>
      <c r="G1292" s="15" t="n">
        <v>-0.495134034370785</v>
      </c>
      <c r="H1292" s="16" t="n">
        <v>0.0695865504800327</v>
      </c>
    </row>
    <row r="1293">
      <c r="A1293" t="s">
        <v>32</v>
      </c>
      <c r="B1293" t="s">
        <v>1064</v>
      </c>
      <c r="C1293" t="s">
        <v>1066</v>
      </c>
      <c r="D1293" t="s">
        <v>1388</v>
      </c>
      <c r="E1293" s="14" t="n">
        <v>2.5</v>
      </c>
      <c r="F1293" s="17" t="n">
        <v>82</v>
      </c>
      <c r="G1293" s="15" t="n">
        <v>-2.4031542398458</v>
      </c>
      <c r="H1293" s="16" t="n">
        <v>0.689093389542498</v>
      </c>
    </row>
    <row r="1294">
      <c r="A1294" t="s">
        <v>32</v>
      </c>
      <c r="B1294" t="s">
        <v>1067</v>
      </c>
      <c r="C1294" t="s">
        <v>1068</v>
      </c>
      <c r="D1294" t="s">
        <v>1388</v>
      </c>
      <c r="E1294" s="14" t="n">
        <v>1</v>
      </c>
      <c r="F1294" s="17" t="n">
        <v>55</v>
      </c>
      <c r="G1294" s="15" t="n">
        <v>-0.342020143325669</v>
      </c>
      <c r="H1294" s="16" t="n">
        <v>0.939692620785908</v>
      </c>
    </row>
    <row r="1295">
      <c r="A1295" t="s">
        <v>30</v>
      </c>
      <c r="B1295" t="s">
        <v>1069</v>
      </c>
      <c r="C1295" t="s">
        <v>1070</v>
      </c>
      <c r="D1295" t="s">
        <v>1388</v>
      </c>
      <c r="E1295" s="14" t="n">
        <v>0.25</v>
      </c>
      <c r="F1295" s="17" t="n">
        <v>7</v>
      </c>
      <c r="G1295" s="15" t="n">
        <v>0.242573931568999</v>
      </c>
      <c r="H1295" s="16" t="n">
        <v>0.0604804738999169</v>
      </c>
    </row>
    <row r="1296">
      <c r="A1296" t="s">
        <v>30</v>
      </c>
      <c r="B1296" t="s">
        <v>1069</v>
      </c>
      <c r="C1296" t="s">
        <v>1071</v>
      </c>
      <c r="D1296" t="s">
        <v>1388</v>
      </c>
      <c r="E1296" s="14" t="n">
        <v>0.75</v>
      </c>
      <c r="F1296" s="17" t="n">
        <v>3</v>
      </c>
      <c r="G1296" s="15" t="n">
        <v>0.745891421526205</v>
      </c>
      <c r="H1296" s="16" t="n">
        <v>0.0783963474507401</v>
      </c>
    </row>
    <row r="1297">
      <c r="A1297" t="s">
        <v>30</v>
      </c>
      <c r="B1297" t="s">
        <v>1072</v>
      </c>
      <c r="C1297" t="s">
        <v>1073</v>
      </c>
      <c r="D1297" t="s">
        <v>1388</v>
      </c>
      <c r="E1297" s="14" t="n">
        <v>0.75</v>
      </c>
      <c r="F1297" s="17" t="n">
        <v>76</v>
      </c>
      <c r="G1297" s="15" t="n">
        <v>-0.662210694644195</v>
      </c>
      <c r="H1297" s="16" t="n">
        <v>0.352103672089418</v>
      </c>
    </row>
    <row r="1298">
      <c r="A1298" t="s">
        <v>30</v>
      </c>
      <c r="B1298" t="s">
        <v>1072</v>
      </c>
      <c r="C1298" t="s">
        <v>1074</v>
      </c>
      <c r="D1298" t="s">
        <v>1388</v>
      </c>
      <c r="E1298" s="14" t="n">
        <v>1</v>
      </c>
      <c r="F1298" s="17" t="n">
        <v>90</v>
      </c>
      <c r="G1298" s="15" t="n">
        <v>-1</v>
      </c>
      <c r="H1298" s="16" t="n">
        <v>0</v>
      </c>
    </row>
    <row r="1299">
      <c r="A1299" t="s">
        <v>30</v>
      </c>
      <c r="B1299" t="s">
        <v>1075</v>
      </c>
      <c r="C1299" t="s">
        <v>1076</v>
      </c>
      <c r="D1299" t="s">
        <v>1388</v>
      </c>
      <c r="E1299" s="14" t="n">
        <v>1.75</v>
      </c>
      <c r="F1299" s="17" t="n">
        <v>151</v>
      </c>
      <c r="G1299" s="15" t="n">
        <v>0.927358712408108</v>
      </c>
      <c r="H1299" s="16" t="n">
        <v>-1.48408416827375</v>
      </c>
    </row>
    <row r="1300">
      <c r="A1300" t="s">
        <v>30</v>
      </c>
      <c r="B1300" t="s">
        <v>1075</v>
      </c>
      <c r="C1300" t="s">
        <v>1077</v>
      </c>
      <c r="D1300" t="s">
        <v>1388</v>
      </c>
      <c r="E1300" s="14" t="n">
        <v>2</v>
      </c>
      <c r="F1300" s="17" t="n">
        <v>44</v>
      </c>
      <c r="G1300" s="15" t="n">
        <v>0.0697989934050022</v>
      </c>
      <c r="H1300" s="16" t="n">
        <v>1.99878165403819</v>
      </c>
    </row>
    <row r="1301">
      <c r="A1301" t="s">
        <v>31</v>
      </c>
      <c r="B1301" t="s">
        <v>1078</v>
      </c>
      <c r="C1301" t="s">
        <v>1079</v>
      </c>
      <c r="D1301" t="s">
        <v>1388</v>
      </c>
      <c r="E1301" s="14" t="n">
        <v>0.75</v>
      </c>
      <c r="F1301" s="17" t="n">
        <v>111</v>
      </c>
      <c r="G1301" s="15" t="n">
        <v>-0.557358619108046</v>
      </c>
      <c r="H1301" s="16" t="n">
        <v>-0.501847954769144</v>
      </c>
    </row>
    <row r="1302">
      <c r="A1302" t="s">
        <v>31</v>
      </c>
      <c r="B1302" t="s">
        <v>1078</v>
      </c>
      <c r="C1302" t="s">
        <v>1080</v>
      </c>
      <c r="D1302" t="s">
        <v>1388</v>
      </c>
      <c r="E1302" s="14" t="n">
        <v>0.5</v>
      </c>
      <c r="F1302" s="17" t="n">
        <v>76</v>
      </c>
      <c r="G1302" s="15" t="n">
        <v>-0.441473796429463</v>
      </c>
      <c r="H1302" s="16" t="n">
        <v>0.234735781392945</v>
      </c>
    </row>
    <row r="1303">
      <c r="A1303" t="s">
        <v>30</v>
      </c>
      <c r="B1303" t="s">
        <v>1081</v>
      </c>
      <c r="C1303" t="s">
        <v>1082</v>
      </c>
      <c r="D1303" t="s">
        <v>1388</v>
      </c>
      <c r="E1303" s="14" t="n">
        <v>1.5</v>
      </c>
      <c r="F1303" s="17" t="n">
        <v>81</v>
      </c>
      <c r="G1303" s="15" t="n">
        <v>-1.42658477444273</v>
      </c>
      <c r="H1303" s="16" t="n">
        <v>0.463525491562421</v>
      </c>
    </row>
    <row r="1304">
      <c r="A1304" t="s">
        <v>30</v>
      </c>
      <c r="B1304" t="s">
        <v>1081</v>
      </c>
      <c r="C1304" t="s">
        <v>1083</v>
      </c>
      <c r="D1304" t="s">
        <v>1388</v>
      </c>
      <c r="E1304" s="14" t="n">
        <v>1</v>
      </c>
      <c r="F1304" s="17" t="n">
        <v>105</v>
      </c>
      <c r="G1304" s="15" t="n">
        <v>-0.866025403784439</v>
      </c>
      <c r="H1304" s="16" t="n">
        <v>-0.5</v>
      </c>
    </row>
    <row r="1305">
      <c r="A1305" t="s">
        <v>30</v>
      </c>
      <c r="B1305" t="s">
        <v>1442</v>
      </c>
      <c r="C1305" t="s">
        <v>1443</v>
      </c>
      <c r="D1305" t="s">
        <v>1388</v>
      </c>
      <c r="E1305" s="14" t="n">
        <v>0.25</v>
      </c>
      <c r="F1305" s="17" t="n">
        <v>97</v>
      </c>
      <c r="G1305" s="15" t="n">
        <v>-0.242573931568999</v>
      </c>
      <c r="H1305" s="16" t="n">
        <v>-0.0604804738999169</v>
      </c>
    </row>
    <row r="1306">
      <c r="A1306" t="s">
        <v>30</v>
      </c>
      <c r="B1306" t="s">
        <v>1442</v>
      </c>
      <c r="C1306" t="s">
        <v>1444</v>
      </c>
      <c r="D1306" t="s">
        <v>1388</v>
      </c>
      <c r="E1306" s="14" t="n">
        <v>0.25</v>
      </c>
      <c r="F1306" s="17" t="n">
        <v>79</v>
      </c>
      <c r="G1306" s="15" t="n">
        <v>-0.231795963641697</v>
      </c>
      <c r="H1306" s="16" t="n">
        <v>0.0936516483539781</v>
      </c>
    </row>
    <row r="1307">
      <c r="A1307" t="s">
        <v>30</v>
      </c>
      <c r="B1307" t="s">
        <v>1084</v>
      </c>
      <c r="C1307" t="s">
        <v>1085</v>
      </c>
      <c r="D1307" t="s">
        <v>1388</v>
      </c>
      <c r="E1307" s="14" t="n">
        <v>2.75</v>
      </c>
      <c r="F1307" s="17" t="n">
        <v>64</v>
      </c>
      <c r="G1307" s="15" t="n">
        <v>-1.69306905714556</v>
      </c>
      <c r="H1307" s="16" t="n">
        <v>2.16702957241849</v>
      </c>
    </row>
    <row r="1308">
      <c r="A1308" t="s">
        <v>31</v>
      </c>
      <c r="B1308" t="s">
        <v>1086</v>
      </c>
      <c r="C1308" t="s">
        <v>1087</v>
      </c>
      <c r="D1308" t="s">
        <v>1388</v>
      </c>
      <c r="E1308" s="14" t="n">
        <v>0.75</v>
      </c>
      <c r="F1308" s="17" t="n">
        <v>133</v>
      </c>
      <c r="G1308" s="15" t="n">
        <v>-0.0523173553080942</v>
      </c>
      <c r="H1308" s="16" t="n">
        <v>-0.748173037694868</v>
      </c>
    </row>
    <row r="1309">
      <c r="A1309" t="s">
        <v>31</v>
      </c>
      <c r="B1309" t="s">
        <v>1086</v>
      </c>
      <c r="C1309" t="s">
        <v>1088</v>
      </c>
      <c r="D1309" t="s">
        <v>1388</v>
      </c>
      <c r="E1309" s="14" t="n">
        <v>0.5</v>
      </c>
      <c r="F1309" s="17" t="n">
        <v>51</v>
      </c>
      <c r="G1309" s="15" t="n">
        <v>-0.10395584540888</v>
      </c>
      <c r="H1309" s="16" t="n">
        <v>0.489073800366903</v>
      </c>
    </row>
    <row r="1310">
      <c r="A1310" t="s">
        <v>32</v>
      </c>
      <c r="B1310" t="s">
        <v>1089</v>
      </c>
      <c r="C1310" t="s">
        <v>1090</v>
      </c>
      <c r="D1310" t="s">
        <v>1388</v>
      </c>
      <c r="E1310" s="14" t="n">
        <v>0.25</v>
      </c>
      <c r="F1310" s="17" t="n">
        <v>134</v>
      </c>
      <c r="G1310" s="15" t="n">
        <v>-0.00872487417562519</v>
      </c>
      <c r="H1310" s="16" t="n">
        <v>-0.249847706754774</v>
      </c>
    </row>
    <row r="1311">
      <c r="A1311" t="s">
        <v>32</v>
      </c>
      <c r="B1311" t="s">
        <v>1089</v>
      </c>
      <c r="C1311" t="s">
        <v>1091</v>
      </c>
      <c r="D1311" t="s">
        <v>1388</v>
      </c>
      <c r="E1311" s="14" t="n">
        <v>0.5</v>
      </c>
      <c r="F1311" s="17" t="n">
        <v>43</v>
      </c>
      <c r="G1311" s="15" t="n">
        <v>0.0348782368720626</v>
      </c>
      <c r="H1311" s="16" t="n">
        <v>0.498782025129912</v>
      </c>
    </row>
    <row r="1312">
      <c r="A1312" t="s">
        <v>30</v>
      </c>
      <c r="B1312" t="s">
        <v>1092</v>
      </c>
      <c r="C1312" t="s">
        <v>1093</v>
      </c>
      <c r="D1312" t="s">
        <v>1388</v>
      </c>
      <c r="E1312" s="14" t="n">
        <v>0.75</v>
      </c>
      <c r="F1312" s="17" t="n">
        <v>104</v>
      </c>
      <c r="G1312" s="15" t="n">
        <v>-0.662210694644195</v>
      </c>
      <c r="H1312" s="16" t="n">
        <v>-0.352103672089418</v>
      </c>
    </row>
    <row r="1313">
      <c r="A1313" t="s">
        <v>30</v>
      </c>
      <c r="B1313" t="s">
        <v>1094</v>
      </c>
      <c r="C1313" t="s">
        <v>1095</v>
      </c>
      <c r="D1313" t="s">
        <v>1388</v>
      </c>
      <c r="E1313" s="14" t="n">
        <v>1.25</v>
      </c>
      <c r="F1313" s="17" t="n">
        <v>106</v>
      </c>
      <c r="G1313" s="15" t="n">
        <v>-1.06006012019553</v>
      </c>
      <c r="H1313" s="16" t="n">
        <v>-0.662399080291506</v>
      </c>
    </row>
    <row r="1314">
      <c r="A1314" t="s">
        <v>30</v>
      </c>
      <c r="B1314" t="s">
        <v>1094</v>
      </c>
      <c r="C1314" t="s">
        <v>1096</v>
      </c>
      <c r="D1314" t="s">
        <v>1388</v>
      </c>
      <c r="E1314" s="14" t="n">
        <v>1.5</v>
      </c>
      <c r="F1314" s="17" t="n">
        <v>66</v>
      </c>
      <c r="G1314" s="15" t="n">
        <v>-1.00369590953829</v>
      </c>
      <c r="H1314" s="16" t="n">
        <v>1.11471723821609</v>
      </c>
    </row>
    <row r="1315">
      <c r="A1315" t="s">
        <v>30</v>
      </c>
      <c r="B1315" t="s">
        <v>1097</v>
      </c>
      <c r="C1315" t="s">
        <v>1098</v>
      </c>
      <c r="D1315" t="s">
        <v>1388</v>
      </c>
      <c r="E1315" s="14" t="n">
        <v>1.25</v>
      </c>
      <c r="F1315" s="17" t="n">
        <v>94</v>
      </c>
      <c r="G1315" s="15" t="n">
        <v>-1.23783508592696</v>
      </c>
      <c r="H1315" s="16" t="n">
        <v>-0.173966376200082</v>
      </c>
    </row>
    <row r="1316">
      <c r="A1316" t="s">
        <v>31</v>
      </c>
      <c r="B1316" t="s">
        <v>1099</v>
      </c>
      <c r="C1316" t="s">
        <v>1100</v>
      </c>
      <c r="D1316" t="s">
        <v>1388</v>
      </c>
      <c r="E1316" s="14" t="n">
        <v>0</v>
      </c>
      <c r="F1316" s="17" t="n">
        <v>14</v>
      </c>
      <c r="G1316" s="15" t="n">
        <v>0</v>
      </c>
      <c r="H1316" s="16" t="n">
        <v>0</v>
      </c>
    </row>
    <row r="1317">
      <c r="A1317" t="s">
        <v>32</v>
      </c>
      <c r="B1317" t="s">
        <v>1101</v>
      </c>
      <c r="C1317" t="s">
        <v>1102</v>
      </c>
      <c r="D1317" t="s">
        <v>1388</v>
      </c>
      <c r="E1317" s="14" t="n">
        <v>0.25</v>
      </c>
      <c r="F1317" s="17" t="n">
        <v>97</v>
      </c>
      <c r="G1317" s="15" t="n">
        <v>-0.242573931568999</v>
      </c>
      <c r="H1317" s="16" t="n">
        <v>-0.0604804738999169</v>
      </c>
    </row>
    <row r="1318">
      <c r="A1318" t="s">
        <v>32</v>
      </c>
      <c r="B1318" t="s">
        <v>1101</v>
      </c>
      <c r="C1318" t="s">
        <v>1103</v>
      </c>
      <c r="D1318" t="s">
        <v>1388</v>
      </c>
      <c r="E1318" s="14" t="n">
        <v>0.5</v>
      </c>
      <c r="F1318" s="17" t="n">
        <v>78</v>
      </c>
      <c r="G1318" s="15" t="n">
        <v>-0.4567727288213</v>
      </c>
      <c r="H1318" s="16" t="n">
        <v>0.2033683215379</v>
      </c>
    </row>
    <row r="1319">
      <c r="A1319" t="s">
        <v>30</v>
      </c>
      <c r="B1319" t="s">
        <v>1104</v>
      </c>
      <c r="C1319" t="s">
        <v>1105</v>
      </c>
      <c r="D1319" t="s">
        <v>1388</v>
      </c>
      <c r="E1319" s="14" t="n">
        <v>3</v>
      </c>
      <c r="F1319" s="17" t="n">
        <v>98</v>
      </c>
      <c r="G1319" s="15" t="n">
        <v>-2.88378508781496</v>
      </c>
      <c r="H1319" s="16" t="n">
        <v>-0.826912067450996</v>
      </c>
    </row>
    <row r="1320">
      <c r="A1320" t="s">
        <v>30</v>
      </c>
      <c r="B1320" t="s">
        <v>1104</v>
      </c>
      <c r="C1320" t="s">
        <v>1106</v>
      </c>
      <c r="D1320" t="s">
        <v>1388</v>
      </c>
      <c r="E1320" s="14" t="n">
        <v>2.25</v>
      </c>
      <c r="F1320" s="17" t="n">
        <v>100</v>
      </c>
      <c r="G1320" s="15" t="n">
        <v>-2.11430839676829</v>
      </c>
      <c r="H1320" s="16" t="n">
        <v>-0.769545322482755</v>
      </c>
    </row>
    <row r="1321">
      <c r="A1321" t="s">
        <v>31</v>
      </c>
      <c r="B1321" t="s">
        <v>1107</v>
      </c>
      <c r="C1321" t="s">
        <v>1108</v>
      </c>
      <c r="D1321" t="s">
        <v>1388</v>
      </c>
      <c r="E1321" s="14" t="n">
        <v>0.25</v>
      </c>
      <c r="F1321" s="17" t="n">
        <v>113</v>
      </c>
      <c r="G1321" s="15" t="n">
        <v>-0.173664592614749</v>
      </c>
      <c r="H1321" s="16" t="n">
        <v>-0.179834950084663</v>
      </c>
    </row>
    <row r="1322">
      <c r="A1322" t="s">
        <v>32</v>
      </c>
      <c r="B1322" t="s">
        <v>1109</v>
      </c>
      <c r="C1322" t="s">
        <v>1110</v>
      </c>
      <c r="D1322" t="s">
        <v>1388</v>
      </c>
      <c r="E1322" s="14" t="n">
        <v>1</v>
      </c>
      <c r="F1322" s="17" t="n">
        <v>37</v>
      </c>
      <c r="G1322" s="15" t="n">
        <v>0.275637355816999</v>
      </c>
      <c r="H1322" s="16" t="n">
        <v>0.961261695938319</v>
      </c>
    </row>
    <row r="1323">
      <c r="A1323" t="s">
        <v>31</v>
      </c>
      <c r="B1323" t="s">
        <v>1111</v>
      </c>
      <c r="C1323" t="s">
        <v>1112</v>
      </c>
      <c r="D1323" t="s">
        <v>1388</v>
      </c>
      <c r="E1323" s="14" t="n">
        <v>0.75</v>
      </c>
      <c r="F1323" s="17" t="n">
        <v>73</v>
      </c>
      <c r="G1323" s="15" t="n">
        <v>-0.621778179416281</v>
      </c>
      <c r="H1323" s="16" t="n">
        <v>0.41939467760306</v>
      </c>
    </row>
    <row r="1324">
      <c r="A1324" t="s">
        <v>31</v>
      </c>
      <c r="B1324" t="s">
        <v>1111</v>
      </c>
      <c r="C1324" t="s">
        <v>1113</v>
      </c>
      <c r="D1324" t="s">
        <v>1388</v>
      </c>
      <c r="E1324" s="14" t="n">
        <v>0.75</v>
      </c>
      <c r="F1324" s="17" t="n">
        <v>95</v>
      </c>
      <c r="G1324" s="15" t="n">
        <v>-0.738605814759156</v>
      </c>
      <c r="H1324" s="16" t="n">
        <v>-0.130236133250198</v>
      </c>
    </row>
    <row r="1325">
      <c r="A1325" t="s">
        <v>31</v>
      </c>
      <c r="B1325" t="s">
        <v>1114</v>
      </c>
      <c r="C1325" t="s">
        <v>1115</v>
      </c>
      <c r="D1325" t="s">
        <v>1388</v>
      </c>
      <c r="E1325" s="14" t="n">
        <v>1.5</v>
      </c>
      <c r="F1325" s="17" t="n">
        <v>34</v>
      </c>
      <c r="G1325" s="15" t="n">
        <v>0.561909890123868</v>
      </c>
      <c r="H1325" s="16" t="n">
        <v>1.39077578185018</v>
      </c>
    </row>
    <row r="1326">
      <c r="A1326" t="s">
        <v>31</v>
      </c>
      <c r="B1326" t="s">
        <v>1114</v>
      </c>
      <c r="C1326" t="s">
        <v>1116</v>
      </c>
      <c r="D1326" t="s">
        <v>1388</v>
      </c>
      <c r="E1326" s="14" t="n">
        <v>1</v>
      </c>
      <c r="F1326" s="17" t="n">
        <v>145</v>
      </c>
      <c r="G1326" s="15" t="n">
        <v>0.342020143325669</v>
      </c>
      <c r="H1326" s="16" t="n">
        <v>-0.939692620785908</v>
      </c>
    </row>
    <row r="1327">
      <c r="A1327" t="s">
        <v>32</v>
      </c>
      <c r="B1327" t="s">
        <v>1117</v>
      </c>
      <c r="C1327" t="s">
        <v>1118</v>
      </c>
      <c r="D1327" t="s">
        <v>1388</v>
      </c>
      <c r="E1327" s="14" t="n">
        <v>0.75</v>
      </c>
      <c r="F1327" s="17" t="n">
        <v>132</v>
      </c>
      <c r="G1327" s="15" t="n">
        <v>-0.0783963474507407</v>
      </c>
      <c r="H1327" s="16" t="n">
        <v>-0.745891421526205</v>
      </c>
    </row>
    <row r="1328">
      <c r="A1328" t="s">
        <v>30</v>
      </c>
      <c r="B1328" t="s">
        <v>1119</v>
      </c>
      <c r="C1328" t="s">
        <v>1120</v>
      </c>
      <c r="D1328" t="s">
        <v>1388</v>
      </c>
      <c r="E1328" s="14" t="n">
        <v>2.25</v>
      </c>
      <c r="F1328" s="17" t="n">
        <v>169</v>
      </c>
      <c r="G1328" s="15" t="n">
        <v>2.08616367277527</v>
      </c>
      <c r="H1328" s="16" t="n">
        <v>-0.842864835185802</v>
      </c>
    </row>
    <row r="1329">
      <c r="A1329" t="s">
        <v>30</v>
      </c>
      <c r="B1329" t="s">
        <v>1119</v>
      </c>
      <c r="C1329" t="s">
        <v>1121</v>
      </c>
      <c r="D1329" t="s">
        <v>1388</v>
      </c>
      <c r="E1329" s="14" t="n">
        <v>1.75</v>
      </c>
      <c r="F1329" s="17" t="n">
        <v>1</v>
      </c>
      <c r="G1329" s="15" t="n">
        <v>1.74893394728342</v>
      </c>
      <c r="H1329" s="16" t="n">
        <v>0.0610741192293767</v>
      </c>
    </row>
    <row r="1330">
      <c r="A1330" t="s">
        <v>30</v>
      </c>
      <c r="B1330" t="s">
        <v>1122</v>
      </c>
      <c r="C1330" t="s">
        <v>1123</v>
      </c>
      <c r="D1330" t="s">
        <v>1388</v>
      </c>
      <c r="E1330" s="14" t="n">
        <v>0.5</v>
      </c>
      <c r="F1330" s="17" t="n">
        <v>1</v>
      </c>
      <c r="G1330" s="15" t="n">
        <v>0.499695413509548</v>
      </c>
      <c r="H1330" s="16" t="n">
        <v>0.0174497483512505</v>
      </c>
    </row>
    <row r="1331">
      <c r="A1331" t="s">
        <v>31</v>
      </c>
      <c r="B1331" t="s">
        <v>1124</v>
      </c>
      <c r="C1331" t="s">
        <v>1125</v>
      </c>
      <c r="D1331" t="s">
        <v>1388</v>
      </c>
      <c r="E1331" s="14" t="n">
        <v>0.25</v>
      </c>
      <c r="F1331" s="17" t="n">
        <v>94</v>
      </c>
      <c r="G1331" s="15" t="n">
        <v>-0.247567017185393</v>
      </c>
      <c r="H1331" s="16" t="n">
        <v>-0.0347932752400164</v>
      </c>
    </row>
    <row r="1332">
      <c r="A1332" t="s">
        <v>30</v>
      </c>
      <c r="B1332" t="s">
        <v>1126</v>
      </c>
      <c r="C1332" t="s">
        <v>1127</v>
      </c>
      <c r="D1332" t="s">
        <v>1388</v>
      </c>
      <c r="E1332" s="14" t="n">
        <v>0.75</v>
      </c>
      <c r="F1332" s="17" t="n">
        <v>78</v>
      </c>
      <c r="G1332" s="15" t="n">
        <v>-0.685159093231951</v>
      </c>
      <c r="H1332" s="16" t="n">
        <v>0.30505248230685</v>
      </c>
    </row>
    <row r="1333">
      <c r="A1333" t="s">
        <v>30</v>
      </c>
      <c r="B1333" t="s">
        <v>1126</v>
      </c>
      <c r="C1333" t="s">
        <v>1128</v>
      </c>
      <c r="D1333" t="s">
        <v>1388</v>
      </c>
      <c r="E1333" s="14" t="n">
        <v>0.75</v>
      </c>
      <c r="F1333" s="17" t="n">
        <v>107</v>
      </c>
      <c r="G1333" s="15" t="n">
        <v>-0.621778179416281</v>
      </c>
      <c r="H1333" s="16" t="n">
        <v>-0.41939467760306</v>
      </c>
    </row>
    <row r="1334">
      <c r="A1334" t="s">
        <v>31</v>
      </c>
      <c r="B1334" t="s">
        <v>1129</v>
      </c>
      <c r="C1334" t="s">
        <v>1130</v>
      </c>
      <c r="D1334" t="s">
        <v>1388</v>
      </c>
      <c r="E1334" s="14" t="n">
        <v>0.5</v>
      </c>
      <c r="F1334" s="17" t="n">
        <v>5</v>
      </c>
      <c r="G1334" s="15" t="n">
        <v>0.492403876506104</v>
      </c>
      <c r="H1334" s="16" t="n">
        <v>0.0868240888334652</v>
      </c>
    </row>
    <row r="1335">
      <c r="A1335" t="s">
        <v>31</v>
      </c>
      <c r="B1335" t="s">
        <v>1129</v>
      </c>
      <c r="C1335" t="s">
        <v>1131</v>
      </c>
      <c r="D1335" t="s">
        <v>1388</v>
      </c>
      <c r="E1335" s="14" t="n">
        <v>0.25</v>
      </c>
      <c r="F1335" s="17" t="n">
        <v>175</v>
      </c>
      <c r="G1335" s="15" t="n">
        <v>0.246201938253052</v>
      </c>
      <c r="H1335" s="16" t="n">
        <v>-0.0434120444167326</v>
      </c>
    </row>
    <row r="1336">
      <c r="A1336" t="s">
        <v>31</v>
      </c>
      <c r="B1336" t="s">
        <v>1132</v>
      </c>
      <c r="C1336" t="s">
        <v>1133</v>
      </c>
      <c r="D1336" t="s">
        <v>1388</v>
      </c>
      <c r="E1336" s="14" t="n">
        <v>0.75</v>
      </c>
      <c r="F1336" s="17" t="n">
        <v>39</v>
      </c>
      <c r="G1336" s="15" t="n">
        <v>0.155933768113319</v>
      </c>
      <c r="H1336" s="16" t="n">
        <v>0.733610700550354</v>
      </c>
    </row>
    <row r="1337">
      <c r="A1337" t="s">
        <v>31</v>
      </c>
      <c r="B1337" t="s">
        <v>1132</v>
      </c>
      <c r="C1337" t="s">
        <v>1134</v>
      </c>
      <c r="D1337" t="s">
        <v>1388</v>
      </c>
      <c r="E1337" s="14" t="n">
        <v>0.75</v>
      </c>
      <c r="F1337" s="17" t="n">
        <v>154</v>
      </c>
      <c r="G1337" s="15" t="n">
        <v>0.461746106494243</v>
      </c>
      <c r="H1337" s="16" t="n">
        <v>-0.591008065205042</v>
      </c>
    </row>
    <row r="1338">
      <c r="A1338" t="s">
        <v>31</v>
      </c>
      <c r="B1338" t="s">
        <v>1135</v>
      </c>
      <c r="C1338" t="s">
        <v>1136</v>
      </c>
      <c r="D1338" t="s">
        <v>1388</v>
      </c>
      <c r="E1338" s="14" t="n">
        <v>0.5</v>
      </c>
      <c r="F1338" s="17" t="n">
        <v>95</v>
      </c>
      <c r="G1338" s="15" t="n">
        <v>-0.492403876506104</v>
      </c>
      <c r="H1338" s="16" t="n">
        <v>-0.0868240888334653</v>
      </c>
    </row>
    <row r="1339">
      <c r="A1339" t="s">
        <v>31</v>
      </c>
      <c r="B1339" t="s">
        <v>1135</v>
      </c>
      <c r="C1339" t="s">
        <v>1137</v>
      </c>
      <c r="D1339" t="s">
        <v>1388</v>
      </c>
      <c r="E1339" s="14" t="n">
        <v>1.25</v>
      </c>
      <c r="F1339" s="17" t="n">
        <v>96</v>
      </c>
      <c r="G1339" s="15" t="n">
        <v>-1.22268450091726</v>
      </c>
      <c r="H1339" s="16" t="n">
        <v>-0.259889613522199</v>
      </c>
    </row>
    <row r="1340">
      <c r="A1340" t="s">
        <v>32</v>
      </c>
      <c r="B1340" t="s">
        <v>1138</v>
      </c>
      <c r="C1340" t="s">
        <v>1139</v>
      </c>
      <c r="D1340" t="s">
        <v>1388</v>
      </c>
      <c r="E1340" s="14" t="n">
        <v>0.5</v>
      </c>
      <c r="F1340" s="17" t="n">
        <v>98</v>
      </c>
      <c r="G1340" s="15" t="n">
        <v>-0.48063084796916</v>
      </c>
      <c r="H1340" s="16" t="n">
        <v>-0.137818677908499</v>
      </c>
    </row>
    <row r="1341">
      <c r="A1341" t="s">
        <v>32</v>
      </c>
      <c r="B1341" t="s">
        <v>1138</v>
      </c>
      <c r="C1341" t="s">
        <v>1140</v>
      </c>
      <c r="D1341" t="s">
        <v>1388</v>
      </c>
      <c r="E1341" s="14" t="n">
        <v>0.75</v>
      </c>
      <c r="F1341" s="17" t="n">
        <v>81</v>
      </c>
      <c r="G1341" s="15" t="n">
        <v>-0.713292387221365</v>
      </c>
      <c r="H1341" s="16" t="n">
        <v>0.231762745781211</v>
      </c>
    </row>
    <row r="1342">
      <c r="A1342" t="s">
        <v>31</v>
      </c>
      <c r="B1342" t="s">
        <v>1141</v>
      </c>
      <c r="C1342" t="s">
        <v>1142</v>
      </c>
      <c r="D1342" t="s">
        <v>1388</v>
      </c>
      <c r="E1342" s="14" t="n">
        <v>0.5</v>
      </c>
      <c r="F1342" s="17" t="n">
        <v>11</v>
      </c>
      <c r="G1342" s="15" t="n">
        <v>0.463591927283394</v>
      </c>
      <c r="H1342" s="16" t="n">
        <v>0.187303296707956</v>
      </c>
    </row>
    <row r="1343">
      <c r="A1343" t="s">
        <v>31</v>
      </c>
      <c r="B1343" t="s">
        <v>1141</v>
      </c>
      <c r="C1343" t="s">
        <v>1143</v>
      </c>
      <c r="D1343" t="s">
        <v>1388</v>
      </c>
      <c r="E1343" s="14" t="n">
        <v>0.5</v>
      </c>
      <c r="F1343" s="17" t="n">
        <v>168</v>
      </c>
      <c r="G1343" s="15" t="n">
        <v>0.4567727288213</v>
      </c>
      <c r="H1343" s="16" t="n">
        <v>-0.2033683215379</v>
      </c>
    </row>
    <row r="1344">
      <c r="A1344" t="s">
        <v>31</v>
      </c>
      <c r="B1344" t="s">
        <v>1144</v>
      </c>
      <c r="C1344" t="s">
        <v>1145</v>
      </c>
      <c r="D1344" t="s">
        <v>1388</v>
      </c>
      <c r="E1344" s="14" t="n">
        <v>1.5</v>
      </c>
      <c r="F1344" s="17" t="n">
        <v>70</v>
      </c>
      <c r="G1344" s="15" t="n">
        <v>-1.14906666467847</v>
      </c>
      <c r="H1344" s="16" t="n">
        <v>0.964181414529809</v>
      </c>
    </row>
    <row r="1345">
      <c r="A1345" t="s">
        <v>31</v>
      </c>
      <c r="B1345" t="s">
        <v>1144</v>
      </c>
      <c r="C1345" t="s">
        <v>1146</v>
      </c>
      <c r="D1345" t="s">
        <v>1388</v>
      </c>
      <c r="E1345" s="14" t="n">
        <v>0.5</v>
      </c>
      <c r="F1345" s="17" t="n">
        <v>101</v>
      </c>
      <c r="G1345" s="15" t="n">
        <v>-0.463591927283394</v>
      </c>
      <c r="H1345" s="16" t="n">
        <v>-0.187303296707956</v>
      </c>
    </row>
    <row r="1346">
      <c r="A1346" t="s">
        <v>30</v>
      </c>
      <c r="B1346" t="s">
        <v>1147</v>
      </c>
      <c r="C1346" t="s">
        <v>1148</v>
      </c>
      <c r="D1346" t="s">
        <v>1388</v>
      </c>
      <c r="E1346" s="14" t="n">
        <v>1</v>
      </c>
      <c r="F1346" s="17" t="n">
        <v>90</v>
      </c>
      <c r="G1346" s="15" t="n">
        <v>-1</v>
      </c>
      <c r="H1346" s="16" t="n">
        <v>0</v>
      </c>
    </row>
    <row r="1347">
      <c r="A1347" t="s">
        <v>30</v>
      </c>
      <c r="B1347" t="s">
        <v>1147</v>
      </c>
      <c r="C1347" t="s">
        <v>1149</v>
      </c>
      <c r="D1347" t="s">
        <v>1388</v>
      </c>
      <c r="E1347" s="14" t="n">
        <v>0.75</v>
      </c>
      <c r="F1347" s="17" t="n">
        <v>86</v>
      </c>
      <c r="G1347" s="15" t="n">
        <v>-0.742701051556178</v>
      </c>
      <c r="H1347" s="16" t="n">
        <v>0.104379825720049</v>
      </c>
    </row>
    <row r="1348">
      <c r="A1348" t="s">
        <v>31</v>
      </c>
      <c r="B1348" t="s">
        <v>1150</v>
      </c>
      <c r="C1348" t="s">
        <v>1151</v>
      </c>
      <c r="D1348" t="s">
        <v>1388</v>
      </c>
      <c r="E1348" s="14" t="n">
        <v>0.25</v>
      </c>
      <c r="F1348" s="17" t="n">
        <v>6</v>
      </c>
      <c r="G1348" s="15" t="n">
        <v>0.244536900183451</v>
      </c>
      <c r="H1348" s="16" t="n">
        <v>0.0519779227044398</v>
      </c>
    </row>
    <row r="1349">
      <c r="A1349" t="s">
        <v>30</v>
      </c>
      <c r="B1349" t="s">
        <v>1152</v>
      </c>
      <c r="C1349" t="s">
        <v>1153</v>
      </c>
      <c r="D1349" t="s">
        <v>1388</v>
      </c>
      <c r="E1349" s="14" t="n">
        <v>0.25</v>
      </c>
      <c r="F1349" s="17" t="n">
        <v>39</v>
      </c>
      <c r="G1349" s="15" t="n">
        <v>0.0519779227044398</v>
      </c>
      <c r="H1349" s="16" t="n">
        <v>0.244536900183451</v>
      </c>
    </row>
    <row r="1350">
      <c r="A1350" t="s">
        <v>30</v>
      </c>
      <c r="B1350" t="s">
        <v>1152</v>
      </c>
      <c r="C1350" t="s">
        <v>1154</v>
      </c>
      <c r="D1350" t="s">
        <v>1388</v>
      </c>
      <c r="E1350" s="14" t="n">
        <v>0.5</v>
      </c>
      <c r="F1350" s="17" t="n">
        <v>150</v>
      </c>
      <c r="G1350" s="15" t="n">
        <v>0.25</v>
      </c>
      <c r="H1350" s="16" t="n">
        <v>-0.433012701892219</v>
      </c>
    </row>
    <row r="1351">
      <c r="A1351" t="s">
        <v>30</v>
      </c>
      <c r="B1351" t="s">
        <v>1155</v>
      </c>
      <c r="C1351" t="s">
        <v>1156</v>
      </c>
      <c r="D1351" t="s">
        <v>1388</v>
      </c>
      <c r="E1351" s="14" t="n">
        <v>0.75</v>
      </c>
      <c r="F1351" s="17" t="n">
        <v>77</v>
      </c>
      <c r="G1351" s="15" t="n">
        <v>-0.674095534724375</v>
      </c>
      <c r="H1351" s="16" t="n">
        <v>0.328778360091808</v>
      </c>
    </row>
    <row r="1352">
      <c r="A1352" t="s">
        <v>31</v>
      </c>
      <c r="B1352" t="s">
        <v>1157</v>
      </c>
      <c r="C1352" t="s">
        <v>1158</v>
      </c>
      <c r="D1352" t="s">
        <v>1388</v>
      </c>
      <c r="E1352" s="14" t="n">
        <v>0.5</v>
      </c>
      <c r="F1352" s="17" t="n">
        <v>162</v>
      </c>
      <c r="G1352" s="15" t="n">
        <v>0.404508497187474</v>
      </c>
      <c r="H1352" s="16" t="n">
        <v>-0.293892626146237</v>
      </c>
    </row>
    <row r="1353">
      <c r="A1353" t="s">
        <v>31</v>
      </c>
      <c r="B1353" t="s">
        <v>1157</v>
      </c>
      <c r="C1353" t="s">
        <v>1159</v>
      </c>
      <c r="D1353" t="s">
        <v>1388</v>
      </c>
      <c r="E1353" s="14" t="n">
        <v>0.5</v>
      </c>
      <c r="F1353" s="17" t="n">
        <v>21</v>
      </c>
      <c r="G1353" s="15" t="n">
        <v>0.371572412738697</v>
      </c>
      <c r="H1353" s="16" t="n">
        <v>0.334565303179429</v>
      </c>
    </row>
    <row r="1354">
      <c r="A1354" t="s">
        <v>32</v>
      </c>
      <c r="B1354" t="s">
        <v>1160</v>
      </c>
      <c r="C1354" t="s">
        <v>1161</v>
      </c>
      <c r="D1354" t="s">
        <v>1388</v>
      </c>
      <c r="E1354" s="14" t="n">
        <v>0.75</v>
      </c>
      <c r="F1354" s="17" t="n">
        <v>138</v>
      </c>
      <c r="G1354" s="15" t="n">
        <v>0.0783963474507404</v>
      </c>
      <c r="H1354" s="16" t="n">
        <v>-0.745891421526205</v>
      </c>
    </row>
    <row r="1355">
      <c r="A1355" t="s">
        <v>32</v>
      </c>
      <c r="B1355" t="s">
        <v>1160</v>
      </c>
      <c r="C1355" t="s">
        <v>1162</v>
      </c>
      <c r="D1355" t="s">
        <v>1388</v>
      </c>
      <c r="E1355" s="14" t="n">
        <v>1.5</v>
      </c>
      <c r="F1355" s="17" t="n">
        <v>24</v>
      </c>
      <c r="G1355" s="15" t="n">
        <v>1.00369590953829</v>
      </c>
      <c r="H1355" s="16" t="n">
        <v>1.11471723821609</v>
      </c>
    </row>
    <row r="1356">
      <c r="A1356" t="s">
        <v>30</v>
      </c>
      <c r="B1356" t="s">
        <v>1163</v>
      </c>
      <c r="C1356" t="s">
        <v>1164</v>
      </c>
      <c r="D1356" t="s">
        <v>1388</v>
      </c>
      <c r="E1356" s="14" t="n">
        <v>1.5</v>
      </c>
      <c r="F1356" s="17" t="n">
        <v>98</v>
      </c>
      <c r="G1356" s="15" t="n">
        <v>-1.44189254390748</v>
      </c>
      <c r="H1356" s="16" t="n">
        <v>-0.413456033725498</v>
      </c>
    </row>
    <row r="1357">
      <c r="A1357" t="s">
        <v>31</v>
      </c>
      <c r="B1357" t="s">
        <v>1165</v>
      </c>
      <c r="C1357" t="s">
        <v>1166</v>
      </c>
      <c r="D1357" t="s">
        <v>1388</v>
      </c>
      <c r="E1357" s="14" t="n">
        <v>0.25</v>
      </c>
      <c r="F1357" s="17" t="n">
        <v>91</v>
      </c>
      <c r="G1357" s="15" t="n">
        <v>-0.249847706754774</v>
      </c>
      <c r="H1357" s="16" t="n">
        <v>-0.00872487417562529</v>
      </c>
    </row>
    <row r="1358">
      <c r="A1358" t="s">
        <v>30</v>
      </c>
      <c r="B1358" t="s">
        <v>1167</v>
      </c>
      <c r="C1358" t="s">
        <v>1168</v>
      </c>
      <c r="D1358" t="s">
        <v>1388</v>
      </c>
      <c r="E1358" s="14" t="n">
        <v>0.75</v>
      </c>
      <c r="F1358" s="17" t="n">
        <v>81</v>
      </c>
      <c r="G1358" s="15" t="n">
        <v>-0.713292387221365</v>
      </c>
      <c r="H1358" s="16" t="n">
        <v>0.231762745781211</v>
      </c>
    </row>
    <row r="1359">
      <c r="A1359" t="s">
        <v>30</v>
      </c>
      <c r="B1359" t="s">
        <v>1167</v>
      </c>
      <c r="C1359" t="s">
        <v>1169</v>
      </c>
      <c r="D1359" t="s">
        <v>1388</v>
      </c>
      <c r="E1359" s="14" t="n">
        <v>0.5</v>
      </c>
      <c r="F1359" s="17" t="n">
        <v>96</v>
      </c>
      <c r="G1359" s="15" t="n">
        <v>-0.489073800366903</v>
      </c>
      <c r="H1359" s="16" t="n">
        <v>-0.10395584540888</v>
      </c>
    </row>
    <row r="1360">
      <c r="A1360" t="s">
        <v>31</v>
      </c>
      <c r="B1360" t="s">
        <v>1170</v>
      </c>
      <c r="C1360" t="s">
        <v>1171</v>
      </c>
      <c r="D1360" t="s">
        <v>1388</v>
      </c>
      <c r="E1360" s="14" t="n">
        <v>0.5</v>
      </c>
      <c r="F1360" s="17" t="n">
        <v>85</v>
      </c>
      <c r="G1360" s="15" t="n">
        <v>-0.492403876506104</v>
      </c>
      <c r="H1360" s="16" t="n">
        <v>0.0868240888334653</v>
      </c>
    </row>
    <row r="1361">
      <c r="A1361" t="s">
        <v>31</v>
      </c>
      <c r="B1361" t="s">
        <v>1170</v>
      </c>
      <c r="C1361" t="s">
        <v>1172</v>
      </c>
      <c r="D1361" t="s">
        <v>1388</v>
      </c>
      <c r="E1361" s="14" t="n">
        <v>0.25</v>
      </c>
      <c r="F1361" s="17" t="n">
        <v>92</v>
      </c>
      <c r="G1361" s="15" t="n">
        <v>-0.249391012564956</v>
      </c>
      <c r="H1361" s="16" t="n">
        <v>-0.0174391184360313</v>
      </c>
    </row>
    <row r="1362">
      <c r="A1362" t="s">
        <v>31</v>
      </c>
      <c r="B1362" t="s">
        <v>1173</v>
      </c>
      <c r="C1362" t="s">
        <v>1174</v>
      </c>
      <c r="D1362" t="s">
        <v>1388</v>
      </c>
      <c r="E1362" s="14" t="n">
        <v>0.75</v>
      </c>
      <c r="F1362" s="17" t="n">
        <v>4</v>
      </c>
      <c r="G1362" s="15" t="n">
        <v>0.742701051556178</v>
      </c>
      <c r="H1362" s="16" t="n">
        <v>0.104379825720049</v>
      </c>
    </row>
    <row r="1363">
      <c r="A1363" t="s">
        <v>31</v>
      </c>
      <c r="B1363" t="s">
        <v>1173</v>
      </c>
      <c r="C1363" t="s">
        <v>1175</v>
      </c>
      <c r="D1363" t="s">
        <v>1388</v>
      </c>
      <c r="E1363" s="14" t="n">
        <v>1</v>
      </c>
      <c r="F1363" s="17" t="n">
        <v>165</v>
      </c>
      <c r="G1363" s="15" t="n">
        <v>0.866025403784438</v>
      </c>
      <c r="H1363" s="16" t="n">
        <v>-0.5</v>
      </c>
    </row>
    <row r="1364">
      <c r="A1364" t="s">
        <v>31</v>
      </c>
      <c r="B1364" t="s">
        <v>1176</v>
      </c>
      <c r="C1364" t="s">
        <v>1177</v>
      </c>
      <c r="D1364" t="s">
        <v>1388</v>
      </c>
      <c r="E1364" s="14" t="n">
        <v>0.75</v>
      </c>
      <c r="F1364" s="17" t="n">
        <v>3</v>
      </c>
      <c r="G1364" s="15" t="n">
        <v>0.745891421526205</v>
      </c>
      <c r="H1364" s="16" t="n">
        <v>0.0783963474507401</v>
      </c>
    </row>
    <row r="1365">
      <c r="A1365" t="s">
        <v>31</v>
      </c>
      <c r="B1365" t="s">
        <v>1176</v>
      </c>
      <c r="C1365" t="s">
        <v>1178</v>
      </c>
      <c r="D1365" t="s">
        <v>1388</v>
      </c>
      <c r="E1365" s="14" t="n">
        <v>0.5</v>
      </c>
      <c r="F1365" s="17" t="n">
        <v>170</v>
      </c>
      <c r="G1365" s="15" t="n">
        <v>0.469846310392954</v>
      </c>
      <c r="H1365" s="16" t="n">
        <v>-0.171010071662834</v>
      </c>
    </row>
    <row r="1366">
      <c r="A1366" t="s">
        <v>31</v>
      </c>
      <c r="B1366" t="s">
        <v>1179</v>
      </c>
      <c r="C1366" t="s">
        <v>1180</v>
      </c>
      <c r="D1366" t="s">
        <v>1388</v>
      </c>
      <c r="E1366" s="14" t="n">
        <v>1.5</v>
      </c>
      <c r="F1366" s="17" t="n">
        <v>83</v>
      </c>
      <c r="G1366" s="15" t="n">
        <v>-1.45544358941399</v>
      </c>
      <c r="H1366" s="16" t="n">
        <v>0.362882843399502</v>
      </c>
    </row>
    <row r="1367">
      <c r="A1367" t="s">
        <v>31</v>
      </c>
      <c r="B1367" t="s">
        <v>1179</v>
      </c>
      <c r="C1367" t="s">
        <v>1181</v>
      </c>
      <c r="D1367" t="s">
        <v>1388</v>
      </c>
      <c r="E1367" s="14" t="n">
        <v>1</v>
      </c>
      <c r="F1367" s="17" t="n">
        <v>109</v>
      </c>
      <c r="G1367" s="15" t="n">
        <v>-0.788010753606722</v>
      </c>
      <c r="H1367" s="16" t="n">
        <v>-0.615661475325658</v>
      </c>
    </row>
    <row r="1368">
      <c r="A1368" t="s">
        <v>30</v>
      </c>
      <c r="B1368" t="s">
        <v>1182</v>
      </c>
      <c r="C1368" t="s">
        <v>1183</v>
      </c>
      <c r="D1368" t="s">
        <v>1388</v>
      </c>
      <c r="E1368" s="14" t="n">
        <v>0.75</v>
      </c>
      <c r="F1368" s="17" t="n">
        <v>89</v>
      </c>
      <c r="G1368" s="15" t="n">
        <v>-0.749543120264322</v>
      </c>
      <c r="H1368" s="16" t="n">
        <v>0.0261746225268759</v>
      </c>
    </row>
    <row r="1369">
      <c r="A1369" t="s">
        <v>32</v>
      </c>
      <c r="B1369" t="s">
        <v>1184</v>
      </c>
      <c r="C1369" t="s">
        <v>1185</v>
      </c>
      <c r="D1369" t="s">
        <v>1388</v>
      </c>
      <c r="E1369" s="14" t="n">
        <v>0.5</v>
      </c>
      <c r="F1369" s="17" t="n">
        <v>101</v>
      </c>
      <c r="G1369" s="15" t="n">
        <v>-0.463591927283394</v>
      </c>
      <c r="H1369" s="16" t="n">
        <v>-0.187303296707956</v>
      </c>
    </row>
    <row r="1370">
      <c r="A1370" t="s">
        <v>32</v>
      </c>
      <c r="B1370" t="s">
        <v>1184</v>
      </c>
      <c r="C1370" t="s">
        <v>1186</v>
      </c>
      <c r="D1370" t="s">
        <v>1388</v>
      </c>
      <c r="E1370" s="14" t="n">
        <v>0.5</v>
      </c>
      <c r="F1370" s="17" t="n">
        <v>75</v>
      </c>
      <c r="G1370" s="15" t="n">
        <v>-0.433012701892219</v>
      </c>
      <c r="H1370" s="16" t="n">
        <v>0.25</v>
      </c>
    </row>
    <row r="1371">
      <c r="A1371" t="s">
        <v>30</v>
      </c>
      <c r="B1371" t="s">
        <v>1187</v>
      </c>
      <c r="C1371" t="s">
        <v>1188</v>
      </c>
      <c r="D1371" t="s">
        <v>1388</v>
      </c>
      <c r="E1371" s="14" t="n">
        <v>1.5</v>
      </c>
      <c r="F1371" s="17" t="n">
        <v>97</v>
      </c>
      <c r="G1371" s="15" t="n">
        <v>-1.45544358941399</v>
      </c>
      <c r="H1371" s="16" t="n">
        <v>-0.362882843399502</v>
      </c>
    </row>
    <row r="1372">
      <c r="A1372" t="s">
        <v>30</v>
      </c>
      <c r="B1372" t="s">
        <v>1187</v>
      </c>
      <c r="C1372" t="s">
        <v>1189</v>
      </c>
      <c r="D1372" t="s">
        <v>1388</v>
      </c>
      <c r="E1372" s="14" t="n">
        <v>1</v>
      </c>
      <c r="F1372" s="17" t="n">
        <v>94</v>
      </c>
      <c r="G1372" s="15" t="n">
        <v>-0.99026806874157</v>
      </c>
      <c r="H1372" s="16" t="n">
        <v>-0.139173100960066</v>
      </c>
    </row>
    <row r="1373">
      <c r="A1373" t="s">
        <v>30</v>
      </c>
      <c r="B1373" t="s">
        <v>1190</v>
      </c>
      <c r="C1373" t="s">
        <v>1191</v>
      </c>
      <c r="D1373" t="s">
        <v>1388</v>
      </c>
      <c r="E1373" s="14" t="n">
        <v>0.75</v>
      </c>
      <c r="F1373" s="17" t="n">
        <v>62</v>
      </c>
      <c r="G1373" s="15" t="n">
        <v>-0.41939467760306</v>
      </c>
      <c r="H1373" s="16" t="n">
        <v>0.621778179416281</v>
      </c>
    </row>
    <row r="1374">
      <c r="A1374" t="s">
        <v>30</v>
      </c>
      <c r="B1374" t="s">
        <v>1190</v>
      </c>
      <c r="C1374" t="s">
        <v>1192</v>
      </c>
      <c r="D1374" t="s">
        <v>1388</v>
      </c>
      <c r="E1374" s="14" t="n">
        <v>1</v>
      </c>
      <c r="F1374" s="17" t="n">
        <v>119</v>
      </c>
      <c r="G1374" s="15" t="n">
        <v>-0.529919264233205</v>
      </c>
      <c r="H1374" s="16" t="n">
        <v>-0.848048096156426</v>
      </c>
    </row>
    <row r="1375">
      <c r="A1375" t="s">
        <v>31</v>
      </c>
      <c r="B1375" t="s">
        <v>1193</v>
      </c>
      <c r="C1375" t="s">
        <v>1194</v>
      </c>
      <c r="D1375" t="s">
        <v>1388</v>
      </c>
      <c r="E1375" s="14" t="n">
        <v>1</v>
      </c>
      <c r="F1375" s="17" t="n">
        <v>78</v>
      </c>
      <c r="G1375" s="15" t="n">
        <v>-0.913545457642601</v>
      </c>
      <c r="H1375" s="16" t="n">
        <v>0.4067366430758</v>
      </c>
    </row>
    <row r="1376">
      <c r="A1376" t="s">
        <v>31</v>
      </c>
      <c r="B1376" t="s">
        <v>1193</v>
      </c>
      <c r="C1376" t="s">
        <v>1195</v>
      </c>
      <c r="D1376" t="s">
        <v>1388</v>
      </c>
      <c r="E1376" s="14" t="n">
        <v>0.75</v>
      </c>
      <c r="F1376" s="17" t="n">
        <v>98</v>
      </c>
      <c r="G1376" s="15" t="n">
        <v>-0.720946271953739</v>
      </c>
      <c r="H1376" s="16" t="n">
        <v>-0.206728016862749</v>
      </c>
    </row>
    <row r="1377">
      <c r="A1377" t="s">
        <v>31</v>
      </c>
      <c r="B1377" t="s">
        <v>1196</v>
      </c>
      <c r="C1377" t="s">
        <v>1197</v>
      </c>
      <c r="D1377" t="s">
        <v>1388</v>
      </c>
      <c r="E1377" s="14" t="n">
        <v>1.25</v>
      </c>
      <c r="F1377" s="17" t="n">
        <v>96</v>
      </c>
      <c r="G1377" s="15" t="n">
        <v>-1.22268450091726</v>
      </c>
      <c r="H1377" s="16" t="n">
        <v>-0.259889613522199</v>
      </c>
    </row>
    <row r="1378">
      <c r="A1378" t="s">
        <v>32</v>
      </c>
      <c r="B1378" t="s">
        <v>1198</v>
      </c>
      <c r="C1378" t="s">
        <v>1199</v>
      </c>
      <c r="D1378" t="s">
        <v>1388</v>
      </c>
      <c r="E1378" s="14" t="n">
        <v>0.25</v>
      </c>
      <c r="F1378" s="17" t="n">
        <v>12</v>
      </c>
      <c r="G1378" s="15" t="n">
        <v>0.22838636441065</v>
      </c>
      <c r="H1378" s="16" t="n">
        <v>0.10168416076895</v>
      </c>
    </row>
    <row r="1379">
      <c r="A1379" t="s">
        <v>32</v>
      </c>
      <c r="B1379" t="s">
        <v>1200</v>
      </c>
      <c r="C1379" t="s">
        <v>1201</v>
      </c>
      <c r="D1379" t="s">
        <v>1388</v>
      </c>
      <c r="E1379" s="14" t="n">
        <v>0.5</v>
      </c>
      <c r="F1379" s="17" t="n">
        <v>110</v>
      </c>
      <c r="G1379" s="15" t="n">
        <v>-0.383022221559489</v>
      </c>
      <c r="H1379" s="16" t="n">
        <v>-0.32139380484327</v>
      </c>
    </row>
    <row r="1380">
      <c r="A1380" t="s">
        <v>30</v>
      </c>
      <c r="B1380" t="s">
        <v>1445</v>
      </c>
      <c r="C1380" t="s">
        <v>1446</v>
      </c>
      <c r="D1380" t="s">
        <v>1388</v>
      </c>
      <c r="E1380" s="14" t="n">
        <v>1.75</v>
      </c>
      <c r="F1380" s="17" t="n">
        <v>161</v>
      </c>
      <c r="G1380" s="15" t="n">
        <v>1.37901881881176</v>
      </c>
      <c r="H1380" s="16" t="n">
        <v>-1.0774075818199</v>
      </c>
    </row>
    <row r="1381">
      <c r="A1381" t="s">
        <v>30</v>
      </c>
      <c r="B1381" t="s">
        <v>1445</v>
      </c>
      <c r="C1381" t="s">
        <v>1447</v>
      </c>
      <c r="D1381" t="s">
        <v>1388</v>
      </c>
      <c r="E1381" s="14" t="n">
        <v>0.75</v>
      </c>
      <c r="F1381" s="17" t="n">
        <v>26</v>
      </c>
      <c r="G1381" s="15" t="n">
        <v>0.461746106494244</v>
      </c>
      <c r="H1381" s="16" t="n">
        <v>0.591008065205041</v>
      </c>
    </row>
    <row r="1382">
      <c r="A1382" t="s">
        <v>30</v>
      </c>
      <c r="B1382" t="s">
        <v>1448</v>
      </c>
      <c r="C1382" t="s">
        <v>1449</v>
      </c>
      <c r="D1382" t="s">
        <v>1388</v>
      </c>
      <c r="E1382" s="14" t="n">
        <v>2.25</v>
      </c>
      <c r="F1382" s="17" t="n">
        <v>96</v>
      </c>
      <c r="G1382" s="15" t="n">
        <v>-2.20083210165106</v>
      </c>
      <c r="H1382" s="16" t="n">
        <v>-0.467801304339958</v>
      </c>
    </row>
    <row r="1383">
      <c r="A1383" t="s">
        <v>32</v>
      </c>
      <c r="B1383" t="s">
        <v>1202</v>
      </c>
      <c r="C1383" t="s">
        <v>1203</v>
      </c>
      <c r="D1383" t="s">
        <v>1388</v>
      </c>
      <c r="E1383" s="14" t="n">
        <v>1.25</v>
      </c>
      <c r="F1383" s="17" t="n">
        <v>86</v>
      </c>
      <c r="G1383" s="15" t="n">
        <v>-1.23783508592696</v>
      </c>
      <c r="H1383" s="16" t="n">
        <v>0.173966376200082</v>
      </c>
    </row>
    <row r="1384">
      <c r="A1384" t="s">
        <v>32</v>
      </c>
      <c r="B1384" t="s">
        <v>1202</v>
      </c>
      <c r="C1384" t="s">
        <v>1204</v>
      </c>
      <c r="D1384" t="s">
        <v>1388</v>
      </c>
      <c r="E1384" s="14" t="n">
        <v>1</v>
      </c>
      <c r="F1384" s="17" t="n">
        <v>98</v>
      </c>
      <c r="G1384" s="15" t="n">
        <v>-0.961261695938319</v>
      </c>
      <c r="H1384" s="16" t="n">
        <v>-0.275637355816999</v>
      </c>
    </row>
    <row r="1385">
      <c r="A1385" t="s">
        <v>30</v>
      </c>
      <c r="B1385" t="s">
        <v>1205</v>
      </c>
      <c r="C1385" t="s">
        <v>1206</v>
      </c>
      <c r="D1385" t="s">
        <v>1388</v>
      </c>
      <c r="E1385" s="14" t="n">
        <v>0.25</v>
      </c>
      <c r="F1385" s="17" t="n">
        <v>85</v>
      </c>
      <c r="G1385" s="15" t="n">
        <v>-0.246201938253052</v>
      </c>
      <c r="H1385" s="16" t="n">
        <v>0.0434120444167327</v>
      </c>
    </row>
    <row r="1386">
      <c r="A1386" t="s">
        <v>30</v>
      </c>
      <c r="B1386" t="s">
        <v>1205</v>
      </c>
      <c r="C1386" t="s">
        <v>1207</v>
      </c>
      <c r="D1386" t="s">
        <v>1388</v>
      </c>
      <c r="E1386" s="14" t="n">
        <v>0.25</v>
      </c>
      <c r="F1386" s="17" t="n">
        <v>91</v>
      </c>
      <c r="G1386" s="15" t="n">
        <v>-0.249847706754774</v>
      </c>
      <c r="H1386" s="16" t="n">
        <v>-0.00872487417562529</v>
      </c>
    </row>
    <row r="1387">
      <c r="A1387" t="s">
        <v>30</v>
      </c>
      <c r="B1387" t="s">
        <v>1208</v>
      </c>
      <c r="C1387" t="s">
        <v>1209</v>
      </c>
      <c r="D1387" t="s">
        <v>1388</v>
      </c>
      <c r="E1387" s="14" t="n">
        <v>0</v>
      </c>
      <c r="F1387" s="17" t="n">
        <v>64</v>
      </c>
      <c r="G1387" s="15" t="n">
        <v>0</v>
      </c>
      <c r="H1387" s="16" t="n">
        <v>0</v>
      </c>
    </row>
    <row r="1388">
      <c r="A1388" t="s">
        <v>30</v>
      </c>
      <c r="B1388" t="s">
        <v>1210</v>
      </c>
      <c r="C1388" t="s">
        <v>1211</v>
      </c>
      <c r="D1388" t="s">
        <v>1388</v>
      </c>
      <c r="E1388" s="14" t="n">
        <v>1</v>
      </c>
      <c r="F1388" s="17" t="n">
        <v>178</v>
      </c>
      <c r="G1388" s="15" t="n">
        <v>0.997564050259824</v>
      </c>
      <c r="H1388" s="16" t="n">
        <v>-0.0697564737441251</v>
      </c>
    </row>
    <row r="1389">
      <c r="A1389" t="s">
        <v>32</v>
      </c>
      <c r="B1389" t="s">
        <v>1212</v>
      </c>
      <c r="C1389" t="s">
        <v>1213</v>
      </c>
      <c r="D1389" t="s">
        <v>1388</v>
      </c>
      <c r="E1389" s="14" t="n">
        <v>1</v>
      </c>
      <c r="F1389" s="17" t="n">
        <v>97</v>
      </c>
      <c r="G1389" s="15" t="n">
        <v>-0.970295726275996</v>
      </c>
      <c r="H1389" s="16" t="n">
        <v>-0.241921895599668</v>
      </c>
    </row>
    <row r="1390">
      <c r="A1390" t="s">
        <v>32</v>
      </c>
      <c r="B1390" t="s">
        <v>1212</v>
      </c>
      <c r="C1390" t="s">
        <v>1214</v>
      </c>
      <c r="D1390" t="s">
        <v>1388</v>
      </c>
      <c r="E1390" s="14" t="n">
        <v>1.25</v>
      </c>
      <c r="F1390" s="17" t="n">
        <v>79</v>
      </c>
      <c r="G1390" s="15" t="n">
        <v>-1.15897981820848</v>
      </c>
      <c r="H1390" s="16" t="n">
        <v>0.46825824176989</v>
      </c>
    </row>
    <row r="1391">
      <c r="A1391" t="s">
        <v>31</v>
      </c>
      <c r="B1391" t="s">
        <v>1215</v>
      </c>
      <c r="C1391" t="s">
        <v>1216</v>
      </c>
      <c r="D1391" t="s">
        <v>1388</v>
      </c>
      <c r="E1391" s="14" t="n">
        <v>0.75</v>
      </c>
      <c r="F1391" s="17" t="n">
        <v>88</v>
      </c>
      <c r="G1391" s="15" t="n">
        <v>-0.748173037694868</v>
      </c>
      <c r="H1391" s="16" t="n">
        <v>0.0523173553080941</v>
      </c>
    </row>
    <row r="1392">
      <c r="A1392" t="s">
        <v>31</v>
      </c>
      <c r="B1392" t="s">
        <v>1215</v>
      </c>
      <c r="C1392" t="s">
        <v>1217</v>
      </c>
      <c r="D1392" t="s">
        <v>1388</v>
      </c>
      <c r="E1392" s="14" t="n">
        <v>0.25</v>
      </c>
      <c r="F1392" s="17" t="n">
        <v>90</v>
      </c>
      <c r="G1392" s="15" t="n">
        <v>-0.25</v>
      </c>
      <c r="H1392" s="16" t="n">
        <v>0</v>
      </c>
    </row>
    <row r="1393">
      <c r="A1393" t="s">
        <v>32</v>
      </c>
      <c r="B1393" t="s">
        <v>1218</v>
      </c>
      <c r="C1393" t="s">
        <v>1219</v>
      </c>
      <c r="D1393" t="s">
        <v>1388</v>
      </c>
      <c r="E1393" s="14" t="n">
        <v>0.75</v>
      </c>
      <c r="F1393" s="17" t="n">
        <v>17</v>
      </c>
      <c r="G1393" s="15" t="n">
        <v>0.621778179416281</v>
      </c>
      <c r="H1393" s="16" t="n">
        <v>0.41939467760306</v>
      </c>
    </row>
    <row r="1394">
      <c r="A1394" t="s">
        <v>31</v>
      </c>
      <c r="B1394" t="s">
        <v>1220</v>
      </c>
      <c r="C1394" t="s">
        <v>1221</v>
      </c>
      <c r="D1394" t="s">
        <v>1388</v>
      </c>
      <c r="E1394" s="14" t="n">
        <v>0.25</v>
      </c>
      <c r="F1394" s="17" t="n">
        <v>154</v>
      </c>
      <c r="G1394" s="15" t="n">
        <v>0.153915368831414</v>
      </c>
      <c r="H1394" s="16" t="n">
        <v>-0.197002688401681</v>
      </c>
    </row>
    <row r="1395">
      <c r="A1395" t="s">
        <v>31</v>
      </c>
      <c r="B1395" t="s">
        <v>1220</v>
      </c>
      <c r="C1395" t="s">
        <v>1222</v>
      </c>
      <c r="D1395" t="s">
        <v>1388</v>
      </c>
      <c r="E1395" s="14" t="n">
        <v>1</v>
      </c>
      <c r="F1395" s="17" t="n">
        <v>37</v>
      </c>
      <c r="G1395" s="15" t="n">
        <v>0.275637355816999</v>
      </c>
      <c r="H1395" s="16" t="n">
        <v>0.961261695938319</v>
      </c>
    </row>
    <row r="1396">
      <c r="A1396" t="s">
        <v>30</v>
      </c>
      <c r="B1396" t="s">
        <v>1223</v>
      </c>
      <c r="C1396" t="s">
        <v>1224</v>
      </c>
      <c r="D1396" t="s">
        <v>1388</v>
      </c>
      <c r="E1396" s="14" t="n">
        <v>1</v>
      </c>
      <c r="F1396" s="17" t="n">
        <v>74</v>
      </c>
      <c r="G1396" s="15" t="n">
        <v>-0.848048096156426</v>
      </c>
      <c r="H1396" s="16" t="n">
        <v>0.529919264233205</v>
      </c>
    </row>
    <row r="1397">
      <c r="A1397" t="s">
        <v>31</v>
      </c>
      <c r="B1397" t="s">
        <v>1225</v>
      </c>
      <c r="C1397" t="s">
        <v>1226</v>
      </c>
      <c r="D1397" t="s">
        <v>1388</v>
      </c>
      <c r="E1397" s="14" t="n">
        <v>1.25</v>
      </c>
      <c r="F1397" s="17" t="n">
        <v>92</v>
      </c>
      <c r="G1397" s="15" t="n">
        <v>-1.24695506282478</v>
      </c>
      <c r="H1397" s="16" t="n">
        <v>-0.0871955921801564</v>
      </c>
    </row>
    <row r="1398">
      <c r="A1398" t="s">
        <v>31</v>
      </c>
      <c r="B1398" t="s">
        <v>1225</v>
      </c>
      <c r="C1398" t="s">
        <v>1227</v>
      </c>
      <c r="D1398" t="s">
        <v>1388</v>
      </c>
      <c r="E1398" s="14" t="n">
        <v>1.25</v>
      </c>
      <c r="F1398" s="17" t="n">
        <v>73</v>
      </c>
      <c r="G1398" s="15" t="n">
        <v>-1.0362969656938</v>
      </c>
      <c r="H1398" s="16" t="n">
        <v>0.698991129338434</v>
      </c>
    </row>
    <row r="1399">
      <c r="A1399" t="s">
        <v>31</v>
      </c>
      <c r="B1399" t="s">
        <v>1228</v>
      </c>
      <c r="C1399" t="s">
        <v>1229</v>
      </c>
      <c r="D1399" t="s">
        <v>1388</v>
      </c>
      <c r="E1399" s="14" t="n">
        <v>0.25</v>
      </c>
      <c r="F1399" s="17" t="n">
        <v>82</v>
      </c>
      <c r="G1399" s="15" t="n">
        <v>-0.24031542398458</v>
      </c>
      <c r="H1399" s="16" t="n">
        <v>0.0689093389542498</v>
      </c>
    </row>
    <row r="1400">
      <c r="A1400" t="s">
        <v>31</v>
      </c>
      <c r="B1400" t="s">
        <v>1228</v>
      </c>
      <c r="C1400" t="s">
        <v>1230</v>
      </c>
      <c r="D1400" t="s">
        <v>1388</v>
      </c>
      <c r="E1400" s="14" t="n">
        <v>0.5</v>
      </c>
      <c r="F1400" s="17" t="n">
        <v>93</v>
      </c>
      <c r="G1400" s="15" t="n">
        <v>-0.497260947684137</v>
      </c>
      <c r="H1400" s="16" t="n">
        <v>-0.0522642316338269</v>
      </c>
    </row>
    <row r="1401">
      <c r="A1401" t="s">
        <v>30</v>
      </c>
      <c r="B1401" t="s">
        <v>1231</v>
      </c>
      <c r="C1401" t="s">
        <v>1232</v>
      </c>
      <c r="D1401" t="s">
        <v>1388</v>
      </c>
      <c r="E1401" s="14" t="n">
        <v>0.5</v>
      </c>
      <c r="F1401" s="17" t="n">
        <v>73</v>
      </c>
      <c r="G1401" s="15" t="n">
        <v>-0.414518786277521</v>
      </c>
      <c r="H1401" s="16" t="n">
        <v>0.279596451735373</v>
      </c>
    </row>
    <row r="1402">
      <c r="A1402" t="s">
        <v>30</v>
      </c>
      <c r="B1402" t="s">
        <v>1233</v>
      </c>
      <c r="C1402" t="s">
        <v>1234</v>
      </c>
      <c r="D1402" t="s">
        <v>1388</v>
      </c>
      <c r="E1402" s="14" t="n">
        <v>0.75</v>
      </c>
      <c r="F1402" s="17" t="n">
        <v>116</v>
      </c>
      <c r="G1402" s="15" t="n">
        <v>-0.461746106494244</v>
      </c>
      <c r="H1402" s="16" t="n">
        <v>-0.591008065205042</v>
      </c>
    </row>
    <row r="1403">
      <c r="A1403" t="s">
        <v>30</v>
      </c>
      <c r="B1403" t="s">
        <v>1233</v>
      </c>
      <c r="C1403" t="s">
        <v>1235</v>
      </c>
      <c r="D1403" t="s">
        <v>1388</v>
      </c>
      <c r="E1403" s="14" t="n">
        <v>1.75</v>
      </c>
      <c r="F1403" s="17" t="n">
        <v>58</v>
      </c>
      <c r="G1403" s="15" t="n">
        <v>-0.767149506880886</v>
      </c>
      <c r="H1403" s="16" t="n">
        <v>1.57288958102354</v>
      </c>
    </row>
    <row r="1404">
      <c r="A1404" t="s">
        <v>30</v>
      </c>
      <c r="B1404" t="s">
        <v>1236</v>
      </c>
      <c r="C1404" t="s">
        <v>1237</v>
      </c>
      <c r="D1404" t="s">
        <v>1388</v>
      </c>
      <c r="E1404" s="14" t="n">
        <v>0.75</v>
      </c>
      <c r="F1404" s="17" t="n">
        <v>128</v>
      </c>
      <c r="G1404" s="15" t="n">
        <v>-0.181441421699751</v>
      </c>
      <c r="H1404" s="16" t="n">
        <v>-0.727721794706997</v>
      </c>
    </row>
    <row r="1405">
      <c r="A1405" t="s">
        <v>32</v>
      </c>
      <c r="B1405" t="s">
        <v>1238</v>
      </c>
      <c r="C1405" t="s">
        <v>1239</v>
      </c>
      <c r="D1405" t="s">
        <v>1388</v>
      </c>
      <c r="E1405" s="14" t="n">
        <v>3</v>
      </c>
      <c r="F1405" s="17" t="n">
        <v>69</v>
      </c>
      <c r="G1405" s="15" t="n">
        <v>-2.22943447643218</v>
      </c>
      <c r="H1405" s="16" t="n">
        <v>2.00739181907657</v>
      </c>
    </row>
    <row r="1406">
      <c r="A1406" t="s">
        <v>32</v>
      </c>
      <c r="B1406" t="s">
        <v>1238</v>
      </c>
      <c r="C1406" t="s">
        <v>1240</v>
      </c>
      <c r="D1406" t="s">
        <v>1388</v>
      </c>
      <c r="E1406" s="14" t="n">
        <v>2.5</v>
      </c>
      <c r="F1406" s="17" t="n">
        <v>113</v>
      </c>
      <c r="G1406" s="15" t="n">
        <v>-1.73664592614749</v>
      </c>
      <c r="H1406" s="16" t="n">
        <v>-1.79834950084663</v>
      </c>
    </row>
    <row r="1407">
      <c r="A1407" t="s">
        <v>30</v>
      </c>
      <c r="B1407" t="s">
        <v>1241</v>
      </c>
      <c r="C1407" t="s">
        <v>1242</v>
      </c>
      <c r="D1407" t="s">
        <v>1388</v>
      </c>
      <c r="E1407" s="14" t="n">
        <v>0.25</v>
      </c>
      <c r="F1407" s="17" t="n">
        <v>7</v>
      </c>
      <c r="G1407" s="15" t="n">
        <v>0.242573931568999</v>
      </c>
      <c r="H1407" s="16" t="n">
        <v>0.0604804738999169</v>
      </c>
    </row>
    <row r="1408">
      <c r="A1408" t="s">
        <v>30</v>
      </c>
      <c r="B1408" t="s">
        <v>1243</v>
      </c>
      <c r="C1408" t="s">
        <v>1244</v>
      </c>
      <c r="D1408" t="s">
        <v>1388</v>
      </c>
      <c r="E1408" s="14" t="n">
        <v>1.25</v>
      </c>
      <c r="F1408" s="17" t="n">
        <v>93</v>
      </c>
      <c r="G1408" s="15" t="n">
        <v>-1.24315236921034</v>
      </c>
      <c r="H1408" s="16" t="n">
        <v>-0.130660579084567</v>
      </c>
    </row>
    <row r="1409">
      <c r="A1409" t="s">
        <v>30</v>
      </c>
      <c r="B1409" t="s">
        <v>1243</v>
      </c>
      <c r="C1409" t="s">
        <v>1245</v>
      </c>
      <c r="D1409" t="s">
        <v>1388</v>
      </c>
      <c r="E1409" s="14" t="n">
        <v>1.5</v>
      </c>
      <c r="F1409" s="17" t="n">
        <v>106</v>
      </c>
      <c r="G1409" s="15" t="n">
        <v>-1.27207214423464</v>
      </c>
      <c r="H1409" s="16" t="n">
        <v>-0.794878896349807</v>
      </c>
    </row>
    <row r="1410">
      <c r="A1410" t="s">
        <v>31</v>
      </c>
      <c r="B1410" t="s">
        <v>1246</v>
      </c>
      <c r="C1410" t="s">
        <v>1247</v>
      </c>
      <c r="D1410" t="s">
        <v>1388</v>
      </c>
      <c r="E1410" s="14" t="n">
        <v>1</v>
      </c>
      <c r="F1410" s="17" t="n">
        <v>104</v>
      </c>
      <c r="G1410" s="15" t="n">
        <v>-0.882947592858927</v>
      </c>
      <c r="H1410" s="16" t="n">
        <v>-0.469471562785891</v>
      </c>
    </row>
    <row r="1411">
      <c r="A1411" t="s">
        <v>31</v>
      </c>
      <c r="B1411" t="s">
        <v>1248</v>
      </c>
      <c r="C1411" t="s">
        <v>1249</v>
      </c>
      <c r="D1411" t="s">
        <v>1388</v>
      </c>
      <c r="E1411" s="14" t="n">
        <v>0.75</v>
      </c>
      <c r="F1411" s="17" t="n">
        <v>1</v>
      </c>
      <c r="G1411" s="15" t="n">
        <v>0.749543120264322</v>
      </c>
      <c r="H1411" s="16" t="n">
        <v>0.0261746225268757</v>
      </c>
    </row>
    <row r="1412">
      <c r="A1412" t="s">
        <v>30</v>
      </c>
      <c r="B1412" t="s">
        <v>1250</v>
      </c>
      <c r="C1412" t="s">
        <v>1251</v>
      </c>
      <c r="D1412" t="s">
        <v>1388</v>
      </c>
      <c r="E1412" s="14" t="n">
        <v>0.5</v>
      </c>
      <c r="F1412" s="17" t="n">
        <v>132</v>
      </c>
      <c r="G1412" s="15" t="n">
        <v>-0.0522642316338271</v>
      </c>
      <c r="H1412" s="16" t="n">
        <v>-0.497260947684137</v>
      </c>
    </row>
    <row r="1413">
      <c r="A1413" t="s">
        <v>30</v>
      </c>
      <c r="B1413" t="s">
        <v>1250</v>
      </c>
      <c r="C1413" t="s">
        <v>1252</v>
      </c>
      <c r="D1413" t="s">
        <v>1388</v>
      </c>
      <c r="E1413" s="14" t="n">
        <v>0.75</v>
      </c>
      <c r="F1413" s="17" t="n">
        <v>49</v>
      </c>
      <c r="G1413" s="15" t="n">
        <v>-0.104379825720049</v>
      </c>
      <c r="H1413" s="16" t="n">
        <v>0.742701051556178</v>
      </c>
    </row>
    <row r="1414">
      <c r="A1414" t="s">
        <v>32</v>
      </c>
      <c r="B1414" t="s">
        <v>1253</v>
      </c>
      <c r="C1414" t="s">
        <v>1254</v>
      </c>
      <c r="D1414" t="s">
        <v>1388</v>
      </c>
      <c r="E1414" s="14" t="n">
        <v>0.25</v>
      </c>
      <c r="F1414" s="17" t="n">
        <v>94</v>
      </c>
      <c r="G1414" s="15" t="n">
        <v>-0.247567017185393</v>
      </c>
      <c r="H1414" s="16" t="n">
        <v>-0.0347932752400164</v>
      </c>
    </row>
    <row r="1415">
      <c r="A1415" t="s">
        <v>32</v>
      </c>
      <c r="B1415" t="s">
        <v>1253</v>
      </c>
      <c r="C1415" t="s">
        <v>1255</v>
      </c>
      <c r="D1415" t="s">
        <v>1388</v>
      </c>
      <c r="E1415" s="14" t="n">
        <v>0.25</v>
      </c>
      <c r="F1415" s="17" t="n">
        <v>85</v>
      </c>
      <c r="G1415" s="15" t="n">
        <v>-0.246201938253052</v>
      </c>
      <c r="H1415" s="16" t="n">
        <v>0.0434120444167327</v>
      </c>
    </row>
    <row r="1416">
      <c r="A1416" t="s">
        <v>30</v>
      </c>
      <c r="B1416" t="s">
        <v>1450</v>
      </c>
      <c r="C1416" t="s">
        <v>1451</v>
      </c>
      <c r="D1416" t="s">
        <v>1388</v>
      </c>
      <c r="E1416" s="14" t="n">
        <v>1</v>
      </c>
      <c r="F1416" s="17" t="n">
        <v>39</v>
      </c>
      <c r="G1416" s="15" t="n">
        <v>0.207911690817759</v>
      </c>
      <c r="H1416" s="16" t="n">
        <v>0.978147600733806</v>
      </c>
    </row>
    <row r="1417">
      <c r="A1417" t="s">
        <v>30</v>
      </c>
      <c r="B1417" t="s">
        <v>1450</v>
      </c>
      <c r="C1417" t="s">
        <v>1452</v>
      </c>
      <c r="D1417" t="s">
        <v>1388</v>
      </c>
      <c r="E1417" s="14" t="n">
        <v>0.75</v>
      </c>
      <c r="F1417" s="17" t="n">
        <v>144</v>
      </c>
      <c r="G1417" s="15" t="n">
        <v>0.23176274578121</v>
      </c>
      <c r="H1417" s="16" t="n">
        <v>-0.713292387221365</v>
      </c>
    </row>
    <row r="1418">
      <c r="A1418" t="s">
        <v>32</v>
      </c>
      <c r="B1418" t="s">
        <v>1256</v>
      </c>
      <c r="C1418" t="s">
        <v>1257</v>
      </c>
      <c r="D1418" t="s">
        <v>1388</v>
      </c>
      <c r="E1418" s="14" t="n">
        <v>0.25</v>
      </c>
      <c r="F1418" s="17" t="n">
        <v>85</v>
      </c>
      <c r="G1418" s="15" t="n">
        <v>-0.246201938253052</v>
      </c>
      <c r="H1418" s="16" t="n">
        <v>0.0434120444167327</v>
      </c>
    </row>
    <row r="1419">
      <c r="A1419" t="s">
        <v>32</v>
      </c>
      <c r="B1419" t="s">
        <v>1256</v>
      </c>
      <c r="C1419" t="s">
        <v>1258</v>
      </c>
      <c r="D1419" t="s">
        <v>1388</v>
      </c>
      <c r="E1419" s="14" t="n">
        <v>0.5</v>
      </c>
      <c r="F1419" s="17" t="n">
        <v>106</v>
      </c>
      <c r="G1419" s="15" t="n">
        <v>-0.424024048078213</v>
      </c>
      <c r="H1419" s="16" t="n">
        <v>-0.264959632116602</v>
      </c>
    </row>
    <row r="1420">
      <c r="A1420" t="s">
        <v>31</v>
      </c>
      <c r="B1420" t="s">
        <v>1259</v>
      </c>
      <c r="C1420" t="s">
        <v>1260</v>
      </c>
      <c r="D1420" t="s">
        <v>1388</v>
      </c>
      <c r="E1420" s="14" t="n">
        <v>0.25</v>
      </c>
      <c r="F1420" s="17" t="n">
        <v>99</v>
      </c>
      <c r="G1420" s="15" t="n">
        <v>-0.237764129073788</v>
      </c>
      <c r="H1420" s="16" t="n">
        <v>-0.077254248593737</v>
      </c>
    </row>
    <row r="1421">
      <c r="A1421" t="s">
        <v>31</v>
      </c>
      <c r="B1421" t="s">
        <v>1259</v>
      </c>
      <c r="C1421" t="s">
        <v>1261</v>
      </c>
      <c r="D1421" t="s">
        <v>1388</v>
      </c>
      <c r="E1421" s="14" t="n">
        <v>0.5</v>
      </c>
      <c r="F1421" s="17" t="n">
        <v>93</v>
      </c>
      <c r="G1421" s="15" t="n">
        <v>-0.497260947684137</v>
      </c>
      <c r="H1421" s="16" t="n">
        <v>-0.0522642316338269</v>
      </c>
    </row>
    <row r="1422">
      <c r="A1422" t="s">
        <v>30</v>
      </c>
      <c r="B1422" t="s">
        <v>1262</v>
      </c>
      <c r="C1422" t="s">
        <v>1263</v>
      </c>
      <c r="D1422" t="s">
        <v>1388</v>
      </c>
      <c r="E1422" s="14" t="n">
        <v>1.25</v>
      </c>
      <c r="F1422" s="17" t="n">
        <v>90</v>
      </c>
      <c r="G1422" s="15" t="n">
        <v>-1.25</v>
      </c>
      <c r="H1422" s="16" t="n">
        <v>0</v>
      </c>
    </row>
    <row r="1423">
      <c r="A1423" t="s">
        <v>30</v>
      </c>
      <c r="B1423" t="s">
        <v>1262</v>
      </c>
      <c r="C1423" t="s">
        <v>1264</v>
      </c>
      <c r="D1423" t="s">
        <v>1388</v>
      </c>
      <c r="E1423" s="14" t="n">
        <v>1.25</v>
      </c>
      <c r="F1423" s="17" t="n">
        <v>81</v>
      </c>
      <c r="G1423" s="15" t="n">
        <v>-1.18882064536894</v>
      </c>
      <c r="H1423" s="16" t="n">
        <v>0.386271242968684</v>
      </c>
    </row>
    <row r="1424">
      <c r="A1424" t="s">
        <v>30</v>
      </c>
      <c r="B1424" t="s">
        <v>1265</v>
      </c>
      <c r="C1424" t="s">
        <v>1266</v>
      </c>
      <c r="D1424" t="s">
        <v>1388</v>
      </c>
      <c r="E1424" s="14" t="n">
        <v>1</v>
      </c>
      <c r="F1424" s="17" t="n">
        <v>108</v>
      </c>
      <c r="G1424" s="15" t="n">
        <v>-0.809016994374948</v>
      </c>
      <c r="H1424" s="16" t="n">
        <v>-0.587785252292473</v>
      </c>
    </row>
    <row r="1425">
      <c r="A1425" t="s">
        <v>30</v>
      </c>
      <c r="B1425" t="s">
        <v>1265</v>
      </c>
      <c r="C1425" t="s">
        <v>1267</v>
      </c>
      <c r="D1425" t="s">
        <v>1388</v>
      </c>
      <c r="E1425" s="14" t="n">
        <v>1.5</v>
      </c>
      <c r="F1425" s="17" t="n">
        <v>67</v>
      </c>
      <c r="G1425" s="15" t="n">
        <v>-1.0419875556885</v>
      </c>
      <c r="H1425" s="16" t="n">
        <v>1.07900970050798</v>
      </c>
    </row>
    <row r="1426">
      <c r="A1426" t="s">
        <v>32</v>
      </c>
      <c r="B1426" t="s">
        <v>1268</v>
      </c>
      <c r="C1426" t="s">
        <v>1269</v>
      </c>
      <c r="D1426" t="s">
        <v>1388</v>
      </c>
      <c r="E1426" s="14" t="n">
        <v>0.75</v>
      </c>
      <c r="F1426" s="17" t="n">
        <v>98</v>
      </c>
      <c r="G1426" s="15" t="n">
        <v>-0.720946271953739</v>
      </c>
      <c r="H1426" s="16" t="n">
        <v>-0.206728016862749</v>
      </c>
    </row>
    <row r="1427">
      <c r="A1427" t="s">
        <v>32</v>
      </c>
      <c r="B1427" t="s">
        <v>1268</v>
      </c>
      <c r="C1427" t="s">
        <v>1270</v>
      </c>
      <c r="D1427" t="s">
        <v>1388</v>
      </c>
      <c r="E1427" s="14" t="n">
        <v>1</v>
      </c>
      <c r="F1427" s="17" t="n">
        <v>89</v>
      </c>
      <c r="G1427" s="15" t="n">
        <v>-0.999390827019096</v>
      </c>
      <c r="H1427" s="16" t="n">
        <v>0.0348994967025011</v>
      </c>
    </row>
    <row r="1428">
      <c r="A1428" t="s">
        <v>30</v>
      </c>
      <c r="B1428" t="s">
        <v>1271</v>
      </c>
      <c r="C1428" t="s">
        <v>1272</v>
      </c>
      <c r="D1428" t="s">
        <v>1388</v>
      </c>
      <c r="E1428" s="14" t="n">
        <v>1.5</v>
      </c>
      <c r="F1428" s="17" t="n">
        <v>75</v>
      </c>
      <c r="G1428" s="15" t="n">
        <v>-1.29903810567666</v>
      </c>
      <c r="H1428" s="16" t="n">
        <v>0.75</v>
      </c>
    </row>
    <row r="1429">
      <c r="A1429" t="s">
        <v>30</v>
      </c>
      <c r="B1429" t="s">
        <v>1271</v>
      </c>
      <c r="C1429" t="s">
        <v>1273</v>
      </c>
      <c r="D1429" t="s">
        <v>1388</v>
      </c>
      <c r="E1429" s="14" t="n">
        <v>0.75</v>
      </c>
      <c r="F1429" s="17" t="n">
        <v>105</v>
      </c>
      <c r="G1429" s="15" t="n">
        <v>-0.649519052838329</v>
      </c>
      <c r="H1429" s="16" t="n">
        <v>-0.375</v>
      </c>
    </row>
    <row r="1430">
      <c r="A1430" t="s">
        <v>30</v>
      </c>
      <c r="B1430" t="s">
        <v>1274</v>
      </c>
      <c r="C1430" t="s">
        <v>1275</v>
      </c>
      <c r="D1430" t="s">
        <v>1388</v>
      </c>
      <c r="E1430" s="14" t="n">
        <v>0.5</v>
      </c>
      <c r="F1430" s="17" t="n">
        <v>174</v>
      </c>
      <c r="G1430" s="15" t="n">
        <v>0.489073800366903</v>
      </c>
      <c r="H1430" s="16" t="n">
        <v>-0.10395584540888</v>
      </c>
    </row>
    <row r="1431">
      <c r="A1431" t="s">
        <v>30</v>
      </c>
      <c r="B1431" t="s">
        <v>1274</v>
      </c>
      <c r="C1431" t="s">
        <v>1276</v>
      </c>
      <c r="D1431" t="s">
        <v>1388</v>
      </c>
      <c r="E1431" s="14" t="n">
        <v>0.25</v>
      </c>
      <c r="F1431" s="17" t="n">
        <v>173</v>
      </c>
      <c r="G1431" s="15" t="n">
        <v>0.242573931568999</v>
      </c>
      <c r="H1431" s="16" t="n">
        <v>-0.0604804738999169</v>
      </c>
    </row>
    <row r="1432">
      <c r="A1432" t="s">
        <v>31</v>
      </c>
      <c r="B1432" t="s">
        <v>1277</v>
      </c>
      <c r="C1432" t="s">
        <v>1278</v>
      </c>
      <c r="D1432" t="s">
        <v>1388</v>
      </c>
      <c r="E1432" s="14" t="n">
        <v>0.25</v>
      </c>
      <c r="F1432" s="17" t="n">
        <v>111</v>
      </c>
      <c r="G1432" s="15" t="n">
        <v>-0.185786206369349</v>
      </c>
      <c r="H1432" s="16" t="n">
        <v>-0.167282651589715</v>
      </c>
    </row>
    <row r="1433">
      <c r="A1433" t="s">
        <v>31</v>
      </c>
      <c r="B1433" t="s">
        <v>1277</v>
      </c>
      <c r="C1433" t="s">
        <v>1279</v>
      </c>
      <c r="D1433" t="s">
        <v>1388</v>
      </c>
      <c r="E1433" s="14" t="n">
        <v>0.25</v>
      </c>
      <c r="F1433" s="17" t="n">
        <v>56</v>
      </c>
      <c r="G1433" s="15" t="n">
        <v>-0.093651648353978</v>
      </c>
      <c r="H1433" s="16" t="n">
        <v>0.231795963641697</v>
      </c>
    </row>
    <row r="1434">
      <c r="A1434" t="s">
        <v>32</v>
      </c>
      <c r="B1434" t="s">
        <v>1280</v>
      </c>
      <c r="C1434" t="s">
        <v>1281</v>
      </c>
      <c r="D1434" t="s">
        <v>1388</v>
      </c>
      <c r="E1434" s="14" t="n">
        <v>0.75</v>
      </c>
      <c r="F1434" s="17" t="n">
        <v>84</v>
      </c>
      <c r="G1434" s="15" t="n">
        <v>-0.733610700550354</v>
      </c>
      <c r="H1434" s="16" t="n">
        <v>0.155933768113319</v>
      </c>
    </row>
    <row r="1435">
      <c r="A1435" t="s">
        <v>30</v>
      </c>
      <c r="B1435" t="s">
        <v>1282</v>
      </c>
      <c r="C1435" t="s">
        <v>1283</v>
      </c>
      <c r="D1435" t="s">
        <v>1388</v>
      </c>
      <c r="E1435" s="14" t="n">
        <v>0.75</v>
      </c>
      <c r="F1435" s="17" t="n">
        <v>100</v>
      </c>
      <c r="G1435" s="15" t="n">
        <v>-0.704769465589431</v>
      </c>
      <c r="H1435" s="16" t="n">
        <v>-0.256515107494252</v>
      </c>
    </row>
    <row r="1436">
      <c r="A1436" t="s">
        <v>30</v>
      </c>
      <c r="B1436" t="s">
        <v>1282</v>
      </c>
      <c r="C1436" t="s">
        <v>1284</v>
      </c>
      <c r="D1436" t="s">
        <v>1388</v>
      </c>
      <c r="E1436" s="14" t="n">
        <v>1.25</v>
      </c>
      <c r="F1436" s="17" t="n">
        <v>81</v>
      </c>
      <c r="G1436" s="15" t="n">
        <v>-1.18882064536894</v>
      </c>
      <c r="H1436" s="16" t="n">
        <v>0.386271242968684</v>
      </c>
    </row>
    <row r="1437">
      <c r="A1437" t="s">
        <v>30</v>
      </c>
      <c r="B1437" t="s">
        <v>1285</v>
      </c>
      <c r="C1437" t="s">
        <v>1286</v>
      </c>
      <c r="D1437" t="s">
        <v>1388</v>
      </c>
      <c r="E1437" s="14" t="n">
        <v>0.25</v>
      </c>
      <c r="F1437" s="17" t="n">
        <v>75</v>
      </c>
      <c r="G1437" s="15" t="n">
        <v>-0.21650635094611</v>
      </c>
      <c r="H1437" s="16" t="n">
        <v>0.125</v>
      </c>
    </row>
    <row r="1438">
      <c r="A1438" t="s">
        <v>31</v>
      </c>
      <c r="B1438" t="s">
        <v>1287</v>
      </c>
      <c r="C1438" t="s">
        <v>1288</v>
      </c>
      <c r="D1438" t="s">
        <v>1388</v>
      </c>
      <c r="E1438" s="14" t="n">
        <v>0.75</v>
      </c>
      <c r="F1438" s="17" t="n">
        <v>179</v>
      </c>
      <c r="G1438" s="15" t="n">
        <v>0.749543120264322</v>
      </c>
      <c r="H1438" s="16" t="n">
        <v>-0.0261746225268756</v>
      </c>
    </row>
    <row r="1439">
      <c r="A1439" t="s">
        <v>31</v>
      </c>
      <c r="B1439" t="s">
        <v>1287</v>
      </c>
      <c r="C1439" t="s">
        <v>1289</v>
      </c>
      <c r="D1439" t="s">
        <v>1388</v>
      </c>
      <c r="E1439" s="14" t="n">
        <v>0.5</v>
      </c>
      <c r="F1439" s="17" t="n">
        <v>12</v>
      </c>
      <c r="G1439" s="15" t="n">
        <v>0.4567727288213</v>
      </c>
      <c r="H1439" s="16" t="n">
        <v>0.2033683215379</v>
      </c>
    </row>
    <row r="1440">
      <c r="A1440" t="s">
        <v>30</v>
      </c>
      <c r="B1440" t="s">
        <v>1290</v>
      </c>
      <c r="C1440" t="s">
        <v>1291</v>
      </c>
      <c r="D1440" t="s">
        <v>1388</v>
      </c>
      <c r="E1440" s="14" t="n">
        <v>0.5</v>
      </c>
      <c r="F1440" s="17" t="n">
        <v>67</v>
      </c>
      <c r="G1440" s="15" t="n">
        <v>-0.347329185229499</v>
      </c>
      <c r="H1440" s="16" t="n">
        <v>0.359669900169326</v>
      </c>
    </row>
    <row r="1441">
      <c r="A1441" t="s">
        <v>30</v>
      </c>
      <c r="B1441" t="s">
        <v>1290</v>
      </c>
      <c r="C1441" t="s">
        <v>1292</v>
      </c>
      <c r="D1441" t="s">
        <v>1388</v>
      </c>
      <c r="E1441" s="14" t="n">
        <v>0.75</v>
      </c>
      <c r="F1441" s="17" t="n">
        <v>118</v>
      </c>
      <c r="G1441" s="15" t="n">
        <v>-0.41939467760306</v>
      </c>
      <c r="H1441" s="16" t="n">
        <v>-0.621778179416281</v>
      </c>
    </row>
    <row r="1442">
      <c r="A1442" t="s">
        <v>31</v>
      </c>
      <c r="B1442" t="s">
        <v>1293</v>
      </c>
      <c r="C1442" t="s">
        <v>1294</v>
      </c>
      <c r="D1442" t="s">
        <v>1388</v>
      </c>
      <c r="E1442" s="14" t="n">
        <v>0.25</v>
      </c>
      <c r="F1442" s="17" t="n">
        <v>90</v>
      </c>
      <c r="G1442" s="15" t="n">
        <v>-0.25</v>
      </c>
      <c r="H1442" s="16" t="n">
        <v>0</v>
      </c>
    </row>
    <row r="1443">
      <c r="A1443" t="s">
        <v>31</v>
      </c>
      <c r="B1443" t="s">
        <v>1293</v>
      </c>
      <c r="C1443" t="s">
        <v>1295</v>
      </c>
      <c r="D1443" t="s">
        <v>1388</v>
      </c>
      <c r="E1443" s="14" t="n">
        <v>0.5</v>
      </c>
      <c r="F1443" s="17" t="n">
        <v>109</v>
      </c>
      <c r="G1443" s="15" t="n">
        <v>-0.394005376803361</v>
      </c>
      <c r="H1443" s="16" t="n">
        <v>-0.307830737662829</v>
      </c>
    </row>
    <row r="1444">
      <c r="A1444" t="s">
        <v>32</v>
      </c>
      <c r="B1444" t="s">
        <v>1296</v>
      </c>
      <c r="C1444" t="s">
        <v>1297</v>
      </c>
      <c r="D1444" t="s">
        <v>1388</v>
      </c>
      <c r="E1444" s="14" t="n">
        <v>2</v>
      </c>
      <c r="F1444" s="17" t="n">
        <v>74</v>
      </c>
      <c r="G1444" s="15" t="n">
        <v>-1.69609619231285</v>
      </c>
      <c r="H1444" s="16" t="n">
        <v>1.05983852846641</v>
      </c>
    </row>
    <row r="1445">
      <c r="A1445" t="s">
        <v>32</v>
      </c>
      <c r="B1445" t="s">
        <v>1296</v>
      </c>
      <c r="C1445" t="s">
        <v>1298</v>
      </c>
      <c r="D1445" t="s">
        <v>1388</v>
      </c>
      <c r="E1445" s="14" t="n">
        <v>2</v>
      </c>
      <c r="F1445" s="17" t="n">
        <v>109</v>
      </c>
      <c r="G1445" s="15" t="n">
        <v>-1.57602150721344</v>
      </c>
      <c r="H1445" s="16" t="n">
        <v>-1.23132295065132</v>
      </c>
    </row>
    <row r="1446">
      <c r="A1446" t="s">
        <v>32</v>
      </c>
      <c r="B1446" t="s">
        <v>1299</v>
      </c>
      <c r="C1446" t="s">
        <v>1300</v>
      </c>
      <c r="D1446" t="s">
        <v>1388</v>
      </c>
      <c r="E1446" s="14" t="n">
        <v>1.25</v>
      </c>
      <c r="F1446" s="17" t="n">
        <v>178</v>
      </c>
      <c r="G1446" s="15" t="n">
        <v>1.24695506282478</v>
      </c>
      <c r="H1446" s="16" t="n">
        <v>-0.0871955921801563</v>
      </c>
    </row>
    <row r="1447">
      <c r="A1447" t="s">
        <v>32</v>
      </c>
      <c r="B1447" t="s">
        <v>1299</v>
      </c>
      <c r="C1447" t="s">
        <v>1301</v>
      </c>
      <c r="D1447" t="s">
        <v>1388</v>
      </c>
      <c r="E1447" s="14" t="n">
        <v>1.75</v>
      </c>
      <c r="F1447" s="17" t="n">
        <v>19</v>
      </c>
      <c r="G1447" s="15" t="n">
        <v>1.37901881881176</v>
      </c>
      <c r="H1447" s="16" t="n">
        <v>1.0774075818199</v>
      </c>
    </row>
    <row r="1448">
      <c r="A1448" t="s">
        <v>30</v>
      </c>
      <c r="B1448" t="s">
        <v>1302</v>
      </c>
      <c r="C1448" t="s">
        <v>1303</v>
      </c>
      <c r="D1448" t="s">
        <v>1388</v>
      </c>
      <c r="E1448" s="14" t="n">
        <v>0.5</v>
      </c>
      <c r="F1448" s="17" t="n">
        <v>143</v>
      </c>
      <c r="G1448" s="15" t="n">
        <v>0.137818677908499</v>
      </c>
      <c r="H1448" s="16" t="n">
        <v>-0.480630847969159</v>
      </c>
    </row>
    <row r="1449">
      <c r="A1449" t="s">
        <v>30</v>
      </c>
      <c r="B1449" t="s">
        <v>1302</v>
      </c>
      <c r="C1449" t="s">
        <v>1304</v>
      </c>
      <c r="D1449" t="s">
        <v>1388</v>
      </c>
      <c r="E1449" s="14" t="n">
        <v>0.25</v>
      </c>
      <c r="F1449" s="17" t="n">
        <v>40</v>
      </c>
      <c r="G1449" s="15" t="n">
        <v>0.0434120444167326</v>
      </c>
      <c r="H1449" s="16" t="n">
        <v>0.246201938253052</v>
      </c>
    </row>
    <row r="1450">
      <c r="A1450" t="s">
        <v>31</v>
      </c>
      <c r="B1450" t="s">
        <v>1453</v>
      </c>
      <c r="C1450" t="s">
        <v>1454</v>
      </c>
      <c r="D1450" t="s">
        <v>1388</v>
      </c>
      <c r="E1450" s="14" t="n">
        <v>2.75</v>
      </c>
      <c r="F1450" s="17" t="n">
        <v>82</v>
      </c>
      <c r="G1450" s="15" t="n">
        <v>-2.64346966383038</v>
      </c>
      <c r="H1450" s="16" t="n">
        <v>0.758002728496748</v>
      </c>
    </row>
    <row r="1451">
      <c r="A1451" t="s">
        <v>32</v>
      </c>
      <c r="B1451" t="s">
        <v>1305</v>
      </c>
      <c r="C1451" t="s">
        <v>1306</v>
      </c>
      <c r="D1451" t="s">
        <v>1388</v>
      </c>
      <c r="E1451" s="14" t="n">
        <v>0.75</v>
      </c>
      <c r="F1451" s="17" t="n">
        <v>45</v>
      </c>
      <c r="G1451" s="15" t="n">
        <v>0</v>
      </c>
      <c r="H1451" s="16" t="n">
        <v>0.75</v>
      </c>
    </row>
    <row r="1452">
      <c r="A1452" t="s">
        <v>32</v>
      </c>
      <c r="B1452" t="s">
        <v>1305</v>
      </c>
      <c r="C1452" t="s">
        <v>1307</v>
      </c>
      <c r="D1452" t="s">
        <v>1388</v>
      </c>
      <c r="E1452" s="14" t="n">
        <v>0.5</v>
      </c>
      <c r="F1452" s="17" t="n">
        <v>136</v>
      </c>
      <c r="G1452" s="15" t="n">
        <v>0.0174497483512502</v>
      </c>
      <c r="H1452" s="16" t="n">
        <v>-0.499695413509548</v>
      </c>
    </row>
    <row r="1453">
      <c r="A1453" t="s">
        <v>31</v>
      </c>
      <c r="B1453" t="s">
        <v>1308</v>
      </c>
      <c r="C1453" t="s">
        <v>1309</v>
      </c>
      <c r="D1453" t="s">
        <v>1388</v>
      </c>
      <c r="E1453" s="14" t="n">
        <v>0.5</v>
      </c>
      <c r="F1453" s="17" t="n">
        <v>175</v>
      </c>
      <c r="G1453" s="15" t="n">
        <v>0.492403876506104</v>
      </c>
      <c r="H1453" s="16" t="n">
        <v>-0.0868240888334652</v>
      </c>
    </row>
    <row r="1454">
      <c r="A1454" t="s">
        <v>30</v>
      </c>
      <c r="B1454" t="s">
        <v>1455</v>
      </c>
      <c r="C1454" t="s">
        <v>1456</v>
      </c>
      <c r="D1454" t="s">
        <v>1388</v>
      </c>
      <c r="E1454" s="14" t="n">
        <v>0.5</v>
      </c>
      <c r="F1454" s="17" t="n">
        <v>36</v>
      </c>
      <c r="G1454" s="15" t="n">
        <v>0.154508497187474</v>
      </c>
      <c r="H1454" s="16" t="n">
        <v>0.475528258147577</v>
      </c>
    </row>
    <row r="1455">
      <c r="A1455" t="s">
        <v>32</v>
      </c>
      <c r="B1455" t="s">
        <v>1310</v>
      </c>
      <c r="C1455" t="s">
        <v>1311</v>
      </c>
      <c r="D1455" t="s">
        <v>1388</v>
      </c>
      <c r="E1455" s="14" t="n">
        <v>0.5</v>
      </c>
      <c r="F1455" s="17" t="n">
        <v>14</v>
      </c>
      <c r="G1455" s="15" t="n">
        <v>0.441473796429463</v>
      </c>
      <c r="H1455" s="16" t="n">
        <v>0.234735781392945</v>
      </c>
    </row>
    <row r="1456">
      <c r="A1456" t="s">
        <v>32</v>
      </c>
      <c r="B1456" t="s">
        <v>1312</v>
      </c>
      <c r="C1456" t="s">
        <v>1313</v>
      </c>
      <c r="D1456" t="s">
        <v>1388</v>
      </c>
      <c r="E1456" s="14" t="n">
        <v>1.25</v>
      </c>
      <c r="F1456" s="17" t="n">
        <v>94</v>
      </c>
      <c r="G1456" s="15" t="n">
        <v>-1.23783508592696</v>
      </c>
      <c r="H1456" s="16" t="n">
        <v>-0.173966376200082</v>
      </c>
    </row>
    <row r="1457">
      <c r="A1457" t="s">
        <v>32</v>
      </c>
      <c r="B1457" t="s">
        <v>1312</v>
      </c>
      <c r="C1457" t="s">
        <v>1314</v>
      </c>
      <c r="D1457" t="s">
        <v>1388</v>
      </c>
      <c r="E1457" s="14" t="n">
        <v>0.75</v>
      </c>
      <c r="F1457" s="17" t="n">
        <v>90</v>
      </c>
      <c r="G1457" s="15" t="n">
        <v>-0.75</v>
      </c>
      <c r="H1457" s="16" t="n">
        <v>0</v>
      </c>
    </row>
    <row r="1458">
      <c r="A1458" t="s">
        <v>30</v>
      </c>
      <c r="B1458" t="s">
        <v>1315</v>
      </c>
      <c r="C1458" t="s">
        <v>1316</v>
      </c>
      <c r="D1458" t="s">
        <v>1388</v>
      </c>
      <c r="E1458" s="14" t="n">
        <v>0.25</v>
      </c>
      <c r="F1458" s="17" t="n">
        <v>99</v>
      </c>
      <c r="G1458" s="15" t="n">
        <v>-0.237764129073788</v>
      </c>
      <c r="H1458" s="16" t="n">
        <v>-0.077254248593737</v>
      </c>
    </row>
    <row r="1459">
      <c r="A1459" t="s">
        <v>30</v>
      </c>
      <c r="B1459" t="s">
        <v>1315</v>
      </c>
      <c r="C1459" t="s">
        <v>1317</v>
      </c>
      <c r="D1459" t="s">
        <v>1388</v>
      </c>
      <c r="E1459" s="14" t="n">
        <v>0.5</v>
      </c>
      <c r="F1459" s="17" t="n">
        <v>75</v>
      </c>
      <c r="G1459" s="15" t="n">
        <v>-0.433012701892219</v>
      </c>
      <c r="H1459" s="16" t="n">
        <v>0.25</v>
      </c>
    </row>
    <row r="1460">
      <c r="A1460" t="s">
        <v>32</v>
      </c>
      <c r="B1460" t="s">
        <v>1318</v>
      </c>
      <c r="C1460" t="s">
        <v>1319</v>
      </c>
      <c r="D1460" t="s">
        <v>1388</v>
      </c>
      <c r="E1460" s="14" t="n">
        <v>0.25</v>
      </c>
      <c r="F1460" s="17" t="n">
        <v>105</v>
      </c>
      <c r="G1460" s="15" t="n">
        <v>-0.21650635094611</v>
      </c>
      <c r="H1460" s="16" t="n">
        <v>-0.125</v>
      </c>
    </row>
    <row r="1461">
      <c r="A1461" t="s">
        <v>32</v>
      </c>
      <c r="B1461" t="s">
        <v>1318</v>
      </c>
      <c r="C1461" t="s">
        <v>1320</v>
      </c>
      <c r="D1461" t="s">
        <v>1388</v>
      </c>
      <c r="E1461" s="14" t="n">
        <v>0.25</v>
      </c>
      <c r="F1461" s="17" t="n">
        <v>76</v>
      </c>
      <c r="G1461" s="15" t="n">
        <v>-0.220736898214732</v>
      </c>
      <c r="H1461" s="16" t="n">
        <v>0.117367890696473</v>
      </c>
    </row>
    <row r="1462">
      <c r="A1462" t="s">
        <v>30</v>
      </c>
      <c r="B1462" t="s">
        <v>1321</v>
      </c>
      <c r="C1462" t="s">
        <v>1322</v>
      </c>
      <c r="D1462" t="s">
        <v>1388</v>
      </c>
      <c r="E1462" s="14" t="n">
        <v>0.5</v>
      </c>
      <c r="F1462" s="17" t="n">
        <v>94</v>
      </c>
      <c r="G1462" s="15" t="n">
        <v>-0.495134034370785</v>
      </c>
      <c r="H1462" s="16" t="n">
        <v>-0.0695865504800329</v>
      </c>
    </row>
    <row r="1463">
      <c r="A1463" t="s">
        <v>32</v>
      </c>
      <c r="B1463" t="s">
        <v>1323</v>
      </c>
      <c r="C1463" t="s">
        <v>1324</v>
      </c>
      <c r="D1463" t="s">
        <v>1388</v>
      </c>
      <c r="E1463" s="14" t="n">
        <v>0.75</v>
      </c>
      <c r="F1463" s="17" t="n">
        <v>127</v>
      </c>
      <c r="G1463" s="15" t="n">
        <v>-0.206728016862749</v>
      </c>
      <c r="H1463" s="16" t="n">
        <v>-0.720946271953739</v>
      </c>
    </row>
    <row r="1464">
      <c r="A1464" t="s">
        <v>32</v>
      </c>
      <c r="B1464" t="s">
        <v>1323</v>
      </c>
      <c r="C1464" t="s">
        <v>1325</v>
      </c>
      <c r="D1464" t="s">
        <v>1388</v>
      </c>
      <c r="E1464" s="14" t="n">
        <v>0.25</v>
      </c>
      <c r="F1464" s="17" t="n">
        <v>55</v>
      </c>
      <c r="G1464" s="15" t="n">
        <v>-0.0855050358314172</v>
      </c>
      <c r="H1464" s="16" t="n">
        <v>0.234923155196477</v>
      </c>
    </row>
    <row r="1465">
      <c r="A1465" t="s">
        <v>30</v>
      </c>
      <c r="B1465" t="s">
        <v>1326</v>
      </c>
      <c r="C1465" t="s">
        <v>1327</v>
      </c>
      <c r="D1465" t="s">
        <v>1388</v>
      </c>
      <c r="E1465" s="14" t="n">
        <v>0.25</v>
      </c>
      <c r="F1465" s="17" t="n">
        <v>100</v>
      </c>
      <c r="G1465" s="15" t="n">
        <v>-0.234923155196477</v>
      </c>
      <c r="H1465" s="16" t="n">
        <v>-0.0855050358314172</v>
      </c>
    </row>
    <row r="1466">
      <c r="A1466" t="s">
        <v>30</v>
      </c>
      <c r="B1466" t="s">
        <v>1326</v>
      </c>
      <c r="C1466" t="s">
        <v>1328</v>
      </c>
      <c r="D1466" t="s">
        <v>1388</v>
      </c>
      <c r="E1466" s="14" t="n">
        <v>0.25</v>
      </c>
      <c r="F1466" s="17" t="n">
        <v>84</v>
      </c>
      <c r="G1466" s="15" t="n">
        <v>-0.244536900183451</v>
      </c>
      <c r="H1466" s="16" t="n">
        <v>0.0519779227044398</v>
      </c>
    </row>
    <row r="1467">
      <c r="A1467" t="s">
        <v>30</v>
      </c>
      <c r="B1467" t="s">
        <v>1329</v>
      </c>
      <c r="C1467" t="s">
        <v>1330</v>
      </c>
      <c r="D1467" t="s">
        <v>1388</v>
      </c>
      <c r="E1467" s="14" t="n">
        <v>0.5</v>
      </c>
      <c r="F1467" s="17" t="n">
        <v>72</v>
      </c>
      <c r="G1467" s="15" t="n">
        <v>-0.404508497187474</v>
      </c>
      <c r="H1467" s="16" t="n">
        <v>0.293892626146237</v>
      </c>
    </row>
    <row r="1468">
      <c r="A1468" t="s">
        <v>32</v>
      </c>
      <c r="B1468" t="s">
        <v>1331</v>
      </c>
      <c r="C1468" t="s">
        <v>1332</v>
      </c>
      <c r="D1468" t="s">
        <v>1388</v>
      </c>
      <c r="E1468" s="14" t="n">
        <v>0.75</v>
      </c>
      <c r="F1468" s="17" t="n">
        <v>102</v>
      </c>
      <c r="G1468" s="15" t="n">
        <v>-0.685159093231951</v>
      </c>
      <c r="H1468" s="16" t="n">
        <v>-0.30505248230685</v>
      </c>
    </row>
    <row r="1469">
      <c r="A1469" t="s">
        <v>32</v>
      </c>
      <c r="B1469" t="s">
        <v>1333</v>
      </c>
      <c r="C1469" t="s">
        <v>1334</v>
      </c>
      <c r="D1469" t="s">
        <v>1388</v>
      </c>
      <c r="E1469" s="14" t="n">
        <v>1</v>
      </c>
      <c r="F1469" s="17" t="n">
        <v>76</v>
      </c>
      <c r="G1469" s="15" t="n">
        <v>-0.882947592858927</v>
      </c>
      <c r="H1469" s="16" t="n">
        <v>0.469471562785891</v>
      </c>
    </row>
    <row r="1470">
      <c r="A1470" t="s">
        <v>32</v>
      </c>
      <c r="B1470" t="s">
        <v>1333</v>
      </c>
      <c r="C1470" t="s">
        <v>1335</v>
      </c>
      <c r="D1470" t="s">
        <v>1388</v>
      </c>
      <c r="E1470" s="14" t="n">
        <v>0.5</v>
      </c>
      <c r="F1470" s="17" t="n">
        <v>100</v>
      </c>
      <c r="G1470" s="15" t="n">
        <v>-0.469846310392954</v>
      </c>
      <c r="H1470" s="16" t="n">
        <v>-0.171010071662834</v>
      </c>
    </row>
    <row r="1471">
      <c r="A1471" t="s">
        <v>30</v>
      </c>
      <c r="B1471" t="s">
        <v>1336</v>
      </c>
      <c r="C1471" t="s">
        <v>1337</v>
      </c>
      <c r="D1471" t="s">
        <v>1388</v>
      </c>
      <c r="E1471" s="14" t="n">
        <v>0.25</v>
      </c>
      <c r="F1471" s="17" t="n">
        <v>138</v>
      </c>
      <c r="G1471" s="15" t="n">
        <v>0.0261321158169135</v>
      </c>
      <c r="H1471" s="16" t="n">
        <v>-0.248630473842068</v>
      </c>
    </row>
    <row r="1472">
      <c r="A1472" t="s">
        <v>30</v>
      </c>
      <c r="B1472" t="s">
        <v>1336</v>
      </c>
      <c r="C1472" t="s">
        <v>1338</v>
      </c>
      <c r="D1472" t="s">
        <v>1388</v>
      </c>
      <c r="E1472" s="14" t="n">
        <v>0.5</v>
      </c>
      <c r="F1472" s="17" t="n">
        <v>51</v>
      </c>
      <c r="G1472" s="15" t="n">
        <v>-0.10395584540888</v>
      </c>
      <c r="H1472" s="16" t="n">
        <v>0.489073800366903</v>
      </c>
    </row>
    <row r="1473">
      <c r="A1473" t="s">
        <v>32</v>
      </c>
      <c r="B1473" t="s">
        <v>1339</v>
      </c>
      <c r="C1473" t="s">
        <v>1340</v>
      </c>
      <c r="D1473" t="s">
        <v>1388</v>
      </c>
      <c r="E1473" s="14" t="n">
        <v>1.25</v>
      </c>
      <c r="F1473" s="17" t="n">
        <v>0</v>
      </c>
      <c r="G1473" s="15" t="n">
        <v>1.25</v>
      </c>
      <c r="H1473" s="16" t="n">
        <v>0</v>
      </c>
    </row>
    <row r="1474">
      <c r="A1474" t="s">
        <v>32</v>
      </c>
      <c r="B1474" t="s">
        <v>1341</v>
      </c>
      <c r="C1474" t="s">
        <v>1342</v>
      </c>
      <c r="D1474" t="s">
        <v>1388</v>
      </c>
      <c r="E1474" s="14" t="n">
        <v>1.5</v>
      </c>
      <c r="F1474" s="17" t="n">
        <v>85</v>
      </c>
      <c r="G1474" s="15" t="n">
        <v>-1.47721162951831</v>
      </c>
      <c r="H1474" s="16" t="n">
        <v>0.260472266500396</v>
      </c>
    </row>
    <row r="1475">
      <c r="A1475" t="s">
        <v>32</v>
      </c>
      <c r="B1475" t="s">
        <v>1341</v>
      </c>
      <c r="C1475" t="s">
        <v>1343</v>
      </c>
      <c r="D1475" t="s">
        <v>1388</v>
      </c>
      <c r="E1475" s="14" t="n">
        <v>1.5</v>
      </c>
      <c r="F1475" s="17" t="n">
        <v>105</v>
      </c>
      <c r="G1475" s="15" t="n">
        <v>-1.29903810567666</v>
      </c>
      <c r="H1475" s="16" t="n">
        <v>-0.75</v>
      </c>
    </row>
    <row r="1476">
      <c r="A1476" t="s">
        <v>30</v>
      </c>
      <c r="B1476" t="s">
        <v>1344</v>
      </c>
      <c r="C1476" t="s">
        <v>1345</v>
      </c>
      <c r="D1476" t="s">
        <v>1388</v>
      </c>
      <c r="E1476" s="14" t="n">
        <v>0.5</v>
      </c>
      <c r="F1476" s="17" t="n">
        <v>93</v>
      </c>
      <c r="G1476" s="15" t="n">
        <v>-0.497260947684137</v>
      </c>
      <c r="H1476" s="16" t="n">
        <v>-0.0522642316338269</v>
      </c>
    </row>
    <row r="1477">
      <c r="A1477" t="s">
        <v>30</v>
      </c>
      <c r="B1477" t="s">
        <v>1344</v>
      </c>
      <c r="C1477" t="s">
        <v>1346</v>
      </c>
      <c r="D1477" t="s">
        <v>1388</v>
      </c>
      <c r="E1477" s="14" t="n">
        <v>0.5</v>
      </c>
      <c r="F1477" s="17" t="n">
        <v>87</v>
      </c>
      <c r="G1477" s="15" t="n">
        <v>-0.497260947684137</v>
      </c>
      <c r="H1477" s="16" t="n">
        <v>0.0522642316338269</v>
      </c>
    </row>
    <row r="1478">
      <c r="A1478" t="s">
        <v>31</v>
      </c>
      <c r="B1478" t="s">
        <v>1347</v>
      </c>
      <c r="C1478" t="s">
        <v>1348</v>
      </c>
      <c r="D1478" t="s">
        <v>1388</v>
      </c>
      <c r="E1478" s="14" t="n">
        <v>1</v>
      </c>
      <c r="F1478" s="17" t="n">
        <v>5</v>
      </c>
      <c r="G1478" s="15" t="n">
        <v>0.984807753012208</v>
      </c>
      <c r="H1478" s="16" t="n">
        <v>0.17364817766693</v>
      </c>
    </row>
    <row r="1479">
      <c r="A1479" t="s">
        <v>32</v>
      </c>
      <c r="B1479" t="s">
        <v>1349</v>
      </c>
      <c r="C1479" t="s">
        <v>1350</v>
      </c>
      <c r="D1479" t="s">
        <v>1388</v>
      </c>
      <c r="E1479" s="14" t="n">
        <v>0.75</v>
      </c>
      <c r="F1479" s="17" t="n">
        <v>174</v>
      </c>
      <c r="G1479" s="15" t="n">
        <v>0.733610700550354</v>
      </c>
      <c r="H1479" s="16" t="n">
        <v>-0.155933768113319</v>
      </c>
    </row>
    <row r="1480">
      <c r="A1480" t="s">
        <v>32</v>
      </c>
      <c r="B1480" t="s">
        <v>1349</v>
      </c>
      <c r="C1480" t="s">
        <v>1351</v>
      </c>
      <c r="D1480" t="s">
        <v>1388</v>
      </c>
      <c r="E1480" s="14" t="n">
        <v>0.5</v>
      </c>
      <c r="F1480" s="17" t="n">
        <v>7</v>
      </c>
      <c r="G1480" s="15" t="n">
        <v>0.485147863137998</v>
      </c>
      <c r="H1480" s="16" t="n">
        <v>0.120960947799834</v>
      </c>
    </row>
    <row r="1481">
      <c r="A1481" t="s">
        <v>30</v>
      </c>
      <c r="B1481" t="s">
        <v>1352</v>
      </c>
      <c r="C1481" t="s">
        <v>1353</v>
      </c>
      <c r="D1481" t="s">
        <v>1388</v>
      </c>
      <c r="E1481" s="14" t="n">
        <v>0.5</v>
      </c>
      <c r="F1481" s="17" t="n">
        <v>102</v>
      </c>
      <c r="G1481" s="15" t="n">
        <v>-0.456772728821301</v>
      </c>
      <c r="H1481" s="16" t="n">
        <v>-0.2033683215379</v>
      </c>
    </row>
    <row r="1482">
      <c r="A1482" t="s">
        <v>30</v>
      </c>
      <c r="B1482" t="s">
        <v>1352</v>
      </c>
      <c r="C1482" t="s">
        <v>1354</v>
      </c>
      <c r="D1482" t="s">
        <v>1388</v>
      </c>
      <c r="E1482" s="14" t="n">
        <v>0.75</v>
      </c>
      <c r="F1482" s="17" t="n">
        <v>81</v>
      </c>
      <c r="G1482" s="15" t="n">
        <v>-0.713292387221365</v>
      </c>
      <c r="H1482" s="16" t="n">
        <v>0.231762745781211</v>
      </c>
    </row>
    <row r="1483">
      <c r="A1483" t="s">
        <v>31</v>
      </c>
      <c r="B1483" t="s">
        <v>1355</v>
      </c>
      <c r="C1483" t="s">
        <v>1356</v>
      </c>
      <c r="D1483" t="s">
        <v>1388</v>
      </c>
      <c r="E1483" s="14" t="n">
        <v>0.75</v>
      </c>
      <c r="F1483" s="17" t="n">
        <v>14</v>
      </c>
      <c r="G1483" s="15" t="n">
        <v>0.662210694644195</v>
      </c>
      <c r="H1483" s="16" t="n">
        <v>0.352103672089418</v>
      </c>
    </row>
    <row r="1484">
      <c r="A1484" t="s">
        <v>31</v>
      </c>
      <c r="B1484" t="s">
        <v>1355</v>
      </c>
      <c r="C1484" t="s">
        <v>1357</v>
      </c>
      <c r="D1484" t="s">
        <v>1388</v>
      </c>
      <c r="E1484" s="14" t="n">
        <v>0.5</v>
      </c>
      <c r="F1484" s="17" t="n">
        <v>167</v>
      </c>
      <c r="G1484" s="15" t="n">
        <v>0.449397023149583</v>
      </c>
      <c r="H1484" s="16" t="n">
        <v>-0.219185573394539</v>
      </c>
    </row>
    <row r="1485">
      <c r="A1485" t="s">
        <v>32</v>
      </c>
      <c r="B1485" t="s">
        <v>1358</v>
      </c>
      <c r="C1485" t="s">
        <v>1359</v>
      </c>
      <c r="D1485" t="s">
        <v>1388</v>
      </c>
      <c r="E1485" s="14" t="n">
        <v>2</v>
      </c>
      <c r="F1485" s="17" t="n">
        <v>109</v>
      </c>
      <c r="G1485" s="15" t="n">
        <v>-1.57602150721344</v>
      </c>
      <c r="H1485" s="16" t="n">
        <v>-1.23132295065132</v>
      </c>
    </row>
    <row r="1486">
      <c r="A1486" t="s">
        <v>32</v>
      </c>
      <c r="B1486" t="s">
        <v>1358</v>
      </c>
      <c r="C1486" t="s">
        <v>1360</v>
      </c>
      <c r="D1486" t="s">
        <v>1388</v>
      </c>
      <c r="E1486" s="14" t="n">
        <v>0.25</v>
      </c>
      <c r="F1486" s="17" t="n">
        <v>78</v>
      </c>
      <c r="G1486" s="15" t="n">
        <v>-0.22838636441065</v>
      </c>
      <c r="H1486" s="16" t="n">
        <v>0.10168416076895</v>
      </c>
    </row>
    <row r="1487">
      <c r="A1487" t="s">
        <v>31</v>
      </c>
      <c r="B1487" t="s">
        <v>1361</v>
      </c>
      <c r="C1487" t="s">
        <v>1362</v>
      </c>
      <c r="D1487" t="s">
        <v>1388</v>
      </c>
      <c r="E1487" s="14" t="n">
        <v>1.75</v>
      </c>
      <c r="F1487" s="17" t="n">
        <v>155</v>
      </c>
      <c r="G1487" s="15" t="n">
        <v>1.12487831695144</v>
      </c>
      <c r="H1487" s="16" t="n">
        <v>-1.34057777545821</v>
      </c>
    </row>
    <row r="1488">
      <c r="A1488" t="s">
        <v>31</v>
      </c>
      <c r="B1488" t="s">
        <v>1361</v>
      </c>
      <c r="C1488" t="s">
        <v>1363</v>
      </c>
      <c r="D1488" t="s">
        <v>1388</v>
      </c>
      <c r="E1488" s="14" t="n">
        <v>1.25</v>
      </c>
      <c r="F1488" s="17" t="n">
        <v>17</v>
      </c>
      <c r="G1488" s="15" t="n">
        <v>1.0362969656938</v>
      </c>
      <c r="H1488" s="16" t="n">
        <v>0.698991129338433</v>
      </c>
    </row>
    <row r="1489">
      <c r="A1489" t="s">
        <v>30</v>
      </c>
      <c r="B1489" t="s">
        <v>1364</v>
      </c>
      <c r="C1489" t="s">
        <v>1365</v>
      </c>
      <c r="D1489" t="s">
        <v>1388</v>
      </c>
      <c r="E1489" s="14" t="n">
        <v>0.75</v>
      </c>
      <c r="F1489" s="17" t="n">
        <v>41</v>
      </c>
      <c r="G1489" s="15" t="n">
        <v>0.104379825720049</v>
      </c>
      <c r="H1489" s="16" t="n">
        <v>0.742701051556178</v>
      </c>
    </row>
    <row r="1490">
      <c r="A1490" t="s">
        <v>30</v>
      </c>
      <c r="B1490" t="s">
        <v>1364</v>
      </c>
      <c r="C1490" t="s">
        <v>1366</v>
      </c>
      <c r="D1490" t="s">
        <v>1388</v>
      </c>
      <c r="E1490" s="14" t="n">
        <v>0.25</v>
      </c>
      <c r="F1490" s="17" t="n">
        <v>143</v>
      </c>
      <c r="G1490" s="15" t="n">
        <v>0.0689093389542496</v>
      </c>
      <c r="H1490" s="16" t="n">
        <v>-0.24031542398458</v>
      </c>
    </row>
    <row r="1491">
      <c r="A1491" t="s">
        <v>30</v>
      </c>
      <c r="B1491" t="s">
        <v>1367</v>
      </c>
      <c r="C1491" t="s">
        <v>1368</v>
      </c>
      <c r="D1491" t="s">
        <v>1388</v>
      </c>
      <c r="E1491" s="14" t="n">
        <v>0.75</v>
      </c>
      <c r="F1491" s="17" t="n">
        <v>83</v>
      </c>
      <c r="G1491" s="15" t="n">
        <v>-0.727721794706997</v>
      </c>
      <c r="H1491" s="16" t="n">
        <v>0.181441421699751</v>
      </c>
    </row>
    <row r="1492">
      <c r="A1492" t="s">
        <v>30</v>
      </c>
      <c r="B1492" t="s">
        <v>1367</v>
      </c>
      <c r="C1492" t="s">
        <v>1369</v>
      </c>
      <c r="D1492" t="s">
        <v>1388</v>
      </c>
      <c r="E1492" s="14" t="n">
        <v>0.5</v>
      </c>
      <c r="F1492" s="17" t="n">
        <v>104</v>
      </c>
      <c r="G1492" s="15" t="n">
        <v>-0.441473796429464</v>
      </c>
      <c r="H1492" s="16" t="n">
        <v>-0.234735781392945</v>
      </c>
    </row>
    <row r="1493">
      <c r="A1493" t="s">
        <v>31</v>
      </c>
      <c r="B1493" t="s">
        <v>1457</v>
      </c>
      <c r="C1493" t="s">
        <v>1458</v>
      </c>
      <c r="D1493" t="s">
        <v>1388</v>
      </c>
      <c r="E1493" s="14" t="n">
        <v>0.75</v>
      </c>
      <c r="F1493" s="17" t="n">
        <v>102</v>
      </c>
      <c r="G1493" s="15" t="n">
        <v>-0.685159093231951</v>
      </c>
      <c r="H1493" s="16" t="n">
        <v>-0.30505248230685</v>
      </c>
    </row>
    <row r="1494">
      <c r="A1494" t="s">
        <v>31</v>
      </c>
      <c r="B1494" t="s">
        <v>1457</v>
      </c>
      <c r="C1494" t="s">
        <v>1459</v>
      </c>
      <c r="D1494" t="s">
        <v>1388</v>
      </c>
      <c r="E1494" s="14" t="n">
        <v>0.75</v>
      </c>
      <c r="F1494" s="17" t="n">
        <v>95</v>
      </c>
      <c r="G1494" s="15" t="n">
        <v>-0.738605814759156</v>
      </c>
      <c r="H1494" s="16" t="n">
        <v>-0.130236133250198</v>
      </c>
    </row>
    <row r="1495">
      <c r="A1495" t="s">
        <v>30</v>
      </c>
      <c r="B1495" t="s">
        <v>1370</v>
      </c>
      <c r="C1495" t="s">
        <v>1371</v>
      </c>
      <c r="D1495" t="s">
        <v>1388</v>
      </c>
      <c r="E1495" s="14" t="n">
        <v>0.5</v>
      </c>
      <c r="F1495" s="17" t="n">
        <v>62</v>
      </c>
      <c r="G1495" s="15" t="n">
        <v>-0.279596451735373</v>
      </c>
      <c r="H1495" s="16" t="n">
        <v>0.414518786277521</v>
      </c>
    </row>
    <row r="1496">
      <c r="A1496" t="s">
        <v>31</v>
      </c>
      <c r="B1496" t="s">
        <v>1372</v>
      </c>
      <c r="C1496" t="s">
        <v>1373</v>
      </c>
      <c r="D1496" t="s">
        <v>1388</v>
      </c>
      <c r="E1496" s="14" t="n">
        <v>1.25</v>
      </c>
      <c r="F1496" s="17" t="n">
        <v>112</v>
      </c>
      <c r="G1496" s="15" t="n">
        <v>-0.899174750423314</v>
      </c>
      <c r="H1496" s="16" t="n">
        <v>-0.868322963073747</v>
      </c>
    </row>
    <row r="1497">
      <c r="A1497" t="s">
        <v>31</v>
      </c>
      <c r="B1497" t="s">
        <v>1372</v>
      </c>
      <c r="C1497" t="s">
        <v>1374</v>
      </c>
      <c r="D1497" t="s">
        <v>1388</v>
      </c>
      <c r="E1497" s="14" t="n">
        <v>1.5</v>
      </c>
      <c r="F1497" s="17" t="n">
        <v>82</v>
      </c>
      <c r="G1497" s="15" t="n">
        <v>-1.44189254390748</v>
      </c>
      <c r="H1497" s="16" t="n">
        <v>0.413456033725499</v>
      </c>
    </row>
    <row r="1498">
      <c r="A1498" t="s">
        <v>30</v>
      </c>
      <c r="B1498" t="s">
        <v>1375</v>
      </c>
      <c r="C1498" t="s">
        <v>1376</v>
      </c>
      <c r="D1498" t="s">
        <v>1388</v>
      </c>
      <c r="E1498" s="14" t="n">
        <v>0.75</v>
      </c>
      <c r="F1498" s="17" t="n">
        <v>3</v>
      </c>
      <c r="G1498" s="15" t="n">
        <v>0.745891421526205</v>
      </c>
      <c r="H1498" s="16" t="n">
        <v>0.0783963474507401</v>
      </c>
    </row>
    <row r="1499">
      <c r="A1499" t="s">
        <v>30</v>
      </c>
      <c r="B1499" t="s">
        <v>1377</v>
      </c>
      <c r="C1499" t="s">
        <v>1378</v>
      </c>
      <c r="D1499" t="s">
        <v>1388</v>
      </c>
      <c r="E1499" s="14" t="n">
        <v>1.5</v>
      </c>
      <c r="F1499" s="17" t="n">
        <v>76</v>
      </c>
      <c r="G1499" s="15" t="n">
        <v>-1.32442138928839</v>
      </c>
      <c r="H1499" s="16" t="n">
        <v>0.704207344178836</v>
      </c>
    </row>
    <row r="1500">
      <c r="A1500" t="s">
        <v>32</v>
      </c>
      <c r="B1500" t="s">
        <v>1379</v>
      </c>
      <c r="C1500" t="s">
        <v>1380</v>
      </c>
      <c r="D1500" t="s">
        <v>1388</v>
      </c>
      <c r="E1500" s="14" t="n">
        <v>0.25</v>
      </c>
      <c r="F1500" s="17" t="n">
        <v>104</v>
      </c>
      <c r="G1500" s="15" t="n">
        <v>-0.220736898214732</v>
      </c>
      <c r="H1500" s="16" t="n">
        <v>-0.117367890696473</v>
      </c>
    </row>
    <row r="1501">
      <c r="A1501" t="s">
        <v>32</v>
      </c>
      <c r="B1501" t="s">
        <v>1379</v>
      </c>
      <c r="C1501" t="s">
        <v>1381</v>
      </c>
      <c r="D1501" t="s">
        <v>1388</v>
      </c>
      <c r="E1501" s="14" t="n">
        <v>0.25</v>
      </c>
      <c r="F1501" s="17" t="n">
        <v>69</v>
      </c>
      <c r="G1501" s="15" t="n">
        <v>-0.185786206369349</v>
      </c>
      <c r="H1501" s="16" t="n">
        <v>0.167282651589715</v>
      </c>
    </row>
    <row r="1502">
      <c r="A1502" t="s">
        <v>32</v>
      </c>
      <c r="B1502" t="s">
        <v>1382</v>
      </c>
      <c r="C1502" t="s">
        <v>1383</v>
      </c>
      <c r="D1502" t="s">
        <v>1388</v>
      </c>
      <c r="E1502" s="14" t="n">
        <v>0.75</v>
      </c>
      <c r="F1502" s="17" t="n">
        <v>31</v>
      </c>
      <c r="G1502" s="15" t="n">
        <v>0.352103672089418</v>
      </c>
      <c r="H1502" s="16" t="n">
        <v>0.662210694644195</v>
      </c>
    </row>
    <row r="1503">
      <c r="A1503" t="s">
        <v>32</v>
      </c>
      <c r="B1503" t="s">
        <v>1382</v>
      </c>
      <c r="C1503" t="s">
        <v>1384</v>
      </c>
      <c r="D1503" t="s">
        <v>1388</v>
      </c>
      <c r="E1503" s="14" t="n">
        <v>1</v>
      </c>
      <c r="F1503" s="17" t="n">
        <v>142</v>
      </c>
      <c r="G1503" s="15" t="n">
        <v>0.241921895599667</v>
      </c>
      <c r="H1503" s="16" t="n">
        <v>-0.970295726275996</v>
      </c>
    </row>
    <row r="1504">
      <c r="A1504" t="s">
        <v>32</v>
      </c>
      <c r="B1504" t="s">
        <v>1385</v>
      </c>
      <c r="C1504" t="s">
        <v>1386</v>
      </c>
      <c r="D1504" t="s">
        <v>1388</v>
      </c>
      <c r="E1504" s="14" t="n">
        <v>0.5</v>
      </c>
      <c r="F1504" s="17" t="n">
        <v>51</v>
      </c>
      <c r="G1504" s="15" t="n">
        <v>-0.10395584540888</v>
      </c>
      <c r="H1504" s="16" t="n">
        <v>0.489073800366903</v>
      </c>
    </row>
    <row r="1505">
      <c r="A1505" t="s">
        <v>30</v>
      </c>
      <c r="B1505" t="s">
        <v>609</v>
      </c>
      <c r="C1505" t="s">
        <v>610</v>
      </c>
      <c r="D1505" t="s">
        <v>1460</v>
      </c>
      <c r="E1505" s="14" t="n">
        <v>0.25</v>
      </c>
      <c r="F1505" s="17" t="n">
        <v>117</v>
      </c>
      <c r="G1505" s="15" t="n">
        <v>-0.146946313073118</v>
      </c>
      <c r="H1505" s="16" t="n">
        <v>-0.202254248593737</v>
      </c>
    </row>
    <row r="1506">
      <c r="A1506" t="s">
        <v>30</v>
      </c>
      <c r="B1506" t="s">
        <v>609</v>
      </c>
      <c r="C1506" t="s">
        <v>612</v>
      </c>
      <c r="D1506" t="s">
        <v>1460</v>
      </c>
      <c r="E1506" s="14" t="n">
        <v>0.25</v>
      </c>
      <c r="F1506" s="17" t="n">
        <v>165</v>
      </c>
      <c r="G1506" s="15" t="n">
        <v>0.21650635094611</v>
      </c>
      <c r="H1506" s="16" t="n">
        <v>-0.125</v>
      </c>
    </row>
    <row r="1507">
      <c r="A1507" t="s">
        <v>30</v>
      </c>
      <c r="B1507" t="s">
        <v>613</v>
      </c>
      <c r="C1507" t="s">
        <v>614</v>
      </c>
      <c r="D1507" t="s">
        <v>1460</v>
      </c>
      <c r="E1507" s="14" t="n">
        <v>0.5</v>
      </c>
      <c r="F1507" s="17" t="n">
        <v>168</v>
      </c>
      <c r="G1507" s="15" t="n">
        <v>0.4567727288213</v>
      </c>
      <c r="H1507" s="16" t="n">
        <v>-0.2033683215379</v>
      </c>
    </row>
    <row r="1508">
      <c r="A1508" t="s">
        <v>31</v>
      </c>
      <c r="B1508" t="s">
        <v>615</v>
      </c>
      <c r="C1508" t="s">
        <v>616</v>
      </c>
      <c r="D1508" t="s">
        <v>1460</v>
      </c>
      <c r="E1508" s="14" t="n">
        <v>0.25</v>
      </c>
      <c r="F1508" s="17" t="n">
        <v>85</v>
      </c>
      <c r="G1508" s="15" t="n">
        <v>-0.246201938253052</v>
      </c>
      <c r="H1508" s="16" t="n">
        <v>0.0434120444167327</v>
      </c>
    </row>
    <row r="1509">
      <c r="A1509" t="s">
        <v>31</v>
      </c>
      <c r="B1509" t="s">
        <v>615</v>
      </c>
      <c r="C1509" t="s">
        <v>617</v>
      </c>
      <c r="D1509" t="s">
        <v>1460</v>
      </c>
      <c r="E1509" s="14" t="n">
        <v>0.25</v>
      </c>
      <c r="F1509" s="17" t="n">
        <v>107</v>
      </c>
      <c r="G1509" s="15" t="n">
        <v>-0.20725939313876</v>
      </c>
      <c r="H1509" s="16" t="n">
        <v>-0.139798225867687</v>
      </c>
    </row>
    <row r="1510">
      <c r="A1510" t="s">
        <v>32</v>
      </c>
      <c r="B1510" t="s">
        <v>618</v>
      </c>
      <c r="C1510" t="s">
        <v>619</v>
      </c>
      <c r="D1510" t="s">
        <v>1460</v>
      </c>
      <c r="E1510" s="14" t="n">
        <v>0</v>
      </c>
      <c r="F1510" s="17" t="n">
        <v>169</v>
      </c>
      <c r="G1510" s="15" t="n">
        <v>0</v>
      </c>
      <c r="H1510" s="16" t="n">
        <v>0</v>
      </c>
    </row>
    <row r="1511">
      <c r="A1511" t="s">
        <v>30</v>
      </c>
      <c r="B1511" t="s">
        <v>620</v>
      </c>
      <c r="C1511" t="s">
        <v>621</v>
      </c>
      <c r="D1511" t="s">
        <v>1460</v>
      </c>
      <c r="E1511" s="14" t="n">
        <v>0.25</v>
      </c>
      <c r="F1511" s="17" t="n">
        <v>156</v>
      </c>
      <c r="G1511" s="15" t="n">
        <v>0.167282651589715</v>
      </c>
      <c r="H1511" s="16" t="n">
        <v>-0.185786206369349</v>
      </c>
    </row>
    <row r="1512">
      <c r="A1512" t="s">
        <v>30</v>
      </c>
      <c r="B1512" t="s">
        <v>620</v>
      </c>
      <c r="C1512" t="s">
        <v>622</v>
      </c>
      <c r="D1512" t="s">
        <v>1460</v>
      </c>
      <c r="E1512" s="14" t="n">
        <v>0.75</v>
      </c>
      <c r="F1512" s="17" t="n">
        <v>41</v>
      </c>
      <c r="G1512" s="15" t="n">
        <v>0.104379825720049</v>
      </c>
      <c r="H1512" s="16" t="n">
        <v>0.742701051556178</v>
      </c>
    </row>
    <row r="1513">
      <c r="A1513" t="s">
        <v>31</v>
      </c>
      <c r="B1513" t="s">
        <v>623</v>
      </c>
      <c r="C1513" t="s">
        <v>624</v>
      </c>
      <c r="D1513" t="s">
        <v>1460</v>
      </c>
      <c r="E1513" s="14" t="n">
        <v>0</v>
      </c>
      <c r="F1513" s="17" t="n">
        <v>10</v>
      </c>
      <c r="G1513" s="15" t="n">
        <v>0</v>
      </c>
      <c r="H1513" s="16" t="n">
        <v>0</v>
      </c>
    </row>
    <row r="1514">
      <c r="A1514" t="s">
        <v>30</v>
      </c>
      <c r="B1514" t="s">
        <v>625</v>
      </c>
      <c r="C1514" t="s">
        <v>626</v>
      </c>
      <c r="D1514" t="s">
        <v>1460</v>
      </c>
      <c r="E1514" s="14" t="n">
        <v>0.25</v>
      </c>
      <c r="F1514" s="17" t="n">
        <v>2</v>
      </c>
      <c r="G1514" s="15" t="n">
        <v>0.249391012564956</v>
      </c>
      <c r="H1514" s="16" t="n">
        <v>0.0174391184360313</v>
      </c>
    </row>
    <row r="1515">
      <c r="A1515" t="s">
        <v>30</v>
      </c>
      <c r="B1515" t="s">
        <v>625</v>
      </c>
      <c r="C1515" t="s">
        <v>627</v>
      </c>
      <c r="D1515" t="s">
        <v>1460</v>
      </c>
      <c r="E1515" s="14" t="n">
        <v>0.25</v>
      </c>
      <c r="F1515" s="17" t="n">
        <v>33</v>
      </c>
      <c r="G1515" s="15" t="n">
        <v>0.10168416076895</v>
      </c>
      <c r="H1515" s="16" t="n">
        <v>0.22838636441065</v>
      </c>
    </row>
    <row r="1516">
      <c r="A1516" t="s">
        <v>30</v>
      </c>
      <c r="B1516" t="s">
        <v>628</v>
      </c>
      <c r="C1516" t="s">
        <v>629</v>
      </c>
      <c r="D1516" t="s">
        <v>1460</v>
      </c>
      <c r="E1516" s="14" t="n">
        <v>0.25</v>
      </c>
      <c r="F1516" s="17" t="n">
        <v>66</v>
      </c>
      <c r="G1516" s="15" t="n">
        <v>-0.167282651589714</v>
      </c>
      <c r="H1516" s="16" t="n">
        <v>0.185786206369349</v>
      </c>
    </row>
    <row r="1517">
      <c r="A1517" t="s">
        <v>30</v>
      </c>
      <c r="B1517" t="s">
        <v>630</v>
      </c>
      <c r="C1517" t="s">
        <v>631</v>
      </c>
      <c r="D1517" t="s">
        <v>1460</v>
      </c>
      <c r="E1517" s="14" t="n">
        <v>0.25</v>
      </c>
      <c r="F1517" s="17" t="n">
        <v>156</v>
      </c>
      <c r="G1517" s="15" t="n">
        <v>0.167282651589715</v>
      </c>
      <c r="H1517" s="16" t="n">
        <v>-0.185786206369349</v>
      </c>
    </row>
    <row r="1518">
      <c r="A1518" t="s">
        <v>30</v>
      </c>
      <c r="B1518" t="s">
        <v>630</v>
      </c>
      <c r="C1518" t="s">
        <v>632</v>
      </c>
      <c r="D1518" t="s">
        <v>1460</v>
      </c>
      <c r="E1518" s="14" t="n">
        <v>0.25</v>
      </c>
      <c r="F1518" s="17" t="n">
        <v>127</v>
      </c>
      <c r="G1518" s="15" t="n">
        <v>-0.0689093389542497</v>
      </c>
      <c r="H1518" s="16" t="n">
        <v>-0.24031542398458</v>
      </c>
    </row>
    <row r="1519">
      <c r="A1519" t="s">
        <v>30</v>
      </c>
      <c r="B1519" t="s">
        <v>633</v>
      </c>
      <c r="C1519" t="s">
        <v>634</v>
      </c>
      <c r="D1519" t="s">
        <v>1460</v>
      </c>
      <c r="E1519" s="14" t="n">
        <v>0.25</v>
      </c>
      <c r="F1519" s="17" t="n">
        <v>72</v>
      </c>
      <c r="G1519" s="15" t="n">
        <v>-0.202254248593737</v>
      </c>
      <c r="H1519" s="16" t="n">
        <v>0.146946313073118</v>
      </c>
    </row>
    <row r="1520">
      <c r="A1520" t="s">
        <v>30</v>
      </c>
      <c r="B1520" t="s">
        <v>633</v>
      </c>
      <c r="C1520" t="s">
        <v>635</v>
      </c>
      <c r="D1520" t="s">
        <v>1460</v>
      </c>
      <c r="E1520" s="14" t="n">
        <v>0.25</v>
      </c>
      <c r="F1520" s="17" t="n">
        <v>138</v>
      </c>
      <c r="G1520" s="15" t="n">
        <v>0.0261321158169135</v>
      </c>
      <c r="H1520" s="16" t="n">
        <v>-0.248630473842068</v>
      </c>
    </row>
    <row r="1521">
      <c r="A1521" t="s">
        <v>30</v>
      </c>
      <c r="B1521" t="s">
        <v>636</v>
      </c>
      <c r="C1521" t="s">
        <v>637</v>
      </c>
      <c r="D1521" t="s">
        <v>1460</v>
      </c>
      <c r="E1521" s="14" t="n">
        <v>0</v>
      </c>
      <c r="F1521" s="17" t="n">
        <v>114</v>
      </c>
      <c r="G1521" s="15" t="n">
        <v>0</v>
      </c>
      <c r="H1521" s="16" t="n">
        <v>0</v>
      </c>
    </row>
    <row r="1522">
      <c r="A1522" t="s">
        <v>31</v>
      </c>
      <c r="B1522" t="s">
        <v>638</v>
      </c>
      <c r="C1522" t="s">
        <v>639</v>
      </c>
      <c r="D1522" t="s">
        <v>1460</v>
      </c>
      <c r="E1522" s="14" t="n">
        <v>0.25</v>
      </c>
      <c r="F1522" s="17" t="n">
        <v>46</v>
      </c>
      <c r="G1522" s="15" t="n">
        <v>-0.00872487417562518</v>
      </c>
      <c r="H1522" s="16" t="n">
        <v>0.249847706754774</v>
      </c>
    </row>
    <row r="1523">
      <c r="A1523" t="s">
        <v>31</v>
      </c>
      <c r="B1523" t="s">
        <v>638</v>
      </c>
      <c r="C1523" t="s">
        <v>640</v>
      </c>
      <c r="D1523" t="s">
        <v>1460</v>
      </c>
      <c r="E1523" s="14" t="n">
        <v>0.25</v>
      </c>
      <c r="F1523" s="17" t="n">
        <v>138</v>
      </c>
      <c r="G1523" s="15" t="n">
        <v>0.0261321158169135</v>
      </c>
      <c r="H1523" s="16" t="n">
        <v>-0.248630473842068</v>
      </c>
    </row>
    <row r="1524">
      <c r="A1524" t="s">
        <v>31</v>
      </c>
      <c r="B1524" t="s">
        <v>641</v>
      </c>
      <c r="C1524" t="s">
        <v>642</v>
      </c>
      <c r="D1524" t="s">
        <v>1460</v>
      </c>
      <c r="E1524" s="14" t="n">
        <v>0.5</v>
      </c>
      <c r="F1524" s="17" t="n">
        <v>91</v>
      </c>
      <c r="G1524" s="15" t="n">
        <v>-0.499695413509548</v>
      </c>
      <c r="H1524" s="16" t="n">
        <v>-0.0174497483512506</v>
      </c>
    </row>
    <row r="1525">
      <c r="A1525" t="s">
        <v>31</v>
      </c>
      <c r="B1525" t="s">
        <v>641</v>
      </c>
      <c r="C1525" t="s">
        <v>643</v>
      </c>
      <c r="D1525" t="s">
        <v>1460</v>
      </c>
      <c r="E1525" s="14" t="n">
        <v>0.25</v>
      </c>
      <c r="F1525" s="17" t="n">
        <v>76</v>
      </c>
      <c r="G1525" s="15" t="n">
        <v>-0.220736898214732</v>
      </c>
      <c r="H1525" s="16" t="n">
        <v>0.117367890696473</v>
      </c>
    </row>
    <row r="1526">
      <c r="A1526" t="s">
        <v>30</v>
      </c>
      <c r="B1526" t="s">
        <v>644</v>
      </c>
      <c r="C1526" t="s">
        <v>645</v>
      </c>
      <c r="D1526" t="s">
        <v>1460</v>
      </c>
      <c r="E1526" s="14" t="n">
        <v>0.5</v>
      </c>
      <c r="F1526" s="17" t="n">
        <v>121</v>
      </c>
      <c r="G1526" s="15" t="n">
        <v>-0.234735781392945</v>
      </c>
      <c r="H1526" s="16" t="n">
        <v>-0.441473796429464</v>
      </c>
    </row>
    <row r="1527">
      <c r="A1527" t="s">
        <v>30</v>
      </c>
      <c r="B1527" t="s">
        <v>646</v>
      </c>
      <c r="C1527" t="s">
        <v>647</v>
      </c>
      <c r="D1527" t="s">
        <v>1460</v>
      </c>
      <c r="E1527" s="14" t="n">
        <v>0</v>
      </c>
      <c r="F1527" s="17" t="n">
        <v>131</v>
      </c>
      <c r="G1527" s="15" t="n">
        <v>0</v>
      </c>
      <c r="H1527" s="16" t="n">
        <v>0</v>
      </c>
    </row>
    <row r="1528">
      <c r="A1528" t="s">
        <v>31</v>
      </c>
      <c r="B1528" t="s">
        <v>648</v>
      </c>
      <c r="C1528" t="s">
        <v>649</v>
      </c>
      <c r="D1528" t="s">
        <v>1460</v>
      </c>
      <c r="E1528" s="14" t="n">
        <v>0.5</v>
      </c>
      <c r="F1528" s="17" t="n">
        <v>3</v>
      </c>
      <c r="G1528" s="15" t="n">
        <v>0.497260947684137</v>
      </c>
      <c r="H1528" s="16" t="n">
        <v>0.0522642316338267</v>
      </c>
    </row>
    <row r="1529">
      <c r="A1529" t="s">
        <v>31</v>
      </c>
      <c r="B1529" t="s">
        <v>648</v>
      </c>
      <c r="C1529" t="s">
        <v>650</v>
      </c>
      <c r="D1529" t="s">
        <v>1460</v>
      </c>
      <c r="E1529" s="14" t="n">
        <v>0.25</v>
      </c>
      <c r="F1529" s="17" t="n">
        <v>7</v>
      </c>
      <c r="G1529" s="15" t="n">
        <v>0.242573931568999</v>
      </c>
      <c r="H1529" s="16" t="n">
        <v>0.0604804738999169</v>
      </c>
    </row>
    <row r="1530">
      <c r="A1530" t="s">
        <v>30</v>
      </c>
      <c r="B1530" t="s">
        <v>651</v>
      </c>
      <c r="C1530" t="s">
        <v>652</v>
      </c>
      <c r="D1530" t="s">
        <v>1460</v>
      </c>
      <c r="E1530" s="14" t="n">
        <v>0</v>
      </c>
      <c r="F1530" s="17" t="n">
        <v>84</v>
      </c>
      <c r="G1530" s="15" t="n">
        <v>0</v>
      </c>
      <c r="H1530" s="16" t="n">
        <v>0</v>
      </c>
    </row>
    <row r="1531">
      <c r="A1531" t="s">
        <v>30</v>
      </c>
      <c r="B1531" t="s">
        <v>651</v>
      </c>
      <c r="C1531" t="s">
        <v>653</v>
      </c>
      <c r="D1531" t="s">
        <v>1460</v>
      </c>
      <c r="E1531" s="14" t="n">
        <v>0</v>
      </c>
      <c r="F1531" s="17" t="n">
        <v>42</v>
      </c>
      <c r="G1531" s="15" t="n">
        <v>0</v>
      </c>
      <c r="H1531" s="16" t="n">
        <v>0</v>
      </c>
    </row>
    <row r="1532">
      <c r="A1532" t="s">
        <v>30</v>
      </c>
      <c r="B1532" t="s">
        <v>654</v>
      </c>
      <c r="C1532" t="s">
        <v>655</v>
      </c>
      <c r="D1532" t="s">
        <v>1460</v>
      </c>
      <c r="E1532" s="14" t="n">
        <v>0.5</v>
      </c>
      <c r="F1532" s="17" t="n">
        <v>127</v>
      </c>
      <c r="G1532" s="15" t="n">
        <v>-0.137818677908499</v>
      </c>
      <c r="H1532" s="16" t="n">
        <v>-0.48063084796916</v>
      </c>
    </row>
    <row r="1533">
      <c r="A1533" t="s">
        <v>30</v>
      </c>
      <c r="B1533" t="s">
        <v>654</v>
      </c>
      <c r="C1533" t="s">
        <v>656</v>
      </c>
      <c r="D1533" t="s">
        <v>1460</v>
      </c>
      <c r="E1533" s="14" t="n">
        <v>0.25</v>
      </c>
      <c r="F1533" s="17" t="n">
        <v>74</v>
      </c>
      <c r="G1533" s="15" t="n">
        <v>-0.212012024039106</v>
      </c>
      <c r="H1533" s="16" t="n">
        <v>0.132479816058301</v>
      </c>
    </row>
    <row r="1534">
      <c r="A1534" t="s">
        <v>30</v>
      </c>
      <c r="B1534" t="s">
        <v>657</v>
      </c>
      <c r="C1534" t="s">
        <v>658</v>
      </c>
      <c r="D1534" t="s">
        <v>1460</v>
      </c>
      <c r="E1534" s="14" t="n">
        <v>0.5</v>
      </c>
      <c r="F1534" s="17" t="n">
        <v>82</v>
      </c>
      <c r="G1534" s="15" t="n">
        <v>-0.480630847969159</v>
      </c>
      <c r="H1534" s="16" t="n">
        <v>0.1378186779085</v>
      </c>
    </row>
    <row r="1535">
      <c r="A1535" t="s">
        <v>30</v>
      </c>
      <c r="B1535" t="s">
        <v>657</v>
      </c>
      <c r="C1535" t="s">
        <v>659</v>
      </c>
      <c r="D1535" t="s">
        <v>1460</v>
      </c>
      <c r="E1535" s="14" t="n">
        <v>0.25</v>
      </c>
      <c r="F1535" s="17" t="n">
        <v>27</v>
      </c>
      <c r="G1535" s="15" t="n">
        <v>0.146946313073118</v>
      </c>
      <c r="H1535" s="16" t="n">
        <v>0.202254248593737</v>
      </c>
    </row>
    <row r="1536">
      <c r="A1536" t="s">
        <v>32</v>
      </c>
      <c r="B1536" t="s">
        <v>660</v>
      </c>
      <c r="C1536" t="s">
        <v>661</v>
      </c>
      <c r="D1536" t="s">
        <v>1460</v>
      </c>
      <c r="E1536" s="14" t="n">
        <v>0</v>
      </c>
      <c r="F1536" s="17" t="n">
        <v>43</v>
      </c>
      <c r="G1536" s="15" t="n">
        <v>0</v>
      </c>
      <c r="H1536" s="16" t="n">
        <v>0</v>
      </c>
    </row>
    <row r="1537">
      <c r="A1537" t="s">
        <v>30</v>
      </c>
      <c r="B1537" t="s">
        <v>662</v>
      </c>
      <c r="C1537" t="s">
        <v>663</v>
      </c>
      <c r="D1537" t="s">
        <v>1460</v>
      </c>
      <c r="E1537" s="14" t="n">
        <v>0.25</v>
      </c>
      <c r="F1537" s="17" t="n">
        <v>105</v>
      </c>
      <c r="G1537" s="15" t="n">
        <v>-0.21650635094611</v>
      </c>
      <c r="H1537" s="16" t="n">
        <v>-0.125</v>
      </c>
    </row>
    <row r="1538">
      <c r="A1538" t="s">
        <v>30</v>
      </c>
      <c r="B1538" t="s">
        <v>662</v>
      </c>
      <c r="C1538" t="s">
        <v>664</v>
      </c>
      <c r="D1538" t="s">
        <v>1460</v>
      </c>
      <c r="E1538" s="14" t="n">
        <v>0.25</v>
      </c>
      <c r="F1538" s="17" t="n">
        <v>71</v>
      </c>
      <c r="G1538" s="15" t="n">
        <v>-0.19700268840168</v>
      </c>
      <c r="H1538" s="16" t="n">
        <v>0.153915368831415</v>
      </c>
    </row>
    <row r="1539">
      <c r="A1539" t="s">
        <v>31</v>
      </c>
      <c r="B1539" t="s">
        <v>665</v>
      </c>
      <c r="C1539" t="s">
        <v>666</v>
      </c>
      <c r="D1539" t="s">
        <v>1460</v>
      </c>
      <c r="E1539" s="14" t="n">
        <v>0.5</v>
      </c>
      <c r="F1539" s="17" t="n">
        <v>94</v>
      </c>
      <c r="G1539" s="15" t="n">
        <v>-0.495134034370785</v>
      </c>
      <c r="H1539" s="16" t="n">
        <v>-0.0695865504800329</v>
      </c>
    </row>
    <row r="1540">
      <c r="A1540" t="s">
        <v>30</v>
      </c>
      <c r="B1540" t="s">
        <v>667</v>
      </c>
      <c r="C1540" t="s">
        <v>668</v>
      </c>
      <c r="D1540" t="s">
        <v>1460</v>
      </c>
      <c r="E1540" s="14" t="n">
        <v>0</v>
      </c>
      <c r="F1540" s="17" t="n">
        <v>159</v>
      </c>
      <c r="G1540" s="15" t="n">
        <v>0</v>
      </c>
      <c r="H1540" s="16" t="n">
        <v>0</v>
      </c>
    </row>
    <row r="1541">
      <c r="A1541" t="s">
        <v>32</v>
      </c>
      <c r="B1541" t="s">
        <v>669</v>
      </c>
      <c r="C1541" t="s">
        <v>670</v>
      </c>
      <c r="D1541" t="s">
        <v>1460</v>
      </c>
      <c r="E1541" s="14" t="n">
        <v>0</v>
      </c>
      <c r="F1541" s="17" t="n">
        <v>149</v>
      </c>
      <c r="G1541" s="15" t="n">
        <v>0</v>
      </c>
      <c r="H1541" s="16" t="n">
        <v>0</v>
      </c>
    </row>
    <row r="1542">
      <c r="A1542" t="s">
        <v>32</v>
      </c>
      <c r="B1542" t="s">
        <v>669</v>
      </c>
      <c r="C1542" t="s">
        <v>671</v>
      </c>
      <c r="D1542" t="s">
        <v>1460</v>
      </c>
      <c r="E1542" s="14" t="n">
        <v>0.25</v>
      </c>
      <c r="F1542" s="17" t="n">
        <v>132</v>
      </c>
      <c r="G1542" s="15" t="n">
        <v>-0.0261321158169136</v>
      </c>
      <c r="H1542" s="16" t="n">
        <v>-0.248630473842068</v>
      </c>
    </row>
    <row r="1543">
      <c r="A1543" t="s">
        <v>32</v>
      </c>
      <c r="B1543" t="s">
        <v>672</v>
      </c>
      <c r="C1543" t="s">
        <v>673</v>
      </c>
      <c r="D1543" t="s">
        <v>1460</v>
      </c>
      <c r="E1543" s="14" t="n">
        <v>0.25</v>
      </c>
      <c r="F1543" s="17" t="n">
        <v>138</v>
      </c>
      <c r="G1543" s="15" t="n">
        <v>0.0261321158169135</v>
      </c>
      <c r="H1543" s="16" t="n">
        <v>-0.248630473842068</v>
      </c>
    </row>
    <row r="1544">
      <c r="A1544" t="s">
        <v>32</v>
      </c>
      <c r="B1544" t="s">
        <v>672</v>
      </c>
      <c r="C1544" t="s">
        <v>674</v>
      </c>
      <c r="D1544" t="s">
        <v>1460</v>
      </c>
      <c r="E1544" s="14" t="n">
        <v>0.5</v>
      </c>
      <c r="F1544" s="17" t="n">
        <v>39</v>
      </c>
      <c r="G1544" s="15" t="n">
        <v>0.10395584540888</v>
      </c>
      <c r="H1544" s="16" t="n">
        <v>0.489073800366903</v>
      </c>
    </row>
    <row r="1545">
      <c r="A1545" t="s">
        <v>32</v>
      </c>
      <c r="B1545" t="s">
        <v>675</v>
      </c>
      <c r="C1545" t="s">
        <v>676</v>
      </c>
      <c r="D1545" t="s">
        <v>1460</v>
      </c>
      <c r="E1545" s="14" t="n">
        <v>0.25</v>
      </c>
      <c r="F1545" s="17" t="n">
        <v>10</v>
      </c>
      <c r="G1545" s="15" t="n">
        <v>0.234923155196477</v>
      </c>
      <c r="H1545" s="16" t="n">
        <v>0.0855050358314172</v>
      </c>
    </row>
    <row r="1546">
      <c r="A1546" t="s">
        <v>32</v>
      </c>
      <c r="B1546" t="s">
        <v>675</v>
      </c>
      <c r="C1546" t="s">
        <v>677</v>
      </c>
      <c r="D1546" t="s">
        <v>1460</v>
      </c>
      <c r="E1546" s="14" t="n">
        <v>0.25</v>
      </c>
      <c r="F1546" s="17" t="n">
        <v>39</v>
      </c>
      <c r="G1546" s="15" t="n">
        <v>0.0519779227044398</v>
      </c>
      <c r="H1546" s="16" t="n">
        <v>0.244536900183451</v>
      </c>
    </row>
    <row r="1547">
      <c r="A1547" t="s">
        <v>31</v>
      </c>
      <c r="B1547" t="s">
        <v>678</v>
      </c>
      <c r="C1547" t="s">
        <v>679</v>
      </c>
      <c r="D1547" t="s">
        <v>1460</v>
      </c>
      <c r="E1547" s="14" t="n">
        <v>0.25</v>
      </c>
      <c r="F1547" s="17" t="n">
        <v>177</v>
      </c>
      <c r="G1547" s="15" t="n">
        <v>0.248630473842068</v>
      </c>
      <c r="H1547" s="16" t="n">
        <v>-0.0261321158169134</v>
      </c>
    </row>
    <row r="1548">
      <c r="A1548" t="s">
        <v>31</v>
      </c>
      <c r="B1548" t="s">
        <v>678</v>
      </c>
      <c r="C1548" t="s">
        <v>680</v>
      </c>
      <c r="D1548" t="s">
        <v>1460</v>
      </c>
      <c r="E1548" s="14" t="n">
        <v>0.25</v>
      </c>
      <c r="F1548" s="17" t="n">
        <v>1</v>
      </c>
      <c r="G1548" s="15" t="n">
        <v>0.249847706754774</v>
      </c>
      <c r="H1548" s="16" t="n">
        <v>0.00872487417562524</v>
      </c>
    </row>
    <row r="1549">
      <c r="A1549" t="s">
        <v>30</v>
      </c>
      <c r="B1549" t="s">
        <v>681</v>
      </c>
      <c r="C1549" t="s">
        <v>682</v>
      </c>
      <c r="D1549" t="s">
        <v>1460</v>
      </c>
      <c r="E1549" s="14" t="n">
        <v>0.25</v>
      </c>
      <c r="F1549" s="17" t="n">
        <v>174</v>
      </c>
      <c r="G1549" s="15" t="n">
        <v>0.244536900183451</v>
      </c>
      <c r="H1549" s="16" t="n">
        <v>-0.0519779227044398</v>
      </c>
    </row>
    <row r="1550">
      <c r="A1550" t="s">
        <v>30</v>
      </c>
      <c r="B1550" t="s">
        <v>683</v>
      </c>
      <c r="C1550" t="s">
        <v>684</v>
      </c>
      <c r="D1550" t="s">
        <v>1460</v>
      </c>
      <c r="E1550" s="14" t="n">
        <v>0.25</v>
      </c>
      <c r="F1550" s="17" t="n">
        <v>67</v>
      </c>
      <c r="G1550" s="15" t="n">
        <v>-0.173664592614749</v>
      </c>
      <c r="H1550" s="16" t="n">
        <v>0.179834950084663</v>
      </c>
    </row>
    <row r="1551">
      <c r="A1551" t="s">
        <v>31</v>
      </c>
      <c r="B1551" t="s">
        <v>685</v>
      </c>
      <c r="C1551" t="s">
        <v>686</v>
      </c>
      <c r="D1551" t="s">
        <v>1460</v>
      </c>
      <c r="E1551" s="14" t="n">
        <v>0.25</v>
      </c>
      <c r="F1551" s="17" t="n">
        <v>31</v>
      </c>
      <c r="G1551" s="15" t="n">
        <v>0.117367890696473</v>
      </c>
      <c r="H1551" s="16" t="n">
        <v>0.220736898214732</v>
      </c>
    </row>
    <row r="1552">
      <c r="A1552" t="s">
        <v>32</v>
      </c>
      <c r="B1552" t="s">
        <v>687</v>
      </c>
      <c r="C1552" t="s">
        <v>688</v>
      </c>
      <c r="D1552" t="s">
        <v>1460</v>
      </c>
      <c r="E1552" s="14" t="n">
        <v>0.5</v>
      </c>
      <c r="F1552" s="17" t="n">
        <v>39</v>
      </c>
      <c r="G1552" s="15" t="n">
        <v>0.10395584540888</v>
      </c>
      <c r="H1552" s="16" t="n">
        <v>0.489073800366903</v>
      </c>
    </row>
    <row r="1553">
      <c r="A1553" t="s">
        <v>32</v>
      </c>
      <c r="B1553" t="s">
        <v>687</v>
      </c>
      <c r="C1553" t="s">
        <v>689</v>
      </c>
      <c r="D1553" t="s">
        <v>1460</v>
      </c>
      <c r="E1553" s="14" t="n">
        <v>0.75</v>
      </c>
      <c r="F1553" s="17" t="n">
        <v>108</v>
      </c>
      <c r="G1553" s="15" t="n">
        <v>-0.606762745781211</v>
      </c>
      <c r="H1553" s="16" t="n">
        <v>-0.440838939219355</v>
      </c>
    </row>
    <row r="1554">
      <c r="A1554" t="s">
        <v>31</v>
      </c>
      <c r="B1554" t="s">
        <v>690</v>
      </c>
      <c r="C1554" t="s">
        <v>691</v>
      </c>
      <c r="D1554" t="s">
        <v>1460</v>
      </c>
      <c r="E1554" s="14" t="n">
        <v>0.5</v>
      </c>
      <c r="F1554" s="17" t="n">
        <v>160</v>
      </c>
      <c r="G1554" s="15" t="n">
        <v>0.383022221559489</v>
      </c>
      <c r="H1554" s="16" t="n">
        <v>-0.32139380484327</v>
      </c>
    </row>
    <row r="1555">
      <c r="A1555" t="s">
        <v>31</v>
      </c>
      <c r="B1555" t="s">
        <v>690</v>
      </c>
      <c r="C1555" t="s">
        <v>692</v>
      </c>
      <c r="D1555" t="s">
        <v>1460</v>
      </c>
      <c r="E1555" s="14" t="n">
        <v>0.25</v>
      </c>
      <c r="F1555" s="17" t="n">
        <v>46</v>
      </c>
      <c r="G1555" s="15" t="n">
        <v>-0.00872487417562518</v>
      </c>
      <c r="H1555" s="16" t="n">
        <v>0.249847706754774</v>
      </c>
    </row>
    <row r="1556">
      <c r="A1556" t="s">
        <v>31</v>
      </c>
      <c r="B1556" t="s">
        <v>693</v>
      </c>
      <c r="C1556" t="s">
        <v>694</v>
      </c>
      <c r="D1556" t="s">
        <v>1460</v>
      </c>
      <c r="E1556" s="14" t="n">
        <v>0.25</v>
      </c>
      <c r="F1556" s="17" t="n">
        <v>86</v>
      </c>
      <c r="G1556" s="15" t="n">
        <v>-0.247567017185393</v>
      </c>
      <c r="H1556" s="16" t="n">
        <v>0.0347932752400163</v>
      </c>
    </row>
    <row r="1557">
      <c r="A1557" t="s">
        <v>31</v>
      </c>
      <c r="B1557" t="s">
        <v>693</v>
      </c>
      <c r="C1557" t="s">
        <v>695</v>
      </c>
      <c r="D1557" t="s">
        <v>1460</v>
      </c>
      <c r="E1557" s="14" t="n">
        <v>0.25</v>
      </c>
      <c r="F1557" s="17" t="n">
        <v>60</v>
      </c>
      <c r="G1557" s="15" t="n">
        <v>-0.125</v>
      </c>
      <c r="H1557" s="16" t="n">
        <v>0.21650635094611</v>
      </c>
    </row>
    <row r="1558">
      <c r="A1558" t="s">
        <v>30</v>
      </c>
      <c r="B1558" t="s">
        <v>696</v>
      </c>
      <c r="C1558" t="s">
        <v>697</v>
      </c>
      <c r="D1558" t="s">
        <v>1460</v>
      </c>
      <c r="E1558" s="14" t="n">
        <v>0.25</v>
      </c>
      <c r="F1558" s="17" t="n">
        <v>110</v>
      </c>
      <c r="G1558" s="15" t="n">
        <v>-0.191511110779745</v>
      </c>
      <c r="H1558" s="16" t="n">
        <v>-0.160696902421635</v>
      </c>
    </row>
    <row r="1559">
      <c r="A1559" t="s">
        <v>30</v>
      </c>
      <c r="B1559" t="s">
        <v>696</v>
      </c>
      <c r="C1559" t="s">
        <v>698</v>
      </c>
      <c r="D1559" t="s">
        <v>1460</v>
      </c>
      <c r="E1559" s="14" t="n">
        <v>0.25</v>
      </c>
      <c r="F1559" s="17" t="n">
        <v>142</v>
      </c>
      <c r="G1559" s="15" t="n">
        <v>0.0604804738999169</v>
      </c>
      <c r="H1559" s="16" t="n">
        <v>-0.242573931568999</v>
      </c>
    </row>
    <row r="1560">
      <c r="A1560" t="s">
        <v>32</v>
      </c>
      <c r="B1560" t="s">
        <v>699</v>
      </c>
      <c r="C1560" t="s">
        <v>700</v>
      </c>
      <c r="D1560" t="s">
        <v>1460</v>
      </c>
      <c r="E1560" s="14" t="n">
        <v>0.25</v>
      </c>
      <c r="F1560" s="17" t="n">
        <v>80</v>
      </c>
      <c r="G1560" s="15" t="n">
        <v>-0.234923155196477</v>
      </c>
      <c r="H1560" s="16" t="n">
        <v>0.0855050358314172</v>
      </c>
    </row>
    <row r="1561">
      <c r="A1561" t="s">
        <v>32</v>
      </c>
      <c r="B1561" t="s">
        <v>699</v>
      </c>
      <c r="C1561" t="s">
        <v>701</v>
      </c>
      <c r="D1561" t="s">
        <v>1460</v>
      </c>
      <c r="E1561" s="14" t="n">
        <v>0</v>
      </c>
      <c r="F1561" s="17" t="n">
        <v>23</v>
      </c>
      <c r="G1561" s="15" t="n">
        <v>0</v>
      </c>
      <c r="H1561" s="16" t="n">
        <v>0</v>
      </c>
    </row>
    <row r="1562">
      <c r="A1562" t="s">
        <v>32</v>
      </c>
      <c r="B1562" t="s">
        <v>702</v>
      </c>
      <c r="C1562" t="s">
        <v>703</v>
      </c>
      <c r="D1562" t="s">
        <v>1460</v>
      </c>
      <c r="E1562" s="14" t="n">
        <v>1.5</v>
      </c>
      <c r="F1562" s="17" t="n">
        <v>118</v>
      </c>
      <c r="G1562" s="15" t="n">
        <v>-0.838789355206121</v>
      </c>
      <c r="H1562" s="16" t="n">
        <v>-1.24355635883256</v>
      </c>
    </row>
    <row r="1563">
      <c r="A1563" t="s">
        <v>32</v>
      </c>
      <c r="B1563" t="s">
        <v>702</v>
      </c>
      <c r="C1563" t="s">
        <v>704</v>
      </c>
      <c r="D1563" t="s">
        <v>1460</v>
      </c>
      <c r="E1563" s="14" t="n">
        <v>0.25</v>
      </c>
      <c r="F1563" s="17" t="n">
        <v>97</v>
      </c>
      <c r="G1563" s="15" t="n">
        <v>-0.242573931568999</v>
      </c>
      <c r="H1563" s="16" t="n">
        <v>-0.0604804738999169</v>
      </c>
    </row>
    <row r="1564">
      <c r="A1564" t="s">
        <v>30</v>
      </c>
      <c r="B1564" t="s">
        <v>705</v>
      </c>
      <c r="C1564" t="s">
        <v>706</v>
      </c>
      <c r="D1564" t="s">
        <v>1460</v>
      </c>
      <c r="E1564" s="14" t="n">
        <v>0.25</v>
      </c>
      <c r="F1564" s="17" t="n">
        <v>52</v>
      </c>
      <c r="G1564" s="15" t="n">
        <v>-0.0604804738999169</v>
      </c>
      <c r="H1564" s="16" t="n">
        <v>0.242573931568999</v>
      </c>
    </row>
    <row r="1565">
      <c r="A1565" t="s">
        <v>31</v>
      </c>
      <c r="B1565" t="s">
        <v>707</v>
      </c>
      <c r="C1565" t="s">
        <v>708</v>
      </c>
      <c r="D1565" t="s">
        <v>1460</v>
      </c>
      <c r="E1565" s="14" t="n">
        <v>0.25</v>
      </c>
      <c r="F1565" s="17" t="n">
        <v>138</v>
      </c>
      <c r="G1565" s="15" t="n">
        <v>0.0261321158169135</v>
      </c>
      <c r="H1565" s="16" t="n">
        <v>-0.248630473842068</v>
      </c>
    </row>
    <row r="1566">
      <c r="A1566" t="s">
        <v>32</v>
      </c>
      <c r="B1566" t="s">
        <v>709</v>
      </c>
      <c r="C1566" t="s">
        <v>710</v>
      </c>
      <c r="D1566" t="s">
        <v>1460</v>
      </c>
      <c r="E1566" s="14" t="n">
        <v>0.25</v>
      </c>
      <c r="F1566" s="17" t="n">
        <v>6</v>
      </c>
      <c r="G1566" s="15" t="n">
        <v>0.244536900183451</v>
      </c>
      <c r="H1566" s="16" t="n">
        <v>0.0519779227044398</v>
      </c>
    </row>
    <row r="1567">
      <c r="A1567" t="s">
        <v>32</v>
      </c>
      <c r="B1567" t="s">
        <v>711</v>
      </c>
      <c r="C1567" t="s">
        <v>712</v>
      </c>
      <c r="D1567" t="s">
        <v>1460</v>
      </c>
      <c r="E1567" s="14" t="n">
        <v>0.25</v>
      </c>
      <c r="F1567" s="17" t="n">
        <v>1</v>
      </c>
      <c r="G1567" s="15" t="n">
        <v>0.249847706754774</v>
      </c>
      <c r="H1567" s="16" t="n">
        <v>0.00872487417562524</v>
      </c>
    </row>
    <row r="1568">
      <c r="A1568" t="s">
        <v>32</v>
      </c>
      <c r="B1568" t="s">
        <v>711</v>
      </c>
      <c r="C1568" t="s">
        <v>713</v>
      </c>
      <c r="D1568" t="s">
        <v>1460</v>
      </c>
      <c r="E1568" s="14" t="n">
        <v>0.75</v>
      </c>
      <c r="F1568" s="17" t="n">
        <v>74</v>
      </c>
      <c r="G1568" s="15" t="n">
        <v>-0.636036072117319</v>
      </c>
      <c r="H1568" s="16" t="n">
        <v>0.397439448174904</v>
      </c>
    </row>
    <row r="1569">
      <c r="A1569" t="s">
        <v>32</v>
      </c>
      <c r="B1569" t="s">
        <v>714</v>
      </c>
      <c r="C1569" t="s">
        <v>715</v>
      </c>
      <c r="D1569" t="s">
        <v>1460</v>
      </c>
      <c r="E1569" s="14" t="n">
        <v>0</v>
      </c>
      <c r="F1569" s="17" t="n">
        <v>148</v>
      </c>
      <c r="G1569" s="15" t="n">
        <v>0</v>
      </c>
      <c r="H1569" s="16" t="n">
        <v>0</v>
      </c>
    </row>
    <row r="1570">
      <c r="A1570" t="s">
        <v>32</v>
      </c>
      <c r="B1570" t="s">
        <v>714</v>
      </c>
      <c r="C1570" t="s">
        <v>716</v>
      </c>
      <c r="D1570" t="s">
        <v>1460</v>
      </c>
      <c r="E1570" s="14" t="n">
        <v>0.25</v>
      </c>
      <c r="F1570" s="17" t="n">
        <v>146</v>
      </c>
      <c r="G1570" s="15" t="n">
        <v>0.093651648353978</v>
      </c>
      <c r="H1570" s="16" t="n">
        <v>-0.231795963641697</v>
      </c>
    </row>
    <row r="1571">
      <c r="A1571" t="s">
        <v>31</v>
      </c>
      <c r="B1571" t="s">
        <v>717</v>
      </c>
      <c r="C1571" t="s">
        <v>718</v>
      </c>
      <c r="D1571" t="s">
        <v>1460</v>
      </c>
      <c r="E1571" s="14" t="n">
        <v>0.25</v>
      </c>
      <c r="F1571" s="17" t="n">
        <v>139</v>
      </c>
      <c r="G1571" s="15" t="n">
        <v>0.0347932752400164</v>
      </c>
      <c r="H1571" s="16" t="n">
        <v>-0.247567017185393</v>
      </c>
    </row>
    <row r="1572">
      <c r="A1572" t="s">
        <v>30</v>
      </c>
      <c r="B1572" t="s">
        <v>719</v>
      </c>
      <c r="C1572" t="s">
        <v>720</v>
      </c>
      <c r="D1572" t="s">
        <v>1460</v>
      </c>
      <c r="E1572" s="14" t="n">
        <v>0</v>
      </c>
      <c r="F1572" s="17" t="n">
        <v>58</v>
      </c>
      <c r="G1572" s="15" t="n">
        <v>0</v>
      </c>
      <c r="H1572" s="16" t="n">
        <v>0</v>
      </c>
    </row>
    <row r="1573">
      <c r="A1573" t="s">
        <v>30</v>
      </c>
      <c r="B1573" t="s">
        <v>719</v>
      </c>
      <c r="C1573" t="s">
        <v>721</v>
      </c>
      <c r="D1573" t="s">
        <v>1460</v>
      </c>
      <c r="E1573" s="14" t="n">
        <v>0.25</v>
      </c>
      <c r="F1573" s="17" t="n">
        <v>75</v>
      </c>
      <c r="G1573" s="15" t="n">
        <v>-0.21650635094611</v>
      </c>
      <c r="H1573" s="16" t="n">
        <v>0.125</v>
      </c>
    </row>
    <row r="1574">
      <c r="A1574" t="s">
        <v>30</v>
      </c>
      <c r="B1574" t="s">
        <v>722</v>
      </c>
      <c r="C1574" t="s">
        <v>723</v>
      </c>
      <c r="D1574" t="s">
        <v>1460</v>
      </c>
      <c r="E1574" s="14" t="n">
        <v>0.25</v>
      </c>
      <c r="F1574" s="17" t="n">
        <v>160</v>
      </c>
      <c r="G1574" s="15" t="n">
        <v>0.191511110779744</v>
      </c>
      <c r="H1574" s="16" t="n">
        <v>-0.160696902421635</v>
      </c>
    </row>
    <row r="1575">
      <c r="A1575" t="s">
        <v>30</v>
      </c>
      <c r="B1575" t="s">
        <v>722</v>
      </c>
      <c r="C1575" t="s">
        <v>724</v>
      </c>
      <c r="D1575" t="s">
        <v>1460</v>
      </c>
      <c r="E1575" s="14" t="n">
        <v>0.25</v>
      </c>
      <c r="F1575" s="17" t="n">
        <v>18</v>
      </c>
      <c r="G1575" s="15" t="n">
        <v>0.202254248593737</v>
      </c>
      <c r="H1575" s="16" t="n">
        <v>0.146946313073118</v>
      </c>
    </row>
    <row r="1576">
      <c r="A1576" t="s">
        <v>32</v>
      </c>
      <c r="B1576" t="s">
        <v>725</v>
      </c>
      <c r="C1576" t="s">
        <v>726</v>
      </c>
      <c r="D1576" t="s">
        <v>1460</v>
      </c>
      <c r="E1576" s="14" t="n">
        <v>1</v>
      </c>
      <c r="F1576" s="17" t="n">
        <v>68</v>
      </c>
      <c r="G1576" s="15" t="n">
        <v>-0.719339800338651</v>
      </c>
      <c r="H1576" s="16" t="n">
        <v>0.694658370458997</v>
      </c>
    </row>
    <row r="1577">
      <c r="A1577" t="s">
        <v>32</v>
      </c>
      <c r="B1577" t="s">
        <v>725</v>
      </c>
      <c r="C1577" t="s">
        <v>727</v>
      </c>
      <c r="D1577" t="s">
        <v>1460</v>
      </c>
      <c r="E1577" s="14" t="n">
        <v>0.25</v>
      </c>
      <c r="F1577" s="17" t="n">
        <v>118</v>
      </c>
      <c r="G1577" s="15" t="n">
        <v>-0.139798225867687</v>
      </c>
      <c r="H1577" s="16" t="n">
        <v>-0.20725939313876</v>
      </c>
    </row>
    <row r="1578">
      <c r="A1578" t="s">
        <v>30</v>
      </c>
      <c r="B1578" t="s">
        <v>728</v>
      </c>
      <c r="C1578" t="s">
        <v>729</v>
      </c>
      <c r="D1578" t="s">
        <v>1460</v>
      </c>
      <c r="E1578" s="14" t="n">
        <v>0.5</v>
      </c>
      <c r="F1578" s="17" t="n">
        <v>16</v>
      </c>
      <c r="G1578" s="15" t="n">
        <v>0.424024048078213</v>
      </c>
      <c r="H1578" s="16" t="n">
        <v>0.264959632116602</v>
      </c>
    </row>
    <row r="1579">
      <c r="A1579" t="s">
        <v>30</v>
      </c>
      <c r="B1579" t="s">
        <v>728</v>
      </c>
      <c r="C1579" t="s">
        <v>730</v>
      </c>
      <c r="D1579" t="s">
        <v>1460</v>
      </c>
      <c r="E1579" s="14" t="n">
        <v>0</v>
      </c>
      <c r="F1579" s="17" t="n">
        <v>111</v>
      </c>
      <c r="G1579" s="15" t="n">
        <v>0</v>
      </c>
      <c r="H1579" s="16" t="n">
        <v>0</v>
      </c>
    </row>
    <row r="1580">
      <c r="A1580" t="s">
        <v>30</v>
      </c>
      <c r="B1580" t="s">
        <v>731</v>
      </c>
      <c r="C1580" t="s">
        <v>732</v>
      </c>
      <c r="D1580" t="s">
        <v>1460</v>
      </c>
      <c r="E1580" s="14" t="n">
        <v>0.5</v>
      </c>
      <c r="F1580" s="17" t="n">
        <v>133</v>
      </c>
      <c r="G1580" s="15" t="n">
        <v>-0.0348782368720628</v>
      </c>
      <c r="H1580" s="16" t="n">
        <v>-0.498782025129912</v>
      </c>
    </row>
    <row r="1581">
      <c r="A1581" t="s">
        <v>30</v>
      </c>
      <c r="B1581" t="s">
        <v>731</v>
      </c>
      <c r="C1581" t="s">
        <v>733</v>
      </c>
      <c r="D1581" t="s">
        <v>1460</v>
      </c>
      <c r="E1581" s="14" t="n">
        <v>0.25</v>
      </c>
      <c r="F1581" s="17" t="n">
        <v>58</v>
      </c>
      <c r="G1581" s="15" t="n">
        <v>-0.109592786697269</v>
      </c>
      <c r="H1581" s="16" t="n">
        <v>0.224698511574792</v>
      </c>
    </row>
    <row r="1582">
      <c r="A1582" t="s">
        <v>30</v>
      </c>
      <c r="B1582" t="s">
        <v>734</v>
      </c>
      <c r="C1582" t="s">
        <v>735</v>
      </c>
      <c r="D1582" t="s">
        <v>1460</v>
      </c>
      <c r="E1582" s="14" t="n">
        <v>0.25</v>
      </c>
      <c r="F1582" s="17" t="n">
        <v>66</v>
      </c>
      <c r="G1582" s="15" t="n">
        <v>-0.167282651589714</v>
      </c>
      <c r="H1582" s="16" t="n">
        <v>0.185786206369349</v>
      </c>
    </row>
    <row r="1583">
      <c r="A1583" t="s">
        <v>30</v>
      </c>
      <c r="B1583" t="s">
        <v>734</v>
      </c>
      <c r="C1583" t="s">
        <v>736</v>
      </c>
      <c r="D1583" t="s">
        <v>1460</v>
      </c>
      <c r="E1583" s="14" t="n">
        <v>0</v>
      </c>
      <c r="F1583" s="17" t="n">
        <v>178</v>
      </c>
      <c r="G1583" s="15" t="n">
        <v>0</v>
      </c>
      <c r="H1583" s="16" t="n">
        <v>0</v>
      </c>
    </row>
    <row r="1584">
      <c r="A1584" t="s">
        <v>30</v>
      </c>
      <c r="B1584" t="s">
        <v>737</v>
      </c>
      <c r="C1584" t="s">
        <v>738</v>
      </c>
      <c r="D1584" t="s">
        <v>1460</v>
      </c>
      <c r="E1584" s="14" t="n">
        <v>0.5</v>
      </c>
      <c r="F1584" s="17" t="n">
        <v>94</v>
      </c>
      <c r="G1584" s="15" t="n">
        <v>-0.495134034370785</v>
      </c>
      <c r="H1584" s="16" t="n">
        <v>-0.0695865504800329</v>
      </c>
    </row>
    <row r="1585">
      <c r="A1585" t="s">
        <v>30</v>
      </c>
      <c r="B1585" t="s">
        <v>737</v>
      </c>
      <c r="C1585" t="s">
        <v>739</v>
      </c>
      <c r="D1585" t="s">
        <v>1460</v>
      </c>
      <c r="E1585" s="14" t="n">
        <v>0.25</v>
      </c>
      <c r="F1585" s="17" t="n">
        <v>85</v>
      </c>
      <c r="G1585" s="15" t="n">
        <v>-0.246201938253052</v>
      </c>
      <c r="H1585" s="16" t="n">
        <v>0.0434120444167327</v>
      </c>
    </row>
    <row r="1586">
      <c r="A1586" t="s">
        <v>31</v>
      </c>
      <c r="B1586" t="s">
        <v>740</v>
      </c>
      <c r="C1586" t="s">
        <v>741</v>
      </c>
      <c r="D1586" t="s">
        <v>1460</v>
      </c>
      <c r="E1586" s="14" t="n">
        <v>0.25</v>
      </c>
      <c r="F1586" s="17" t="n">
        <v>73</v>
      </c>
      <c r="G1586" s="15" t="n">
        <v>-0.20725939313876</v>
      </c>
      <c r="H1586" s="16" t="n">
        <v>0.139798225867687</v>
      </c>
    </row>
    <row r="1587">
      <c r="A1587" t="s">
        <v>31</v>
      </c>
      <c r="B1587" t="s">
        <v>740</v>
      </c>
      <c r="C1587" t="s">
        <v>742</v>
      </c>
      <c r="D1587" t="s">
        <v>1460</v>
      </c>
      <c r="E1587" s="14" t="n">
        <v>0</v>
      </c>
      <c r="F1587" s="17" t="n">
        <v>127</v>
      </c>
      <c r="G1587" s="15" t="n">
        <v>0</v>
      </c>
      <c r="H1587" s="16" t="n">
        <v>0</v>
      </c>
    </row>
    <row r="1588">
      <c r="A1588" t="s">
        <v>32</v>
      </c>
      <c r="B1588" t="s">
        <v>743</v>
      </c>
      <c r="C1588" t="s">
        <v>744</v>
      </c>
      <c r="D1588" t="s">
        <v>1460</v>
      </c>
      <c r="E1588" s="14" t="n">
        <v>0</v>
      </c>
      <c r="F1588" s="17" t="n">
        <v>91</v>
      </c>
      <c r="G1588" s="15" t="n">
        <v>0</v>
      </c>
      <c r="H1588" s="16" t="n">
        <v>0</v>
      </c>
    </row>
    <row r="1589">
      <c r="A1589" t="s">
        <v>32</v>
      </c>
      <c r="B1589" t="s">
        <v>743</v>
      </c>
      <c r="C1589" t="s">
        <v>745</v>
      </c>
      <c r="D1589" t="s">
        <v>1460</v>
      </c>
      <c r="E1589" s="14" t="n">
        <v>0</v>
      </c>
      <c r="F1589" s="17" t="n">
        <v>100</v>
      </c>
      <c r="G1589" s="15" t="n">
        <v>0</v>
      </c>
      <c r="H1589" s="16" t="n">
        <v>0</v>
      </c>
    </row>
    <row r="1590">
      <c r="A1590" t="s">
        <v>30</v>
      </c>
      <c r="B1590" t="s">
        <v>746</v>
      </c>
      <c r="C1590" t="s">
        <v>747</v>
      </c>
      <c r="D1590" t="s">
        <v>1460</v>
      </c>
      <c r="E1590" s="14" t="n">
        <v>0.25</v>
      </c>
      <c r="F1590" s="17" t="n">
        <v>175</v>
      </c>
      <c r="G1590" s="15" t="n">
        <v>0.246201938253052</v>
      </c>
      <c r="H1590" s="16" t="n">
        <v>-0.0434120444167326</v>
      </c>
    </row>
    <row r="1591">
      <c r="A1591" t="s">
        <v>32</v>
      </c>
      <c r="B1591" t="s">
        <v>748</v>
      </c>
      <c r="C1591" t="s">
        <v>749</v>
      </c>
      <c r="D1591" t="s">
        <v>1460</v>
      </c>
      <c r="E1591" s="14" t="n">
        <v>0.25</v>
      </c>
      <c r="F1591" s="17" t="n">
        <v>120</v>
      </c>
      <c r="G1591" s="15" t="n">
        <v>-0.125</v>
      </c>
      <c r="H1591" s="16" t="n">
        <v>-0.21650635094611</v>
      </c>
    </row>
    <row r="1592">
      <c r="A1592" t="s">
        <v>32</v>
      </c>
      <c r="B1592" t="s">
        <v>750</v>
      </c>
      <c r="C1592" t="s">
        <v>751</v>
      </c>
      <c r="D1592" t="s">
        <v>1460</v>
      </c>
      <c r="E1592" s="14" t="n">
        <v>0.5</v>
      </c>
      <c r="F1592" s="17" t="n">
        <v>92</v>
      </c>
      <c r="G1592" s="15" t="n">
        <v>-0.498782025129912</v>
      </c>
      <c r="H1592" s="16" t="n">
        <v>-0.0348782368720625</v>
      </c>
    </row>
    <row r="1593">
      <c r="A1593" t="s">
        <v>32</v>
      </c>
      <c r="B1593" t="s">
        <v>750</v>
      </c>
      <c r="C1593" t="s">
        <v>752</v>
      </c>
      <c r="D1593" t="s">
        <v>1460</v>
      </c>
      <c r="E1593" s="14" t="n">
        <v>0.5</v>
      </c>
      <c r="F1593" s="17" t="n">
        <v>74</v>
      </c>
      <c r="G1593" s="15" t="n">
        <v>-0.424024048078213</v>
      </c>
      <c r="H1593" s="16" t="n">
        <v>0.264959632116602</v>
      </c>
    </row>
    <row r="1594">
      <c r="A1594" t="s">
        <v>30</v>
      </c>
      <c r="B1594" t="s">
        <v>753</v>
      </c>
      <c r="C1594" t="s">
        <v>754</v>
      </c>
      <c r="D1594" t="s">
        <v>1460</v>
      </c>
      <c r="E1594" s="14" t="n">
        <v>0.25</v>
      </c>
      <c r="F1594" s="17" t="n">
        <v>30</v>
      </c>
      <c r="G1594" s="15" t="n">
        <v>0.125</v>
      </c>
      <c r="H1594" s="16" t="n">
        <v>0.21650635094611</v>
      </c>
    </row>
    <row r="1595">
      <c r="A1595" t="s">
        <v>30</v>
      </c>
      <c r="B1595" t="s">
        <v>753</v>
      </c>
      <c r="C1595" t="s">
        <v>755</v>
      </c>
      <c r="D1595" t="s">
        <v>1460</v>
      </c>
      <c r="E1595" s="14" t="n">
        <v>0.25</v>
      </c>
      <c r="F1595" s="17" t="n">
        <v>177</v>
      </c>
      <c r="G1595" s="15" t="n">
        <v>0.248630473842068</v>
      </c>
      <c r="H1595" s="16" t="n">
        <v>-0.0261321158169134</v>
      </c>
    </row>
    <row r="1596">
      <c r="A1596" t="s">
        <v>30</v>
      </c>
      <c r="B1596" t="s">
        <v>756</v>
      </c>
      <c r="C1596" t="s">
        <v>757</v>
      </c>
      <c r="D1596" t="s">
        <v>1460</v>
      </c>
      <c r="E1596" s="14" t="n">
        <v>0.25</v>
      </c>
      <c r="F1596" s="17" t="n">
        <v>88</v>
      </c>
      <c r="G1596" s="15" t="n">
        <v>-0.249391012564956</v>
      </c>
      <c r="H1596" s="16" t="n">
        <v>0.0174391184360314</v>
      </c>
    </row>
    <row r="1597">
      <c r="A1597" t="s">
        <v>30</v>
      </c>
      <c r="B1597" t="s">
        <v>756</v>
      </c>
      <c r="C1597" t="s">
        <v>758</v>
      </c>
      <c r="D1597" t="s">
        <v>1460</v>
      </c>
      <c r="E1597" s="14" t="n">
        <v>0.25</v>
      </c>
      <c r="F1597" s="17" t="n">
        <v>82</v>
      </c>
      <c r="G1597" s="15" t="n">
        <v>-0.24031542398458</v>
      </c>
      <c r="H1597" s="16" t="n">
        <v>0.0689093389542498</v>
      </c>
    </row>
    <row r="1598">
      <c r="A1598" t="s">
        <v>31</v>
      </c>
      <c r="B1598" t="s">
        <v>759</v>
      </c>
      <c r="C1598" t="s">
        <v>760</v>
      </c>
      <c r="D1598" t="s">
        <v>1460</v>
      </c>
      <c r="E1598" s="14" t="n">
        <v>0.25</v>
      </c>
      <c r="F1598" s="17" t="n">
        <v>13</v>
      </c>
      <c r="G1598" s="15" t="n">
        <v>0.224698511574792</v>
      </c>
      <c r="H1598" s="16" t="n">
        <v>0.109592786697269</v>
      </c>
    </row>
    <row r="1599">
      <c r="A1599" t="s">
        <v>31</v>
      </c>
      <c r="B1599" t="s">
        <v>759</v>
      </c>
      <c r="C1599" t="s">
        <v>761</v>
      </c>
      <c r="D1599" t="s">
        <v>1460</v>
      </c>
      <c r="E1599" s="14" t="n">
        <v>0.25</v>
      </c>
      <c r="F1599" s="17" t="n">
        <v>118</v>
      </c>
      <c r="G1599" s="15" t="n">
        <v>-0.139798225867687</v>
      </c>
      <c r="H1599" s="16" t="n">
        <v>-0.20725939313876</v>
      </c>
    </row>
    <row r="1600">
      <c r="A1600" t="s">
        <v>32</v>
      </c>
      <c r="B1600" t="s">
        <v>762</v>
      </c>
      <c r="C1600" t="s">
        <v>763</v>
      </c>
      <c r="D1600" t="s">
        <v>1460</v>
      </c>
      <c r="E1600" s="14" t="n">
        <v>0.25</v>
      </c>
      <c r="F1600" s="17" t="n">
        <v>102</v>
      </c>
      <c r="G1600" s="15" t="n">
        <v>-0.22838636441065</v>
      </c>
      <c r="H1600" s="16" t="n">
        <v>-0.10168416076895</v>
      </c>
    </row>
    <row r="1601">
      <c r="A1601" t="s">
        <v>32</v>
      </c>
      <c r="B1601" t="s">
        <v>762</v>
      </c>
      <c r="C1601" t="s">
        <v>764</v>
      </c>
      <c r="D1601" t="s">
        <v>1460</v>
      </c>
      <c r="E1601" s="14" t="n">
        <v>0.25</v>
      </c>
      <c r="F1601" s="17" t="n">
        <v>99</v>
      </c>
      <c r="G1601" s="15" t="n">
        <v>-0.237764129073788</v>
      </c>
      <c r="H1601" s="16" t="n">
        <v>-0.077254248593737</v>
      </c>
    </row>
    <row r="1602">
      <c r="A1602" t="s">
        <v>32</v>
      </c>
      <c r="B1602" t="s">
        <v>765</v>
      </c>
      <c r="C1602" t="s">
        <v>766</v>
      </c>
      <c r="D1602" t="s">
        <v>1460</v>
      </c>
      <c r="E1602" s="14" t="n">
        <v>0.25</v>
      </c>
      <c r="F1602" s="17" t="n">
        <v>120</v>
      </c>
      <c r="G1602" s="15" t="n">
        <v>-0.125</v>
      </c>
      <c r="H1602" s="16" t="n">
        <v>-0.21650635094611</v>
      </c>
    </row>
    <row r="1603">
      <c r="A1603" t="s">
        <v>32</v>
      </c>
      <c r="B1603" t="s">
        <v>765</v>
      </c>
      <c r="C1603" t="s">
        <v>767</v>
      </c>
      <c r="D1603" t="s">
        <v>1460</v>
      </c>
      <c r="E1603" s="14" t="n">
        <v>0.25</v>
      </c>
      <c r="F1603" s="17" t="n">
        <v>49</v>
      </c>
      <c r="G1603" s="15" t="n">
        <v>-0.0347932752400163</v>
      </c>
      <c r="H1603" s="16" t="n">
        <v>0.247567017185393</v>
      </c>
    </row>
    <row r="1604">
      <c r="A1604" t="s">
        <v>30</v>
      </c>
      <c r="B1604" t="s">
        <v>768</v>
      </c>
      <c r="C1604" t="s">
        <v>769</v>
      </c>
      <c r="D1604" t="s">
        <v>1460</v>
      </c>
      <c r="E1604" s="14" t="n">
        <v>0.25</v>
      </c>
      <c r="F1604" s="17" t="n">
        <v>43</v>
      </c>
      <c r="G1604" s="15" t="n">
        <v>0.0174391184360313</v>
      </c>
      <c r="H1604" s="16" t="n">
        <v>0.249391012564956</v>
      </c>
    </row>
    <row r="1605">
      <c r="A1605" t="s">
        <v>30</v>
      </c>
      <c r="B1605" t="s">
        <v>768</v>
      </c>
      <c r="C1605" t="s">
        <v>770</v>
      </c>
      <c r="D1605" t="s">
        <v>1460</v>
      </c>
      <c r="E1605" s="14" t="n">
        <v>0.5</v>
      </c>
      <c r="F1605" s="17" t="n">
        <v>114</v>
      </c>
      <c r="G1605" s="15" t="n">
        <v>-0.334565303179429</v>
      </c>
      <c r="H1605" s="16" t="n">
        <v>-0.371572412738697</v>
      </c>
    </row>
    <row r="1606">
      <c r="A1606" t="s">
        <v>31</v>
      </c>
      <c r="B1606" t="s">
        <v>771</v>
      </c>
      <c r="C1606" t="s">
        <v>772</v>
      </c>
      <c r="D1606" t="s">
        <v>1460</v>
      </c>
      <c r="E1606" s="14" t="n">
        <v>0.25</v>
      </c>
      <c r="F1606" s="17" t="n">
        <v>92</v>
      </c>
      <c r="G1606" s="15" t="n">
        <v>-0.249391012564956</v>
      </c>
      <c r="H1606" s="16" t="n">
        <v>-0.0174391184360313</v>
      </c>
    </row>
    <row r="1607">
      <c r="A1607" t="s">
        <v>31</v>
      </c>
      <c r="B1607" t="s">
        <v>771</v>
      </c>
      <c r="C1607" t="s">
        <v>773</v>
      </c>
      <c r="D1607" t="s">
        <v>1460</v>
      </c>
      <c r="E1607" s="14" t="n">
        <v>0.25</v>
      </c>
      <c r="F1607" s="17" t="n">
        <v>78</v>
      </c>
      <c r="G1607" s="15" t="n">
        <v>-0.22838636441065</v>
      </c>
      <c r="H1607" s="16" t="n">
        <v>0.10168416076895</v>
      </c>
    </row>
    <row r="1608">
      <c r="A1608" t="s">
        <v>30</v>
      </c>
      <c r="B1608" t="s">
        <v>774</v>
      </c>
      <c r="C1608" t="s">
        <v>775</v>
      </c>
      <c r="D1608" t="s">
        <v>1460</v>
      </c>
      <c r="E1608" s="14" t="n">
        <v>0.5</v>
      </c>
      <c r="F1608" s="17" t="n">
        <v>66</v>
      </c>
      <c r="G1608" s="15" t="n">
        <v>-0.334565303179429</v>
      </c>
      <c r="H1608" s="16" t="n">
        <v>0.371572412738697</v>
      </c>
    </row>
    <row r="1609">
      <c r="A1609" t="s">
        <v>30</v>
      </c>
      <c r="B1609" t="s">
        <v>774</v>
      </c>
      <c r="C1609" t="s">
        <v>776</v>
      </c>
      <c r="D1609" t="s">
        <v>1460</v>
      </c>
      <c r="E1609" s="14" t="n">
        <v>0.5</v>
      </c>
      <c r="F1609" s="17" t="n">
        <v>114</v>
      </c>
      <c r="G1609" s="15" t="n">
        <v>-0.334565303179429</v>
      </c>
      <c r="H1609" s="16" t="n">
        <v>-0.371572412738697</v>
      </c>
    </row>
    <row r="1610">
      <c r="A1610" t="s">
        <v>32</v>
      </c>
      <c r="B1610" t="s">
        <v>777</v>
      </c>
      <c r="C1610" t="s">
        <v>778</v>
      </c>
      <c r="D1610" t="s">
        <v>1460</v>
      </c>
      <c r="E1610" s="14" t="n">
        <v>0.25</v>
      </c>
      <c r="F1610" s="17" t="n">
        <v>177</v>
      </c>
      <c r="G1610" s="15" t="n">
        <v>0.248630473842068</v>
      </c>
      <c r="H1610" s="16" t="n">
        <v>-0.0261321158169134</v>
      </c>
    </row>
    <row r="1611">
      <c r="A1611" t="s">
        <v>32</v>
      </c>
      <c r="B1611" t="s">
        <v>777</v>
      </c>
      <c r="C1611" t="s">
        <v>779</v>
      </c>
      <c r="D1611" t="s">
        <v>1460</v>
      </c>
      <c r="E1611" s="14" t="n">
        <v>0.25</v>
      </c>
      <c r="F1611" s="17" t="n">
        <v>22</v>
      </c>
      <c r="G1611" s="15" t="n">
        <v>0.179834950084663</v>
      </c>
      <c r="H1611" s="16" t="n">
        <v>0.173664592614749</v>
      </c>
    </row>
    <row r="1612">
      <c r="A1612" t="s">
        <v>30</v>
      </c>
      <c r="B1612" t="s">
        <v>780</v>
      </c>
      <c r="C1612" t="s">
        <v>781</v>
      </c>
      <c r="D1612" t="s">
        <v>1460</v>
      </c>
      <c r="E1612" s="14" t="n">
        <v>0</v>
      </c>
      <c r="F1612" s="17" t="n">
        <v>51</v>
      </c>
      <c r="G1612" s="15" t="n">
        <v>0</v>
      </c>
      <c r="H1612" s="16" t="n">
        <v>0</v>
      </c>
    </row>
    <row r="1613">
      <c r="A1613" t="s">
        <v>30</v>
      </c>
      <c r="B1613" t="s">
        <v>780</v>
      </c>
      <c r="C1613" t="s">
        <v>782</v>
      </c>
      <c r="D1613" t="s">
        <v>1460</v>
      </c>
      <c r="E1613" s="14" t="n">
        <v>0</v>
      </c>
      <c r="F1613" s="17" t="n">
        <v>99</v>
      </c>
      <c r="G1613" s="15" t="n">
        <v>0</v>
      </c>
      <c r="H1613" s="16" t="n">
        <v>0</v>
      </c>
    </row>
    <row r="1614">
      <c r="A1614" t="s">
        <v>30</v>
      </c>
      <c r="B1614" t="s">
        <v>783</v>
      </c>
      <c r="C1614" t="s">
        <v>784</v>
      </c>
      <c r="D1614" t="s">
        <v>1460</v>
      </c>
      <c r="E1614" s="14" t="n">
        <v>0.25</v>
      </c>
      <c r="F1614" s="17" t="n">
        <v>127</v>
      </c>
      <c r="G1614" s="15" t="n">
        <v>-0.0689093389542497</v>
      </c>
      <c r="H1614" s="16" t="n">
        <v>-0.24031542398458</v>
      </c>
    </row>
    <row r="1615">
      <c r="A1615" t="s">
        <v>30</v>
      </c>
      <c r="B1615" t="s">
        <v>783</v>
      </c>
      <c r="C1615" t="s">
        <v>785</v>
      </c>
      <c r="D1615" t="s">
        <v>1460</v>
      </c>
      <c r="E1615" s="14" t="n">
        <v>0.25</v>
      </c>
      <c r="F1615" s="17" t="n">
        <v>92</v>
      </c>
      <c r="G1615" s="15" t="n">
        <v>-0.249391012564956</v>
      </c>
      <c r="H1615" s="16" t="n">
        <v>-0.0174391184360313</v>
      </c>
    </row>
    <row r="1616">
      <c r="A1616" t="s">
        <v>31</v>
      </c>
      <c r="B1616" t="s">
        <v>786</v>
      </c>
      <c r="C1616" t="s">
        <v>787</v>
      </c>
      <c r="D1616" t="s">
        <v>1460</v>
      </c>
      <c r="E1616" s="14" t="n">
        <v>0.25</v>
      </c>
      <c r="F1616" s="17" t="n">
        <v>135</v>
      </c>
      <c r="G1616" s="15" t="n">
        <v>0</v>
      </c>
      <c r="H1616" s="16" t="n">
        <v>-0.25</v>
      </c>
    </row>
    <row r="1617">
      <c r="A1617" t="s">
        <v>31</v>
      </c>
      <c r="B1617" t="s">
        <v>786</v>
      </c>
      <c r="C1617" t="s">
        <v>788</v>
      </c>
      <c r="D1617" t="s">
        <v>1460</v>
      </c>
      <c r="E1617" s="14" t="n">
        <v>0.25</v>
      </c>
      <c r="F1617" s="17" t="n">
        <v>31</v>
      </c>
      <c r="G1617" s="15" t="n">
        <v>0.117367890696473</v>
      </c>
      <c r="H1617" s="16" t="n">
        <v>0.220736898214732</v>
      </c>
    </row>
    <row r="1618">
      <c r="A1618" t="s">
        <v>31</v>
      </c>
      <c r="B1618" t="s">
        <v>789</v>
      </c>
      <c r="C1618" t="s">
        <v>790</v>
      </c>
      <c r="D1618" t="s">
        <v>1460</v>
      </c>
      <c r="E1618" s="14" t="n">
        <v>0.25</v>
      </c>
      <c r="F1618" s="17" t="n">
        <v>110</v>
      </c>
      <c r="G1618" s="15" t="n">
        <v>-0.191511110779745</v>
      </c>
      <c r="H1618" s="16" t="n">
        <v>-0.160696902421635</v>
      </c>
    </row>
    <row r="1619">
      <c r="A1619" t="s">
        <v>31</v>
      </c>
      <c r="B1619" t="s">
        <v>789</v>
      </c>
      <c r="C1619" t="s">
        <v>791</v>
      </c>
      <c r="D1619" t="s">
        <v>1460</v>
      </c>
      <c r="E1619" s="14" t="n">
        <v>0.25</v>
      </c>
      <c r="F1619" s="17" t="n">
        <v>57</v>
      </c>
      <c r="G1619" s="15" t="n">
        <v>-0.10168416076895</v>
      </c>
      <c r="H1619" s="16" t="n">
        <v>0.22838636441065</v>
      </c>
    </row>
    <row r="1620">
      <c r="A1620" t="s">
        <v>32</v>
      </c>
      <c r="B1620" t="s">
        <v>792</v>
      </c>
      <c r="C1620" t="s">
        <v>793</v>
      </c>
      <c r="D1620" t="s">
        <v>1460</v>
      </c>
      <c r="E1620" s="14" t="n">
        <v>0</v>
      </c>
      <c r="F1620" s="17" t="n">
        <v>56</v>
      </c>
      <c r="G1620" s="15" t="n">
        <v>0</v>
      </c>
      <c r="H1620" s="16" t="n">
        <v>0</v>
      </c>
    </row>
    <row r="1621">
      <c r="A1621" t="s">
        <v>32</v>
      </c>
      <c r="B1621" t="s">
        <v>792</v>
      </c>
      <c r="C1621" t="s">
        <v>794</v>
      </c>
      <c r="D1621" t="s">
        <v>1460</v>
      </c>
      <c r="E1621" s="14" t="n">
        <v>0.5</v>
      </c>
      <c r="F1621" s="17" t="n">
        <v>131</v>
      </c>
      <c r="G1621" s="15" t="n">
        <v>-0.0695865504800329</v>
      </c>
      <c r="H1621" s="16" t="n">
        <v>-0.495134034370785</v>
      </c>
    </row>
    <row r="1622">
      <c r="A1622" t="s">
        <v>32</v>
      </c>
      <c r="B1622" t="s">
        <v>795</v>
      </c>
      <c r="C1622" t="s">
        <v>796</v>
      </c>
      <c r="D1622" t="s">
        <v>1460</v>
      </c>
      <c r="E1622" s="14" t="n">
        <v>0.25</v>
      </c>
      <c r="F1622" s="17" t="n">
        <v>63</v>
      </c>
      <c r="G1622" s="15" t="n">
        <v>-0.146946313073118</v>
      </c>
      <c r="H1622" s="16" t="n">
        <v>0.202254248593737</v>
      </c>
    </row>
    <row r="1623">
      <c r="A1623" t="s">
        <v>32</v>
      </c>
      <c r="B1623" t="s">
        <v>795</v>
      </c>
      <c r="C1623" t="s">
        <v>797</v>
      </c>
      <c r="D1623" t="s">
        <v>1460</v>
      </c>
      <c r="E1623" s="14" t="n">
        <v>0.25</v>
      </c>
      <c r="F1623" s="17" t="n">
        <v>96</v>
      </c>
      <c r="G1623" s="15" t="n">
        <v>-0.244536900183451</v>
      </c>
      <c r="H1623" s="16" t="n">
        <v>-0.0519779227044398</v>
      </c>
    </row>
    <row r="1624">
      <c r="A1624" t="s">
        <v>31</v>
      </c>
      <c r="B1624" t="s">
        <v>798</v>
      </c>
      <c r="C1624" t="s">
        <v>799</v>
      </c>
      <c r="D1624" t="s">
        <v>1460</v>
      </c>
      <c r="E1624" s="14" t="n">
        <v>0.5</v>
      </c>
      <c r="F1624" s="17" t="n">
        <v>25</v>
      </c>
      <c r="G1624" s="15" t="n">
        <v>0.32139380484327</v>
      </c>
      <c r="H1624" s="16" t="n">
        <v>0.383022221559489</v>
      </c>
    </row>
    <row r="1625">
      <c r="A1625" t="s">
        <v>31</v>
      </c>
      <c r="B1625" t="s">
        <v>798</v>
      </c>
      <c r="C1625" t="s">
        <v>800</v>
      </c>
      <c r="D1625" t="s">
        <v>1460</v>
      </c>
      <c r="E1625" s="14" t="n">
        <v>0.25</v>
      </c>
      <c r="F1625" s="17" t="n">
        <v>40</v>
      </c>
      <c r="G1625" s="15" t="n">
        <v>0.0434120444167326</v>
      </c>
      <c r="H1625" s="16" t="n">
        <v>0.246201938253052</v>
      </c>
    </row>
    <row r="1626">
      <c r="A1626" t="s">
        <v>31</v>
      </c>
      <c r="B1626" t="s">
        <v>801</v>
      </c>
      <c r="C1626" t="s">
        <v>802</v>
      </c>
      <c r="D1626" t="s">
        <v>1460</v>
      </c>
      <c r="E1626" s="14" t="n">
        <v>0.25</v>
      </c>
      <c r="F1626" s="17" t="n">
        <v>71</v>
      </c>
      <c r="G1626" s="15" t="n">
        <v>-0.19700268840168</v>
      </c>
      <c r="H1626" s="16" t="n">
        <v>0.153915368831415</v>
      </c>
    </row>
    <row r="1627">
      <c r="A1627" t="s">
        <v>31</v>
      </c>
      <c r="B1627" t="s">
        <v>801</v>
      </c>
      <c r="C1627" t="s">
        <v>803</v>
      </c>
      <c r="D1627" t="s">
        <v>1460</v>
      </c>
      <c r="E1627" s="14" t="n">
        <v>0.25</v>
      </c>
      <c r="F1627" s="17" t="n">
        <v>122</v>
      </c>
      <c r="G1627" s="15" t="n">
        <v>-0.109592786697269</v>
      </c>
      <c r="H1627" s="16" t="n">
        <v>-0.224698511574792</v>
      </c>
    </row>
    <row r="1628">
      <c r="A1628" t="s">
        <v>31</v>
      </c>
      <c r="B1628" t="s">
        <v>804</v>
      </c>
      <c r="C1628" t="s">
        <v>805</v>
      </c>
      <c r="D1628" t="s">
        <v>1460</v>
      </c>
      <c r="E1628" s="14" t="n">
        <v>0</v>
      </c>
      <c r="F1628" s="17" t="n">
        <v>144</v>
      </c>
      <c r="G1628" s="15" t="n">
        <v>0</v>
      </c>
      <c r="H1628" s="16" t="n">
        <v>0</v>
      </c>
    </row>
    <row r="1629">
      <c r="A1629" t="s">
        <v>31</v>
      </c>
      <c r="B1629" t="s">
        <v>806</v>
      </c>
      <c r="C1629" t="s">
        <v>807</v>
      </c>
      <c r="D1629" t="s">
        <v>1460</v>
      </c>
      <c r="E1629" s="14" t="n">
        <v>0.25</v>
      </c>
      <c r="F1629" s="17" t="n">
        <v>129</v>
      </c>
      <c r="G1629" s="15" t="n">
        <v>-0.0519779227044399</v>
      </c>
      <c r="H1629" s="16" t="n">
        <v>-0.244536900183451</v>
      </c>
    </row>
    <row r="1630">
      <c r="A1630" t="s">
        <v>31</v>
      </c>
      <c r="B1630" t="s">
        <v>806</v>
      </c>
      <c r="C1630" t="s">
        <v>808</v>
      </c>
      <c r="D1630" t="s">
        <v>1460</v>
      </c>
      <c r="E1630" s="14" t="n">
        <v>0.25</v>
      </c>
      <c r="F1630" s="17" t="n">
        <v>72</v>
      </c>
      <c r="G1630" s="15" t="n">
        <v>-0.202254248593737</v>
      </c>
      <c r="H1630" s="16" t="n">
        <v>0.146946313073118</v>
      </c>
    </row>
    <row r="1631">
      <c r="A1631" t="s">
        <v>32</v>
      </c>
      <c r="B1631" t="s">
        <v>809</v>
      </c>
      <c r="C1631" t="s">
        <v>810</v>
      </c>
      <c r="D1631" t="s">
        <v>1460</v>
      </c>
      <c r="E1631" s="14" t="n">
        <v>0.25</v>
      </c>
      <c r="F1631" s="17" t="n">
        <v>131</v>
      </c>
      <c r="G1631" s="15" t="n">
        <v>-0.0347932752400165</v>
      </c>
      <c r="H1631" s="16" t="n">
        <v>-0.247567017185393</v>
      </c>
    </row>
    <row r="1632">
      <c r="A1632" t="s">
        <v>32</v>
      </c>
      <c r="B1632" t="s">
        <v>809</v>
      </c>
      <c r="C1632" t="s">
        <v>811</v>
      </c>
      <c r="D1632" t="s">
        <v>1460</v>
      </c>
      <c r="E1632" s="14" t="n">
        <v>0.25</v>
      </c>
      <c r="F1632" s="17" t="n">
        <v>17</v>
      </c>
      <c r="G1632" s="15" t="n">
        <v>0.20725939313876</v>
      </c>
      <c r="H1632" s="16" t="n">
        <v>0.139798225867687</v>
      </c>
    </row>
    <row r="1633">
      <c r="A1633" t="s">
        <v>30</v>
      </c>
      <c r="B1633" t="s">
        <v>812</v>
      </c>
      <c r="C1633" t="s">
        <v>813</v>
      </c>
      <c r="D1633" t="s">
        <v>1460</v>
      </c>
      <c r="E1633" s="14" t="n">
        <v>0.5</v>
      </c>
      <c r="F1633" s="17" t="n">
        <v>36</v>
      </c>
      <c r="G1633" s="15" t="n">
        <v>0.154508497187474</v>
      </c>
      <c r="H1633" s="16" t="n">
        <v>0.475528258147577</v>
      </c>
    </row>
    <row r="1634">
      <c r="A1634" t="s">
        <v>30</v>
      </c>
      <c r="B1634" t="s">
        <v>812</v>
      </c>
      <c r="C1634" t="s">
        <v>814</v>
      </c>
      <c r="D1634" t="s">
        <v>1460</v>
      </c>
      <c r="E1634" s="14" t="n">
        <v>0.25</v>
      </c>
      <c r="F1634" s="17" t="n">
        <v>125</v>
      </c>
      <c r="G1634" s="15" t="n">
        <v>-0.0855050358314173</v>
      </c>
      <c r="H1634" s="16" t="n">
        <v>-0.234923155196477</v>
      </c>
    </row>
    <row r="1635">
      <c r="A1635" t="s">
        <v>30</v>
      </c>
      <c r="B1635" t="s">
        <v>815</v>
      </c>
      <c r="C1635" t="s">
        <v>816</v>
      </c>
      <c r="D1635" t="s">
        <v>1460</v>
      </c>
      <c r="E1635" s="14" t="n">
        <v>0.25</v>
      </c>
      <c r="F1635" s="17" t="n">
        <v>54</v>
      </c>
      <c r="G1635" s="15" t="n">
        <v>-0.0772542485937368</v>
      </c>
      <c r="H1635" s="16" t="n">
        <v>0.237764129073788</v>
      </c>
    </row>
    <row r="1636">
      <c r="A1636" t="s">
        <v>30</v>
      </c>
      <c r="B1636" t="s">
        <v>815</v>
      </c>
      <c r="C1636" t="s">
        <v>817</v>
      </c>
      <c r="D1636" t="s">
        <v>1460</v>
      </c>
      <c r="E1636" s="14" t="n">
        <v>0.25</v>
      </c>
      <c r="F1636" s="17" t="n">
        <v>109</v>
      </c>
      <c r="G1636" s="15" t="n">
        <v>-0.197002688401681</v>
      </c>
      <c r="H1636" s="16" t="n">
        <v>-0.153915368831415</v>
      </c>
    </row>
    <row r="1637">
      <c r="A1637" t="s">
        <v>32</v>
      </c>
      <c r="B1637" t="s">
        <v>818</v>
      </c>
      <c r="C1637" t="s">
        <v>819</v>
      </c>
      <c r="D1637" t="s">
        <v>1460</v>
      </c>
      <c r="E1637" s="14" t="n">
        <v>0.25</v>
      </c>
      <c r="F1637" s="17" t="n">
        <v>15</v>
      </c>
      <c r="G1637" s="15" t="n">
        <v>0.21650635094611</v>
      </c>
      <c r="H1637" s="16" t="n">
        <v>0.125</v>
      </c>
    </row>
    <row r="1638">
      <c r="A1638" t="s">
        <v>31</v>
      </c>
      <c r="B1638" t="s">
        <v>820</v>
      </c>
      <c r="C1638" t="s">
        <v>821</v>
      </c>
      <c r="D1638" t="s">
        <v>1460</v>
      </c>
      <c r="E1638" s="14" t="n">
        <v>0.25</v>
      </c>
      <c r="F1638" s="17" t="n">
        <v>24</v>
      </c>
      <c r="G1638" s="15" t="n">
        <v>0.167282651589715</v>
      </c>
      <c r="H1638" s="16" t="n">
        <v>0.185786206369349</v>
      </c>
    </row>
    <row r="1639">
      <c r="A1639" t="s">
        <v>31</v>
      </c>
      <c r="B1639" t="s">
        <v>820</v>
      </c>
      <c r="C1639" t="s">
        <v>822</v>
      </c>
      <c r="D1639" t="s">
        <v>1460</v>
      </c>
      <c r="E1639" s="14" t="n">
        <v>0</v>
      </c>
      <c r="F1639" s="17" t="n">
        <v>90</v>
      </c>
      <c r="G1639" s="15" t="n">
        <v>0</v>
      </c>
      <c r="H1639" s="16" t="n">
        <v>0</v>
      </c>
    </row>
    <row r="1640">
      <c r="A1640" t="s">
        <v>30</v>
      </c>
      <c r="B1640" t="s">
        <v>823</v>
      </c>
      <c r="C1640" t="s">
        <v>824</v>
      </c>
      <c r="D1640" t="s">
        <v>1460</v>
      </c>
      <c r="E1640" s="14" t="n">
        <v>0.25</v>
      </c>
      <c r="F1640" s="17" t="n">
        <v>33</v>
      </c>
      <c r="G1640" s="15" t="n">
        <v>0.10168416076895</v>
      </c>
      <c r="H1640" s="16" t="n">
        <v>0.22838636441065</v>
      </c>
    </row>
    <row r="1641">
      <c r="A1641" t="s">
        <v>30</v>
      </c>
      <c r="B1641" t="s">
        <v>823</v>
      </c>
      <c r="C1641" t="s">
        <v>825</v>
      </c>
      <c r="D1641" t="s">
        <v>1460</v>
      </c>
      <c r="E1641" s="14" t="n">
        <v>0.25</v>
      </c>
      <c r="F1641" s="17" t="n">
        <v>151</v>
      </c>
      <c r="G1641" s="15" t="n">
        <v>0.132479816058301</v>
      </c>
      <c r="H1641" s="16" t="n">
        <v>-0.212012024039106</v>
      </c>
    </row>
    <row r="1642">
      <c r="A1642" t="s">
        <v>31</v>
      </c>
      <c r="B1642" t="s">
        <v>826</v>
      </c>
      <c r="C1642" t="s">
        <v>827</v>
      </c>
      <c r="D1642" t="s">
        <v>1460</v>
      </c>
      <c r="E1642" s="14" t="n">
        <v>0.25</v>
      </c>
      <c r="F1642" s="17" t="n">
        <v>126</v>
      </c>
      <c r="G1642" s="15" t="n">
        <v>-0.0772542485937369</v>
      </c>
      <c r="H1642" s="16" t="n">
        <v>-0.237764129073788</v>
      </c>
    </row>
    <row r="1643">
      <c r="A1643" t="s">
        <v>31</v>
      </c>
      <c r="B1643" t="s">
        <v>828</v>
      </c>
      <c r="C1643" t="s">
        <v>829</v>
      </c>
      <c r="D1643" t="s">
        <v>1460</v>
      </c>
      <c r="E1643" s="14" t="n">
        <v>0</v>
      </c>
      <c r="F1643" s="17" t="n">
        <v>8</v>
      </c>
      <c r="G1643" s="15" t="n">
        <v>0</v>
      </c>
      <c r="H1643" s="16" t="n">
        <v>0</v>
      </c>
    </row>
    <row r="1644">
      <c r="A1644" t="s">
        <v>30</v>
      </c>
      <c r="B1644" t="s">
        <v>830</v>
      </c>
      <c r="C1644" t="s">
        <v>831</v>
      </c>
      <c r="D1644" t="s">
        <v>1460</v>
      </c>
      <c r="E1644" s="14" t="n">
        <v>0.25</v>
      </c>
      <c r="F1644" s="17" t="n">
        <v>71</v>
      </c>
      <c r="G1644" s="15" t="n">
        <v>-0.19700268840168</v>
      </c>
      <c r="H1644" s="16" t="n">
        <v>0.153915368831415</v>
      </c>
    </row>
    <row r="1645">
      <c r="A1645" t="s">
        <v>30</v>
      </c>
      <c r="B1645" t="s">
        <v>830</v>
      </c>
      <c r="C1645" t="s">
        <v>832</v>
      </c>
      <c r="D1645" t="s">
        <v>1460</v>
      </c>
      <c r="E1645" s="14" t="n">
        <v>0</v>
      </c>
      <c r="F1645" s="17" t="n">
        <v>52</v>
      </c>
      <c r="G1645" s="15" t="n">
        <v>0</v>
      </c>
      <c r="H1645" s="16" t="n">
        <v>0</v>
      </c>
    </row>
    <row r="1646">
      <c r="A1646" t="s">
        <v>32</v>
      </c>
      <c r="B1646" t="s">
        <v>833</v>
      </c>
      <c r="C1646" t="s">
        <v>834</v>
      </c>
      <c r="D1646" t="s">
        <v>1460</v>
      </c>
      <c r="E1646" s="14" t="n">
        <v>0.75</v>
      </c>
      <c r="F1646" s="17" t="n">
        <v>80</v>
      </c>
      <c r="G1646" s="15" t="n">
        <v>-0.704769465589431</v>
      </c>
      <c r="H1646" s="16" t="n">
        <v>0.256515107494252</v>
      </c>
    </row>
    <row r="1647">
      <c r="A1647" t="s">
        <v>30</v>
      </c>
      <c r="B1647" t="s">
        <v>835</v>
      </c>
      <c r="C1647" t="s">
        <v>836</v>
      </c>
      <c r="D1647" t="s">
        <v>1460</v>
      </c>
      <c r="E1647" s="14" t="n">
        <v>0.5</v>
      </c>
      <c r="F1647" s="17" t="n">
        <v>32</v>
      </c>
      <c r="G1647" s="15" t="n">
        <v>0.219185573394539</v>
      </c>
      <c r="H1647" s="16" t="n">
        <v>0.449397023149584</v>
      </c>
    </row>
    <row r="1648">
      <c r="A1648" t="s">
        <v>30</v>
      </c>
      <c r="B1648" t="s">
        <v>835</v>
      </c>
      <c r="C1648" t="s">
        <v>837</v>
      </c>
      <c r="D1648" t="s">
        <v>1460</v>
      </c>
      <c r="E1648" s="14" t="n">
        <v>0.25</v>
      </c>
      <c r="F1648" s="17" t="n">
        <v>142</v>
      </c>
      <c r="G1648" s="15" t="n">
        <v>0.0604804738999169</v>
      </c>
      <c r="H1648" s="16" t="n">
        <v>-0.242573931568999</v>
      </c>
    </row>
    <row r="1649">
      <c r="A1649" t="s">
        <v>30</v>
      </c>
      <c r="B1649" t="s">
        <v>838</v>
      </c>
      <c r="C1649" t="s">
        <v>839</v>
      </c>
      <c r="D1649" t="s">
        <v>1460</v>
      </c>
      <c r="E1649" s="14" t="n">
        <v>0.25</v>
      </c>
      <c r="F1649" s="17" t="n">
        <v>106</v>
      </c>
      <c r="G1649" s="15" t="n">
        <v>-0.212012024039107</v>
      </c>
      <c r="H1649" s="16" t="n">
        <v>-0.132479816058301</v>
      </c>
    </row>
    <row r="1650">
      <c r="A1650" t="s">
        <v>31</v>
      </c>
      <c r="B1650" t="s">
        <v>840</v>
      </c>
      <c r="C1650" t="s">
        <v>841</v>
      </c>
      <c r="D1650" t="s">
        <v>1460</v>
      </c>
      <c r="E1650" s="14" t="n">
        <v>0.25</v>
      </c>
      <c r="F1650" s="17" t="n">
        <v>97</v>
      </c>
      <c r="G1650" s="15" t="n">
        <v>-0.242573931568999</v>
      </c>
      <c r="H1650" s="16" t="n">
        <v>-0.0604804738999169</v>
      </c>
    </row>
    <row r="1651">
      <c r="A1651" t="s">
        <v>30</v>
      </c>
      <c r="B1651" t="s">
        <v>842</v>
      </c>
      <c r="C1651" t="s">
        <v>843</v>
      </c>
      <c r="D1651" t="s">
        <v>1460</v>
      </c>
      <c r="E1651" s="14" t="n">
        <v>0.25</v>
      </c>
      <c r="F1651" s="17" t="n">
        <v>51</v>
      </c>
      <c r="G1651" s="15" t="n">
        <v>-0.0519779227044398</v>
      </c>
      <c r="H1651" s="16" t="n">
        <v>0.244536900183451</v>
      </c>
    </row>
    <row r="1652">
      <c r="A1652" t="s">
        <v>30</v>
      </c>
      <c r="B1652" t="s">
        <v>842</v>
      </c>
      <c r="C1652" t="s">
        <v>844</v>
      </c>
      <c r="D1652" t="s">
        <v>1460</v>
      </c>
      <c r="E1652" s="14" t="n">
        <v>0</v>
      </c>
      <c r="F1652" s="17" t="n">
        <v>45</v>
      </c>
      <c r="G1652" s="15" t="n">
        <v>0</v>
      </c>
      <c r="H1652" s="16" t="n">
        <v>0</v>
      </c>
    </row>
    <row r="1653">
      <c r="A1653" t="s">
        <v>32</v>
      </c>
      <c r="B1653" t="s">
        <v>845</v>
      </c>
      <c r="C1653" t="s">
        <v>846</v>
      </c>
      <c r="D1653" t="s">
        <v>1460</v>
      </c>
      <c r="E1653" s="14" t="n">
        <v>0.75</v>
      </c>
      <c r="F1653" s="17" t="n">
        <v>57</v>
      </c>
      <c r="G1653" s="15" t="n">
        <v>-0.30505248230685</v>
      </c>
      <c r="H1653" s="16" t="n">
        <v>0.685159093231951</v>
      </c>
    </row>
    <row r="1654">
      <c r="A1654" t="s">
        <v>32</v>
      </c>
      <c r="B1654" t="s">
        <v>845</v>
      </c>
      <c r="C1654" t="s">
        <v>847</v>
      </c>
      <c r="D1654" t="s">
        <v>1460</v>
      </c>
      <c r="E1654" s="14" t="n">
        <v>0.5</v>
      </c>
      <c r="F1654" s="17" t="n">
        <v>139</v>
      </c>
      <c r="G1654" s="15" t="n">
        <v>0.0695865504800327</v>
      </c>
      <c r="H1654" s="16" t="n">
        <v>-0.495134034370785</v>
      </c>
    </row>
    <row r="1655">
      <c r="A1655" t="s">
        <v>31</v>
      </c>
      <c r="B1655" t="s">
        <v>848</v>
      </c>
      <c r="C1655" t="s">
        <v>849</v>
      </c>
      <c r="D1655" t="s">
        <v>1460</v>
      </c>
      <c r="E1655" s="14" t="n">
        <v>0</v>
      </c>
      <c r="F1655" s="17" t="n">
        <v>125</v>
      </c>
      <c r="G1655" s="15" t="n">
        <v>0</v>
      </c>
      <c r="H1655" s="16" t="n">
        <v>0</v>
      </c>
    </row>
    <row r="1656">
      <c r="A1656" t="s">
        <v>31</v>
      </c>
      <c r="B1656" t="s">
        <v>848</v>
      </c>
      <c r="C1656" t="s">
        <v>850</v>
      </c>
      <c r="D1656" t="s">
        <v>1460</v>
      </c>
      <c r="E1656" s="14" t="n">
        <v>0.25</v>
      </c>
      <c r="F1656" s="17" t="n">
        <v>80</v>
      </c>
      <c r="G1656" s="15" t="n">
        <v>-0.234923155196477</v>
      </c>
      <c r="H1656" s="16" t="n">
        <v>0.0855050358314172</v>
      </c>
    </row>
    <row r="1657">
      <c r="A1657" t="s">
        <v>31</v>
      </c>
      <c r="B1657" t="s">
        <v>851</v>
      </c>
      <c r="C1657" t="s">
        <v>852</v>
      </c>
      <c r="D1657" t="s">
        <v>1460</v>
      </c>
      <c r="E1657" s="14" t="n">
        <v>0.25</v>
      </c>
      <c r="F1657" s="17" t="n">
        <v>50</v>
      </c>
      <c r="G1657" s="15" t="n">
        <v>-0.0434120444167326</v>
      </c>
      <c r="H1657" s="16" t="n">
        <v>0.246201938253052</v>
      </c>
    </row>
    <row r="1658">
      <c r="A1658" t="s">
        <v>31</v>
      </c>
      <c r="B1658" t="s">
        <v>851</v>
      </c>
      <c r="C1658" t="s">
        <v>853</v>
      </c>
      <c r="D1658" t="s">
        <v>1460</v>
      </c>
      <c r="E1658" s="14" t="n">
        <v>0.25</v>
      </c>
      <c r="F1658" s="17" t="n">
        <v>148</v>
      </c>
      <c r="G1658" s="15" t="n">
        <v>0.109592786697269</v>
      </c>
      <c r="H1658" s="16" t="n">
        <v>-0.224698511574792</v>
      </c>
    </row>
    <row r="1659">
      <c r="A1659" t="s">
        <v>32</v>
      </c>
      <c r="B1659" t="s">
        <v>854</v>
      </c>
      <c r="C1659" t="s">
        <v>855</v>
      </c>
      <c r="D1659" t="s">
        <v>1460</v>
      </c>
      <c r="E1659" s="14" t="n">
        <v>0.25</v>
      </c>
      <c r="F1659" s="17" t="n">
        <v>133</v>
      </c>
      <c r="G1659" s="15" t="n">
        <v>-0.0174391184360314</v>
      </c>
      <c r="H1659" s="16" t="n">
        <v>-0.249391012564956</v>
      </c>
    </row>
    <row r="1660">
      <c r="A1660" t="s">
        <v>32</v>
      </c>
      <c r="B1660" t="s">
        <v>854</v>
      </c>
      <c r="C1660" t="s">
        <v>856</v>
      </c>
      <c r="D1660" t="s">
        <v>1460</v>
      </c>
      <c r="E1660" s="14" t="n">
        <v>0.25</v>
      </c>
      <c r="F1660" s="17" t="n">
        <v>39</v>
      </c>
      <c r="G1660" s="15" t="n">
        <v>0.0519779227044398</v>
      </c>
      <c r="H1660" s="16" t="n">
        <v>0.244536900183451</v>
      </c>
    </row>
    <row r="1661">
      <c r="A1661" t="s">
        <v>30</v>
      </c>
      <c r="B1661" t="s">
        <v>857</v>
      </c>
      <c r="C1661" t="s">
        <v>858</v>
      </c>
      <c r="D1661" t="s">
        <v>1460</v>
      </c>
      <c r="E1661" s="14" t="n">
        <v>0.5</v>
      </c>
      <c r="F1661" s="17" t="n">
        <v>37</v>
      </c>
      <c r="G1661" s="15" t="n">
        <v>0.1378186779085</v>
      </c>
      <c r="H1661" s="16" t="n">
        <v>0.480630847969159</v>
      </c>
    </row>
    <row r="1662">
      <c r="A1662" t="s">
        <v>30</v>
      </c>
      <c r="B1662" t="s">
        <v>857</v>
      </c>
      <c r="C1662" t="s">
        <v>859</v>
      </c>
      <c r="D1662" t="s">
        <v>1460</v>
      </c>
      <c r="E1662" s="14" t="n">
        <v>0.25</v>
      </c>
      <c r="F1662" s="17" t="n">
        <v>161</v>
      </c>
      <c r="G1662" s="15" t="n">
        <v>0.197002688401681</v>
      </c>
      <c r="H1662" s="16" t="n">
        <v>-0.153915368831415</v>
      </c>
    </row>
    <row r="1663">
      <c r="A1663" t="s">
        <v>30</v>
      </c>
      <c r="B1663" t="s">
        <v>860</v>
      </c>
      <c r="C1663" t="s">
        <v>861</v>
      </c>
      <c r="D1663" t="s">
        <v>1460</v>
      </c>
      <c r="E1663" s="14" t="n">
        <v>0.25</v>
      </c>
      <c r="F1663" s="17" t="n">
        <v>121</v>
      </c>
      <c r="G1663" s="15" t="n">
        <v>-0.117367890696473</v>
      </c>
      <c r="H1663" s="16" t="n">
        <v>-0.220736898214732</v>
      </c>
    </row>
    <row r="1664">
      <c r="A1664" t="s">
        <v>30</v>
      </c>
      <c r="B1664" t="s">
        <v>860</v>
      </c>
      <c r="C1664" t="s">
        <v>862</v>
      </c>
      <c r="D1664" t="s">
        <v>1460</v>
      </c>
      <c r="E1664" s="14" t="n">
        <v>0.25</v>
      </c>
      <c r="F1664" s="17" t="n">
        <v>37</v>
      </c>
      <c r="G1664" s="15" t="n">
        <v>0.0689093389542498</v>
      </c>
      <c r="H1664" s="16" t="n">
        <v>0.24031542398458</v>
      </c>
    </row>
    <row r="1665">
      <c r="A1665" t="s">
        <v>31</v>
      </c>
      <c r="B1665" t="s">
        <v>863</v>
      </c>
      <c r="C1665" t="s">
        <v>864</v>
      </c>
      <c r="D1665" t="s">
        <v>1460</v>
      </c>
      <c r="E1665" s="14" t="n">
        <v>0.25</v>
      </c>
      <c r="F1665" s="17" t="n">
        <v>61</v>
      </c>
      <c r="G1665" s="15" t="n">
        <v>-0.132479816058301</v>
      </c>
      <c r="H1665" s="16" t="n">
        <v>0.212012024039107</v>
      </c>
    </row>
    <row r="1666">
      <c r="A1666" t="s">
        <v>31</v>
      </c>
      <c r="B1666" t="s">
        <v>863</v>
      </c>
      <c r="C1666" t="s">
        <v>865</v>
      </c>
      <c r="D1666" t="s">
        <v>1460</v>
      </c>
      <c r="E1666" s="14" t="n">
        <v>0.25</v>
      </c>
      <c r="F1666" s="17" t="n">
        <v>121</v>
      </c>
      <c r="G1666" s="15" t="n">
        <v>-0.117367890696473</v>
      </c>
      <c r="H1666" s="16" t="n">
        <v>-0.220736898214732</v>
      </c>
    </row>
    <row r="1667">
      <c r="A1667" t="s">
        <v>30</v>
      </c>
      <c r="B1667" t="s">
        <v>866</v>
      </c>
      <c r="C1667" t="s">
        <v>867</v>
      </c>
      <c r="D1667" t="s">
        <v>1460</v>
      </c>
      <c r="E1667" s="14" t="n">
        <v>0.5</v>
      </c>
      <c r="F1667" s="17" t="n">
        <v>40</v>
      </c>
      <c r="G1667" s="15" t="n">
        <v>0.0868240888334652</v>
      </c>
      <c r="H1667" s="16" t="n">
        <v>0.492403876506104</v>
      </c>
    </row>
    <row r="1668">
      <c r="A1668" t="s">
        <v>32</v>
      </c>
      <c r="B1668" t="s">
        <v>868</v>
      </c>
      <c r="C1668" t="s">
        <v>869</v>
      </c>
      <c r="D1668" t="s">
        <v>1460</v>
      </c>
      <c r="E1668" s="14" t="n">
        <v>0.25</v>
      </c>
      <c r="F1668" s="17" t="n">
        <v>83</v>
      </c>
      <c r="G1668" s="15" t="n">
        <v>-0.242573931568999</v>
      </c>
      <c r="H1668" s="16" t="n">
        <v>0.0604804738999169</v>
      </c>
    </row>
    <row r="1669">
      <c r="A1669" t="s">
        <v>31</v>
      </c>
      <c r="B1669" t="s">
        <v>870</v>
      </c>
      <c r="C1669" t="s">
        <v>871</v>
      </c>
      <c r="D1669" t="s">
        <v>1460</v>
      </c>
      <c r="E1669" s="14" t="n">
        <v>0</v>
      </c>
      <c r="F1669" s="17" t="n">
        <v>129</v>
      </c>
      <c r="G1669" s="15" t="n">
        <v>0</v>
      </c>
      <c r="H1669" s="16" t="n">
        <v>0</v>
      </c>
    </row>
    <row r="1670">
      <c r="A1670" t="s">
        <v>31</v>
      </c>
      <c r="B1670" t="s">
        <v>872</v>
      </c>
      <c r="C1670" t="s">
        <v>873</v>
      </c>
      <c r="D1670" t="s">
        <v>1460</v>
      </c>
      <c r="E1670" s="14" t="n">
        <v>0.25</v>
      </c>
      <c r="F1670" s="17" t="n">
        <v>144</v>
      </c>
      <c r="G1670" s="15" t="n">
        <v>0.0772542485937368</v>
      </c>
      <c r="H1670" s="16" t="n">
        <v>-0.237764129073788</v>
      </c>
    </row>
    <row r="1671">
      <c r="A1671" t="s">
        <v>31</v>
      </c>
      <c r="B1671" t="s">
        <v>872</v>
      </c>
      <c r="C1671" t="s">
        <v>874</v>
      </c>
      <c r="D1671" t="s">
        <v>1460</v>
      </c>
      <c r="E1671" s="14" t="n">
        <v>0.25</v>
      </c>
      <c r="F1671" s="17" t="n">
        <v>47</v>
      </c>
      <c r="G1671" s="15" t="n">
        <v>-0.0174391184360313</v>
      </c>
      <c r="H1671" s="16" t="n">
        <v>0.249391012564956</v>
      </c>
    </row>
    <row r="1672">
      <c r="A1672" t="s">
        <v>32</v>
      </c>
      <c r="B1672" t="s">
        <v>875</v>
      </c>
      <c r="C1672" t="s">
        <v>876</v>
      </c>
      <c r="D1672" t="s">
        <v>1460</v>
      </c>
      <c r="E1672" s="14" t="n">
        <v>0.25</v>
      </c>
      <c r="F1672" s="17" t="n">
        <v>165</v>
      </c>
      <c r="G1672" s="15" t="n">
        <v>0.21650635094611</v>
      </c>
      <c r="H1672" s="16" t="n">
        <v>-0.125</v>
      </c>
    </row>
    <row r="1673">
      <c r="A1673" t="s">
        <v>32</v>
      </c>
      <c r="B1673" t="s">
        <v>875</v>
      </c>
      <c r="C1673" t="s">
        <v>877</v>
      </c>
      <c r="D1673" t="s">
        <v>1460</v>
      </c>
      <c r="E1673" s="14" t="n">
        <v>0.25</v>
      </c>
      <c r="F1673" s="17" t="n">
        <v>7</v>
      </c>
      <c r="G1673" s="15" t="n">
        <v>0.242573931568999</v>
      </c>
      <c r="H1673" s="16" t="n">
        <v>0.0604804738999169</v>
      </c>
    </row>
    <row r="1674">
      <c r="A1674" t="s">
        <v>31</v>
      </c>
      <c r="B1674" t="s">
        <v>878</v>
      </c>
      <c r="C1674" t="s">
        <v>879</v>
      </c>
      <c r="D1674" t="s">
        <v>1460</v>
      </c>
      <c r="E1674" s="14" t="n">
        <v>0.25</v>
      </c>
      <c r="F1674" s="17" t="n">
        <v>106</v>
      </c>
      <c r="G1674" s="15" t="n">
        <v>-0.212012024039107</v>
      </c>
      <c r="H1674" s="16" t="n">
        <v>-0.132479816058301</v>
      </c>
    </row>
    <row r="1675">
      <c r="A1675" t="s">
        <v>31</v>
      </c>
      <c r="B1675" t="s">
        <v>878</v>
      </c>
      <c r="C1675" t="s">
        <v>880</v>
      </c>
      <c r="D1675" t="s">
        <v>1460</v>
      </c>
      <c r="E1675" s="14" t="n">
        <v>0</v>
      </c>
      <c r="F1675" s="17" t="n">
        <v>7</v>
      </c>
      <c r="G1675" s="15" t="n">
        <v>0</v>
      </c>
      <c r="H1675" s="16" t="n">
        <v>0</v>
      </c>
    </row>
    <row r="1676">
      <c r="A1676" t="s">
        <v>32</v>
      </c>
      <c r="B1676" t="s">
        <v>881</v>
      </c>
      <c r="C1676" t="s">
        <v>882</v>
      </c>
      <c r="D1676" t="s">
        <v>1460</v>
      </c>
      <c r="E1676" s="14" t="n">
        <v>0.25</v>
      </c>
      <c r="F1676" s="17" t="n">
        <v>64</v>
      </c>
      <c r="G1676" s="15" t="n">
        <v>-0.153915368831415</v>
      </c>
      <c r="H1676" s="16" t="n">
        <v>0.197002688401681</v>
      </c>
    </row>
    <row r="1677">
      <c r="A1677" t="s">
        <v>30</v>
      </c>
      <c r="B1677" t="s">
        <v>883</v>
      </c>
      <c r="C1677" t="s">
        <v>884</v>
      </c>
      <c r="D1677" t="s">
        <v>1460</v>
      </c>
      <c r="E1677" s="14" t="n">
        <v>0.25</v>
      </c>
      <c r="F1677" s="17" t="n">
        <v>167</v>
      </c>
      <c r="G1677" s="15" t="n">
        <v>0.224698511574792</v>
      </c>
      <c r="H1677" s="16" t="n">
        <v>-0.109592786697269</v>
      </c>
    </row>
    <row r="1678">
      <c r="A1678" t="s">
        <v>30</v>
      </c>
      <c r="B1678" t="s">
        <v>883</v>
      </c>
      <c r="C1678" t="s">
        <v>885</v>
      </c>
      <c r="D1678" t="s">
        <v>1460</v>
      </c>
      <c r="E1678" s="14" t="n">
        <v>0.25</v>
      </c>
      <c r="F1678" s="17" t="n">
        <v>174</v>
      </c>
      <c r="G1678" s="15" t="n">
        <v>0.244536900183451</v>
      </c>
      <c r="H1678" s="16" t="n">
        <v>-0.0519779227044398</v>
      </c>
    </row>
    <row r="1679">
      <c r="A1679" t="s">
        <v>30</v>
      </c>
      <c r="B1679" t="s">
        <v>886</v>
      </c>
      <c r="C1679" t="s">
        <v>887</v>
      </c>
      <c r="D1679" t="s">
        <v>1460</v>
      </c>
      <c r="E1679" s="14" t="n">
        <v>1</v>
      </c>
      <c r="F1679" s="17" t="n">
        <v>93</v>
      </c>
      <c r="G1679" s="15" t="n">
        <v>-0.994521895368273</v>
      </c>
      <c r="H1679" s="16" t="n">
        <v>-0.104528463267654</v>
      </c>
    </row>
    <row r="1680">
      <c r="A1680" t="s">
        <v>30</v>
      </c>
      <c r="B1680" t="s">
        <v>886</v>
      </c>
      <c r="C1680" t="s">
        <v>888</v>
      </c>
      <c r="D1680" t="s">
        <v>1460</v>
      </c>
      <c r="E1680" s="14" t="n">
        <v>0.75</v>
      </c>
      <c r="F1680" s="17" t="n">
        <v>76</v>
      </c>
      <c r="G1680" s="15" t="n">
        <v>-0.662210694644195</v>
      </c>
      <c r="H1680" s="16" t="n">
        <v>0.352103672089418</v>
      </c>
    </row>
    <row r="1681">
      <c r="A1681" t="s">
        <v>31</v>
      </c>
      <c r="B1681" t="s">
        <v>889</v>
      </c>
      <c r="C1681" t="s">
        <v>890</v>
      </c>
      <c r="D1681" t="s">
        <v>1460</v>
      </c>
      <c r="E1681" s="14" t="n">
        <v>0.25</v>
      </c>
      <c r="F1681" s="17" t="n">
        <v>65</v>
      </c>
      <c r="G1681" s="15" t="n">
        <v>-0.160696902421635</v>
      </c>
      <c r="H1681" s="16" t="n">
        <v>0.191511110779745</v>
      </c>
    </row>
    <row r="1682">
      <c r="A1682" t="s">
        <v>31</v>
      </c>
      <c r="B1682" t="s">
        <v>889</v>
      </c>
      <c r="C1682" t="s">
        <v>891</v>
      </c>
      <c r="D1682" t="s">
        <v>1460</v>
      </c>
      <c r="E1682" s="14" t="n">
        <v>0.25</v>
      </c>
      <c r="F1682" s="17" t="n">
        <v>120</v>
      </c>
      <c r="G1682" s="15" t="n">
        <v>-0.125</v>
      </c>
      <c r="H1682" s="16" t="n">
        <v>-0.21650635094611</v>
      </c>
    </row>
    <row r="1683">
      <c r="A1683" t="s">
        <v>32</v>
      </c>
      <c r="B1683" t="s">
        <v>892</v>
      </c>
      <c r="C1683" t="s">
        <v>893</v>
      </c>
      <c r="D1683" t="s">
        <v>1460</v>
      </c>
      <c r="E1683" s="14" t="n">
        <v>0</v>
      </c>
      <c r="F1683" s="17" t="n">
        <v>114</v>
      </c>
      <c r="G1683" s="15" t="n">
        <v>0</v>
      </c>
      <c r="H1683" s="16" t="n">
        <v>0</v>
      </c>
    </row>
    <row r="1684">
      <c r="A1684" t="s">
        <v>32</v>
      </c>
      <c r="B1684" t="s">
        <v>892</v>
      </c>
      <c r="C1684" t="s">
        <v>894</v>
      </c>
      <c r="D1684" t="s">
        <v>1460</v>
      </c>
      <c r="E1684" s="14" t="n">
        <v>0.25</v>
      </c>
      <c r="F1684" s="17" t="n">
        <v>125</v>
      </c>
      <c r="G1684" s="15" t="n">
        <v>-0.0855050358314173</v>
      </c>
      <c r="H1684" s="16" t="n">
        <v>-0.234923155196477</v>
      </c>
    </row>
    <row r="1685">
      <c r="A1685" t="s">
        <v>32</v>
      </c>
      <c r="B1685" t="s">
        <v>895</v>
      </c>
      <c r="C1685" t="s">
        <v>896</v>
      </c>
      <c r="D1685" t="s">
        <v>1460</v>
      </c>
      <c r="E1685" s="14" t="n">
        <v>0.25</v>
      </c>
      <c r="F1685" s="17" t="n">
        <v>5</v>
      </c>
      <c r="G1685" s="15" t="n">
        <v>0.246201938253052</v>
      </c>
      <c r="H1685" s="16" t="n">
        <v>0.0434120444167326</v>
      </c>
    </row>
    <row r="1686">
      <c r="A1686" t="s">
        <v>32</v>
      </c>
      <c r="B1686" t="s">
        <v>895</v>
      </c>
      <c r="C1686" t="s">
        <v>897</v>
      </c>
      <c r="D1686" t="s">
        <v>1460</v>
      </c>
      <c r="E1686" s="14" t="n">
        <v>0.25</v>
      </c>
      <c r="F1686" s="17" t="n">
        <v>165</v>
      </c>
      <c r="G1686" s="15" t="n">
        <v>0.21650635094611</v>
      </c>
      <c r="H1686" s="16" t="n">
        <v>-0.125</v>
      </c>
    </row>
    <row r="1687">
      <c r="A1687" t="s">
        <v>30</v>
      </c>
      <c r="B1687" t="s">
        <v>898</v>
      </c>
      <c r="C1687" t="s">
        <v>899</v>
      </c>
      <c r="D1687" t="s">
        <v>1460</v>
      </c>
      <c r="E1687" s="14" t="n">
        <v>0.25</v>
      </c>
      <c r="F1687" s="17" t="n">
        <v>120</v>
      </c>
      <c r="G1687" s="15" t="n">
        <v>-0.125</v>
      </c>
      <c r="H1687" s="16" t="n">
        <v>-0.21650635094611</v>
      </c>
    </row>
    <row r="1688">
      <c r="A1688" t="s">
        <v>30</v>
      </c>
      <c r="B1688" t="s">
        <v>898</v>
      </c>
      <c r="C1688" t="s">
        <v>900</v>
      </c>
      <c r="D1688" t="s">
        <v>1460</v>
      </c>
      <c r="E1688" s="14" t="n">
        <v>0.25</v>
      </c>
      <c r="F1688" s="17" t="n">
        <v>53</v>
      </c>
      <c r="G1688" s="15" t="n">
        <v>-0.0689093389542498</v>
      </c>
      <c r="H1688" s="16" t="n">
        <v>0.24031542398458</v>
      </c>
    </row>
    <row r="1689">
      <c r="A1689" t="s">
        <v>32</v>
      </c>
      <c r="B1689" t="s">
        <v>901</v>
      </c>
      <c r="C1689" t="s">
        <v>902</v>
      </c>
      <c r="D1689" t="s">
        <v>1460</v>
      </c>
      <c r="E1689" s="14" t="n">
        <v>0.5</v>
      </c>
      <c r="F1689" s="17" t="n">
        <v>95</v>
      </c>
      <c r="G1689" s="15" t="n">
        <v>-0.492403876506104</v>
      </c>
      <c r="H1689" s="16" t="n">
        <v>-0.0868240888334653</v>
      </c>
    </row>
    <row r="1690">
      <c r="A1690" t="s">
        <v>31</v>
      </c>
      <c r="B1690" t="s">
        <v>903</v>
      </c>
      <c r="C1690" t="s">
        <v>904</v>
      </c>
      <c r="D1690" t="s">
        <v>1460</v>
      </c>
      <c r="E1690" s="14" t="n">
        <v>0.25</v>
      </c>
      <c r="F1690" s="17" t="n">
        <v>39</v>
      </c>
      <c r="G1690" s="15" t="n">
        <v>0.0519779227044398</v>
      </c>
      <c r="H1690" s="16" t="n">
        <v>0.244536900183451</v>
      </c>
    </row>
    <row r="1691">
      <c r="A1691" t="s">
        <v>31</v>
      </c>
      <c r="B1691" t="s">
        <v>903</v>
      </c>
      <c r="C1691" t="s">
        <v>905</v>
      </c>
      <c r="D1691" t="s">
        <v>1460</v>
      </c>
      <c r="E1691" s="14" t="n">
        <v>0</v>
      </c>
      <c r="F1691" s="17" t="n">
        <v>106</v>
      </c>
      <c r="G1691" s="15" t="n">
        <v>0</v>
      </c>
      <c r="H1691" s="16" t="n">
        <v>0</v>
      </c>
    </row>
    <row r="1692">
      <c r="A1692" t="s">
        <v>32</v>
      </c>
      <c r="B1692" t="s">
        <v>906</v>
      </c>
      <c r="C1692" t="s">
        <v>907</v>
      </c>
      <c r="D1692" t="s">
        <v>1460</v>
      </c>
      <c r="E1692" s="14" t="n">
        <v>0.25</v>
      </c>
      <c r="F1692" s="17" t="n">
        <v>59</v>
      </c>
      <c r="G1692" s="15" t="n">
        <v>-0.117367890696473</v>
      </c>
      <c r="H1692" s="16" t="n">
        <v>0.220736898214732</v>
      </c>
    </row>
    <row r="1693">
      <c r="A1693" t="s">
        <v>32</v>
      </c>
      <c r="B1693" t="s">
        <v>906</v>
      </c>
      <c r="C1693" t="s">
        <v>908</v>
      </c>
      <c r="D1693" t="s">
        <v>1460</v>
      </c>
      <c r="E1693" s="14" t="n">
        <v>0.25</v>
      </c>
      <c r="F1693" s="17" t="n">
        <v>107</v>
      </c>
      <c r="G1693" s="15" t="n">
        <v>-0.20725939313876</v>
      </c>
      <c r="H1693" s="16" t="n">
        <v>-0.139798225867687</v>
      </c>
    </row>
    <row r="1694">
      <c r="A1694" t="s">
        <v>30</v>
      </c>
      <c r="B1694" t="s">
        <v>909</v>
      </c>
      <c r="C1694" t="s">
        <v>910</v>
      </c>
      <c r="D1694" t="s">
        <v>1460</v>
      </c>
      <c r="E1694" s="14" t="n">
        <v>0</v>
      </c>
      <c r="F1694" s="17" t="n">
        <v>82</v>
      </c>
      <c r="G1694" s="15" t="n">
        <v>0</v>
      </c>
      <c r="H1694" s="16" t="n">
        <v>0</v>
      </c>
    </row>
    <row r="1695">
      <c r="A1695" t="s">
        <v>32</v>
      </c>
      <c r="B1695" t="s">
        <v>911</v>
      </c>
      <c r="C1695" t="s">
        <v>912</v>
      </c>
      <c r="D1695" t="s">
        <v>1460</v>
      </c>
      <c r="E1695" s="14" t="n">
        <v>0</v>
      </c>
      <c r="F1695" s="17" t="n">
        <v>108</v>
      </c>
      <c r="G1695" s="15" t="n">
        <v>0</v>
      </c>
      <c r="H1695" s="16" t="n">
        <v>0</v>
      </c>
    </row>
    <row r="1696">
      <c r="A1696" t="s">
        <v>30</v>
      </c>
      <c r="B1696" t="s">
        <v>913</v>
      </c>
      <c r="C1696" t="s">
        <v>914</v>
      </c>
      <c r="D1696" t="s">
        <v>1460</v>
      </c>
      <c r="E1696" s="14" t="n">
        <v>0</v>
      </c>
      <c r="F1696" s="17" t="n">
        <v>166</v>
      </c>
      <c r="G1696" s="15" t="n">
        <v>0</v>
      </c>
      <c r="H1696" s="16" t="n">
        <v>0</v>
      </c>
    </row>
    <row r="1697">
      <c r="A1697" t="s">
        <v>30</v>
      </c>
      <c r="B1697" t="s">
        <v>913</v>
      </c>
      <c r="C1697" t="s">
        <v>915</v>
      </c>
      <c r="D1697" t="s">
        <v>1460</v>
      </c>
      <c r="E1697" s="14" t="n">
        <v>0</v>
      </c>
      <c r="F1697" s="17" t="n">
        <v>6</v>
      </c>
      <c r="G1697" s="15" t="n">
        <v>0</v>
      </c>
      <c r="H1697" s="16" t="n">
        <v>0</v>
      </c>
    </row>
    <row r="1698">
      <c r="A1698" t="s">
        <v>30</v>
      </c>
      <c r="B1698" t="s">
        <v>916</v>
      </c>
      <c r="C1698" t="s">
        <v>917</v>
      </c>
      <c r="D1698" t="s">
        <v>1460</v>
      </c>
      <c r="E1698" s="14" t="n">
        <v>0</v>
      </c>
      <c r="F1698" s="17" t="n">
        <v>166</v>
      </c>
      <c r="G1698" s="15" t="n">
        <v>0</v>
      </c>
      <c r="H1698" s="16" t="n">
        <v>0</v>
      </c>
    </row>
    <row r="1699">
      <c r="A1699" t="s">
        <v>30</v>
      </c>
      <c r="B1699" t="s">
        <v>916</v>
      </c>
      <c r="C1699" t="s">
        <v>918</v>
      </c>
      <c r="D1699" t="s">
        <v>1460</v>
      </c>
      <c r="E1699" s="14" t="n">
        <v>0.25</v>
      </c>
      <c r="F1699" s="17" t="n">
        <v>90</v>
      </c>
      <c r="G1699" s="15" t="n">
        <v>-0.25</v>
      </c>
      <c r="H1699" s="16" t="n">
        <v>0</v>
      </c>
    </row>
    <row r="1700">
      <c r="A1700" t="s">
        <v>30</v>
      </c>
      <c r="B1700" t="s">
        <v>919</v>
      </c>
      <c r="C1700" t="s">
        <v>920</v>
      </c>
      <c r="D1700" t="s">
        <v>1460</v>
      </c>
      <c r="E1700" s="14" t="n">
        <v>0.75</v>
      </c>
      <c r="F1700" s="17" t="n">
        <v>132</v>
      </c>
      <c r="G1700" s="15" t="n">
        <v>-0.0783963474507407</v>
      </c>
      <c r="H1700" s="16" t="n">
        <v>-0.745891421526205</v>
      </c>
    </row>
    <row r="1701">
      <c r="A1701" t="s">
        <v>30</v>
      </c>
      <c r="B1701" t="s">
        <v>921</v>
      </c>
      <c r="C1701" t="s">
        <v>922</v>
      </c>
      <c r="D1701" t="s">
        <v>1460</v>
      </c>
      <c r="E1701" s="14" t="n">
        <v>0.25</v>
      </c>
      <c r="F1701" s="17" t="n">
        <v>167</v>
      </c>
      <c r="G1701" s="15" t="n">
        <v>0.224698511574792</v>
      </c>
      <c r="H1701" s="16" t="n">
        <v>-0.109592786697269</v>
      </c>
    </row>
    <row r="1702">
      <c r="A1702" t="s">
        <v>30</v>
      </c>
      <c r="B1702" t="s">
        <v>921</v>
      </c>
      <c r="C1702" t="s">
        <v>923</v>
      </c>
      <c r="D1702" t="s">
        <v>1460</v>
      </c>
      <c r="E1702" s="14" t="n">
        <v>0.25</v>
      </c>
      <c r="F1702" s="17" t="n">
        <v>2</v>
      </c>
      <c r="G1702" s="15" t="n">
        <v>0.249391012564956</v>
      </c>
      <c r="H1702" s="16" t="n">
        <v>0.0174391184360313</v>
      </c>
    </row>
    <row r="1703">
      <c r="A1703" t="s">
        <v>30</v>
      </c>
      <c r="B1703" t="s">
        <v>924</v>
      </c>
      <c r="C1703" t="s">
        <v>925</v>
      </c>
      <c r="D1703" t="s">
        <v>1460</v>
      </c>
      <c r="E1703" s="14" t="n">
        <v>0</v>
      </c>
      <c r="F1703" s="17" t="n">
        <v>130</v>
      </c>
      <c r="G1703" s="15" t="n">
        <v>0</v>
      </c>
      <c r="H1703" s="16" t="n">
        <v>0</v>
      </c>
    </row>
    <row r="1704">
      <c r="A1704" t="s">
        <v>30</v>
      </c>
      <c r="B1704" t="s">
        <v>924</v>
      </c>
      <c r="C1704" t="s">
        <v>926</v>
      </c>
      <c r="D1704" t="s">
        <v>1460</v>
      </c>
      <c r="E1704" s="14" t="n">
        <v>0.5</v>
      </c>
      <c r="F1704" s="17" t="n">
        <v>127</v>
      </c>
      <c r="G1704" s="15" t="n">
        <v>-0.137818677908499</v>
      </c>
      <c r="H1704" s="16" t="n">
        <v>-0.48063084796916</v>
      </c>
    </row>
    <row r="1705">
      <c r="A1705" t="s">
        <v>30</v>
      </c>
      <c r="B1705" t="s">
        <v>927</v>
      </c>
      <c r="C1705" t="s">
        <v>928</v>
      </c>
      <c r="D1705" t="s">
        <v>1460</v>
      </c>
      <c r="E1705" s="14" t="n">
        <v>0</v>
      </c>
      <c r="F1705" s="17" t="n">
        <v>71</v>
      </c>
      <c r="G1705" s="15" t="n">
        <v>0</v>
      </c>
      <c r="H1705" s="16" t="n">
        <v>0</v>
      </c>
    </row>
    <row r="1706">
      <c r="A1706" t="s">
        <v>30</v>
      </c>
      <c r="B1706" t="s">
        <v>929</v>
      </c>
      <c r="C1706" t="s">
        <v>930</v>
      </c>
      <c r="D1706" t="s">
        <v>1460</v>
      </c>
      <c r="E1706" s="14" t="n">
        <v>0.25</v>
      </c>
      <c r="F1706" s="17" t="n">
        <v>114</v>
      </c>
      <c r="G1706" s="15" t="n">
        <v>-0.167282651589715</v>
      </c>
      <c r="H1706" s="16" t="n">
        <v>-0.185786206369349</v>
      </c>
    </row>
    <row r="1707">
      <c r="A1707" t="s">
        <v>30</v>
      </c>
      <c r="B1707" t="s">
        <v>929</v>
      </c>
      <c r="C1707" t="s">
        <v>931</v>
      </c>
      <c r="D1707" t="s">
        <v>1460</v>
      </c>
      <c r="E1707" s="14" t="n">
        <v>0.25</v>
      </c>
      <c r="F1707" s="17" t="n">
        <v>111</v>
      </c>
      <c r="G1707" s="15" t="n">
        <v>-0.185786206369349</v>
      </c>
      <c r="H1707" s="16" t="n">
        <v>-0.167282651589715</v>
      </c>
    </row>
    <row r="1708">
      <c r="A1708" t="s">
        <v>30</v>
      </c>
      <c r="B1708" t="s">
        <v>932</v>
      </c>
      <c r="C1708" t="s">
        <v>933</v>
      </c>
      <c r="D1708" t="s">
        <v>1460</v>
      </c>
      <c r="E1708" s="14" t="n">
        <v>0.25</v>
      </c>
      <c r="F1708" s="17" t="n">
        <v>2</v>
      </c>
      <c r="G1708" s="15" t="n">
        <v>0.249391012564956</v>
      </c>
      <c r="H1708" s="16" t="n">
        <v>0.0174391184360313</v>
      </c>
    </row>
    <row r="1709">
      <c r="A1709" t="s">
        <v>30</v>
      </c>
      <c r="B1709" t="s">
        <v>932</v>
      </c>
      <c r="C1709" t="s">
        <v>934</v>
      </c>
      <c r="D1709" t="s">
        <v>1460</v>
      </c>
      <c r="E1709" s="14" t="n">
        <v>0.25</v>
      </c>
      <c r="F1709" s="17" t="n">
        <v>170</v>
      </c>
      <c r="G1709" s="15" t="n">
        <v>0.234923155196477</v>
      </c>
      <c r="H1709" s="16" t="n">
        <v>-0.0855050358314172</v>
      </c>
    </row>
    <row r="1710">
      <c r="A1710" t="s">
        <v>31</v>
      </c>
      <c r="B1710" t="s">
        <v>935</v>
      </c>
      <c r="C1710" t="s">
        <v>936</v>
      </c>
      <c r="D1710" t="s">
        <v>1460</v>
      </c>
      <c r="E1710" s="14" t="n">
        <v>0.25</v>
      </c>
      <c r="F1710" s="17" t="n">
        <v>77</v>
      </c>
      <c r="G1710" s="15" t="n">
        <v>-0.224698511574792</v>
      </c>
      <c r="H1710" s="16" t="n">
        <v>0.109592786697269</v>
      </c>
    </row>
    <row r="1711">
      <c r="A1711" t="s">
        <v>31</v>
      </c>
      <c r="B1711" t="s">
        <v>937</v>
      </c>
      <c r="C1711" t="s">
        <v>938</v>
      </c>
      <c r="D1711" t="s">
        <v>1460</v>
      </c>
      <c r="E1711" s="14" t="n">
        <v>0.25</v>
      </c>
      <c r="F1711" s="17" t="n">
        <v>135</v>
      </c>
      <c r="G1711" s="15" t="n">
        <v>0</v>
      </c>
      <c r="H1711" s="16" t="n">
        <v>-0.25</v>
      </c>
    </row>
    <row r="1712">
      <c r="A1712" t="s">
        <v>31</v>
      </c>
      <c r="B1712" t="s">
        <v>939</v>
      </c>
      <c r="C1712" t="s">
        <v>940</v>
      </c>
      <c r="D1712" t="s">
        <v>1460</v>
      </c>
      <c r="E1712" s="14" t="n">
        <v>0.75</v>
      </c>
      <c r="F1712" s="17" t="n">
        <v>140</v>
      </c>
      <c r="G1712" s="15" t="n">
        <v>0.130236133250197</v>
      </c>
      <c r="H1712" s="16" t="n">
        <v>-0.738605814759156</v>
      </c>
    </row>
    <row r="1713">
      <c r="A1713" t="s">
        <v>30</v>
      </c>
      <c r="B1713" t="s">
        <v>941</v>
      </c>
      <c r="C1713" t="s">
        <v>942</v>
      </c>
      <c r="D1713" t="s">
        <v>1460</v>
      </c>
      <c r="E1713" s="14" t="n">
        <v>0.25</v>
      </c>
      <c r="F1713" s="17" t="n">
        <v>97</v>
      </c>
      <c r="G1713" s="15" t="n">
        <v>-0.242573931568999</v>
      </c>
      <c r="H1713" s="16" t="n">
        <v>-0.0604804738999169</v>
      </c>
    </row>
    <row r="1714">
      <c r="A1714" t="s">
        <v>30</v>
      </c>
      <c r="B1714" t="s">
        <v>941</v>
      </c>
      <c r="C1714" t="s">
        <v>943</v>
      </c>
      <c r="D1714" t="s">
        <v>1460</v>
      </c>
      <c r="E1714" s="14" t="n">
        <v>0.25</v>
      </c>
      <c r="F1714" s="17" t="n">
        <v>123</v>
      </c>
      <c r="G1714" s="15" t="n">
        <v>-0.10168416076895</v>
      </c>
      <c r="H1714" s="16" t="n">
        <v>-0.22838636441065</v>
      </c>
    </row>
    <row r="1715">
      <c r="A1715" t="s">
        <v>30</v>
      </c>
      <c r="B1715" t="s">
        <v>944</v>
      </c>
      <c r="C1715" t="s">
        <v>945</v>
      </c>
      <c r="D1715" t="s">
        <v>1460</v>
      </c>
      <c r="E1715" s="14" t="n">
        <v>0.25</v>
      </c>
      <c r="F1715" s="17" t="n">
        <v>36</v>
      </c>
      <c r="G1715" s="15" t="n">
        <v>0.0772542485937369</v>
      </c>
      <c r="H1715" s="16" t="n">
        <v>0.237764129073788</v>
      </c>
    </row>
    <row r="1716">
      <c r="A1716" t="s">
        <v>31</v>
      </c>
      <c r="B1716" t="s">
        <v>946</v>
      </c>
      <c r="C1716" t="s">
        <v>947</v>
      </c>
      <c r="D1716" t="s">
        <v>1460</v>
      </c>
      <c r="E1716" s="14" t="n">
        <v>0.5</v>
      </c>
      <c r="F1716" s="17" t="n">
        <v>18</v>
      </c>
      <c r="G1716" s="15" t="n">
        <v>0.404508497187474</v>
      </c>
      <c r="H1716" s="16" t="n">
        <v>0.293892626146237</v>
      </c>
    </row>
    <row r="1717">
      <c r="A1717" t="s">
        <v>31</v>
      </c>
      <c r="B1717" t="s">
        <v>946</v>
      </c>
      <c r="C1717" t="s">
        <v>948</v>
      </c>
      <c r="D1717" t="s">
        <v>1460</v>
      </c>
      <c r="E1717" s="14" t="n">
        <v>0.25</v>
      </c>
      <c r="F1717" s="17" t="n">
        <v>156</v>
      </c>
      <c r="G1717" s="15" t="n">
        <v>0.167282651589715</v>
      </c>
      <c r="H1717" s="16" t="n">
        <v>-0.185786206369349</v>
      </c>
    </row>
    <row r="1718">
      <c r="A1718" t="s">
        <v>32</v>
      </c>
      <c r="B1718" t="s">
        <v>949</v>
      </c>
      <c r="C1718" t="s">
        <v>950</v>
      </c>
      <c r="D1718" t="s">
        <v>1460</v>
      </c>
      <c r="E1718" s="14" t="n">
        <v>0</v>
      </c>
      <c r="F1718" s="17" t="n">
        <v>77</v>
      </c>
      <c r="G1718" s="15" t="n">
        <v>0</v>
      </c>
      <c r="H1718" s="16" t="n">
        <v>0</v>
      </c>
    </row>
    <row r="1719">
      <c r="A1719" t="s">
        <v>32</v>
      </c>
      <c r="B1719" t="s">
        <v>949</v>
      </c>
      <c r="C1719" t="s">
        <v>951</v>
      </c>
      <c r="D1719" t="s">
        <v>1460</v>
      </c>
      <c r="E1719" s="14" t="n">
        <v>0.25</v>
      </c>
      <c r="F1719" s="17" t="n">
        <v>177</v>
      </c>
      <c r="G1719" s="15" t="n">
        <v>0.248630473842068</v>
      </c>
      <c r="H1719" s="16" t="n">
        <v>-0.0261321158169134</v>
      </c>
    </row>
    <row r="1720">
      <c r="A1720" t="s">
        <v>32</v>
      </c>
      <c r="B1720" t="s">
        <v>952</v>
      </c>
      <c r="C1720" t="s">
        <v>953</v>
      </c>
      <c r="D1720" t="s">
        <v>1460</v>
      </c>
      <c r="E1720" s="14" t="n">
        <v>0.25</v>
      </c>
      <c r="F1720" s="17" t="n">
        <v>75</v>
      </c>
      <c r="G1720" s="15" t="n">
        <v>-0.21650635094611</v>
      </c>
      <c r="H1720" s="16" t="n">
        <v>0.125</v>
      </c>
    </row>
    <row r="1721">
      <c r="A1721" t="s">
        <v>32</v>
      </c>
      <c r="B1721" t="s">
        <v>952</v>
      </c>
      <c r="C1721" t="s">
        <v>954</v>
      </c>
      <c r="D1721" t="s">
        <v>1460</v>
      </c>
      <c r="E1721" s="14" t="n">
        <v>0</v>
      </c>
      <c r="F1721" s="17" t="n">
        <v>69</v>
      </c>
      <c r="G1721" s="15" t="n">
        <v>0</v>
      </c>
      <c r="H1721" s="16" t="n">
        <v>0</v>
      </c>
    </row>
    <row r="1722">
      <c r="A1722" t="s">
        <v>32</v>
      </c>
      <c r="B1722" t="s">
        <v>955</v>
      </c>
      <c r="C1722" t="s">
        <v>956</v>
      </c>
      <c r="D1722" t="s">
        <v>1460</v>
      </c>
      <c r="E1722" s="14" t="n">
        <v>0.25</v>
      </c>
      <c r="F1722" s="17" t="n">
        <v>66</v>
      </c>
      <c r="G1722" s="15" t="n">
        <v>-0.167282651589714</v>
      </c>
      <c r="H1722" s="16" t="n">
        <v>0.185786206369349</v>
      </c>
    </row>
    <row r="1723">
      <c r="A1723" t="s">
        <v>32</v>
      </c>
      <c r="B1723" t="s">
        <v>955</v>
      </c>
      <c r="C1723" t="s">
        <v>957</v>
      </c>
      <c r="D1723" t="s">
        <v>1460</v>
      </c>
      <c r="E1723" s="14" t="n">
        <v>0</v>
      </c>
      <c r="F1723" s="17" t="n">
        <v>41</v>
      </c>
      <c r="G1723" s="15" t="n">
        <v>0</v>
      </c>
      <c r="H1723" s="16" t="n">
        <v>0</v>
      </c>
    </row>
    <row r="1724">
      <c r="A1724" t="s">
        <v>30</v>
      </c>
      <c r="B1724" t="s">
        <v>958</v>
      </c>
      <c r="C1724" t="s">
        <v>959</v>
      </c>
      <c r="D1724" t="s">
        <v>1460</v>
      </c>
      <c r="E1724" s="14" t="n">
        <v>0.5</v>
      </c>
      <c r="F1724" s="17" t="n">
        <v>130</v>
      </c>
      <c r="G1724" s="15" t="n">
        <v>-0.0868240888334652</v>
      </c>
      <c r="H1724" s="16" t="n">
        <v>-0.492403876506104</v>
      </c>
    </row>
    <row r="1725">
      <c r="A1725" t="s">
        <v>30</v>
      </c>
      <c r="B1725" t="s">
        <v>960</v>
      </c>
      <c r="C1725" t="s">
        <v>961</v>
      </c>
      <c r="D1725" t="s">
        <v>1460</v>
      </c>
      <c r="E1725" s="14" t="n">
        <v>0.25</v>
      </c>
      <c r="F1725" s="17" t="n">
        <v>40</v>
      </c>
      <c r="G1725" s="15" t="n">
        <v>0.0434120444167326</v>
      </c>
      <c r="H1725" s="16" t="n">
        <v>0.246201938253052</v>
      </c>
    </row>
    <row r="1726">
      <c r="A1726" t="s">
        <v>30</v>
      </c>
      <c r="B1726" t="s">
        <v>960</v>
      </c>
      <c r="C1726" t="s">
        <v>962</v>
      </c>
      <c r="D1726" t="s">
        <v>1460</v>
      </c>
      <c r="E1726" s="14" t="n">
        <v>0</v>
      </c>
      <c r="F1726" s="17" t="n">
        <v>102</v>
      </c>
      <c r="G1726" s="15" t="n">
        <v>0</v>
      </c>
      <c r="H1726" s="16" t="n">
        <v>0</v>
      </c>
    </row>
    <row r="1727">
      <c r="A1727" t="s">
        <v>31</v>
      </c>
      <c r="B1727" t="s">
        <v>963</v>
      </c>
      <c r="C1727" t="s">
        <v>964</v>
      </c>
      <c r="D1727" t="s">
        <v>1460</v>
      </c>
      <c r="E1727" s="14" t="n">
        <v>0</v>
      </c>
      <c r="F1727" s="17" t="n">
        <v>63</v>
      </c>
      <c r="G1727" s="15" t="n">
        <v>0</v>
      </c>
      <c r="H1727" s="16" t="n">
        <v>0</v>
      </c>
    </row>
    <row r="1728">
      <c r="A1728" t="s">
        <v>31</v>
      </c>
      <c r="B1728" t="s">
        <v>963</v>
      </c>
      <c r="C1728" t="s">
        <v>965</v>
      </c>
      <c r="D1728" t="s">
        <v>1460</v>
      </c>
      <c r="E1728" s="14" t="n">
        <v>0.25</v>
      </c>
      <c r="F1728" s="17" t="n">
        <v>137</v>
      </c>
      <c r="G1728" s="15" t="n">
        <v>0.0174391184360313</v>
      </c>
      <c r="H1728" s="16" t="n">
        <v>-0.249391012564956</v>
      </c>
    </row>
    <row r="1729">
      <c r="A1729" t="s">
        <v>31</v>
      </c>
      <c r="B1729" t="s">
        <v>966</v>
      </c>
      <c r="C1729" t="s">
        <v>967</v>
      </c>
      <c r="D1729" t="s">
        <v>1460</v>
      </c>
      <c r="E1729" s="14" t="n">
        <v>0.25</v>
      </c>
      <c r="F1729" s="17" t="n">
        <v>163</v>
      </c>
      <c r="G1729" s="15" t="n">
        <v>0.20725939313876</v>
      </c>
      <c r="H1729" s="16" t="n">
        <v>-0.139798225867687</v>
      </c>
    </row>
    <row r="1730">
      <c r="A1730" t="s">
        <v>31</v>
      </c>
      <c r="B1730" t="s">
        <v>966</v>
      </c>
      <c r="C1730" t="s">
        <v>968</v>
      </c>
      <c r="D1730" t="s">
        <v>1460</v>
      </c>
      <c r="E1730" s="14" t="n">
        <v>0.5</v>
      </c>
      <c r="F1730" s="17" t="n">
        <v>27</v>
      </c>
      <c r="G1730" s="15" t="n">
        <v>0.293892626146237</v>
      </c>
      <c r="H1730" s="16" t="n">
        <v>0.404508497187474</v>
      </c>
    </row>
    <row r="1731">
      <c r="A1731" t="s">
        <v>32</v>
      </c>
      <c r="B1731" t="s">
        <v>969</v>
      </c>
      <c r="C1731" t="s">
        <v>970</v>
      </c>
      <c r="D1731" t="s">
        <v>1460</v>
      </c>
      <c r="E1731" s="14" t="n">
        <v>0</v>
      </c>
      <c r="F1731" s="17" t="n">
        <v>12</v>
      </c>
      <c r="G1731" s="15" t="n">
        <v>0</v>
      </c>
      <c r="H1731" s="16" t="n">
        <v>0</v>
      </c>
    </row>
    <row r="1732">
      <c r="A1732" t="s">
        <v>30</v>
      </c>
      <c r="B1732" t="s">
        <v>971</v>
      </c>
      <c r="C1732" t="s">
        <v>972</v>
      </c>
      <c r="D1732" t="s">
        <v>1460</v>
      </c>
      <c r="E1732" s="14" t="n">
        <v>0</v>
      </c>
      <c r="F1732" s="17" t="n">
        <v>58</v>
      </c>
      <c r="G1732" s="15" t="n">
        <v>0</v>
      </c>
      <c r="H1732" s="16" t="n">
        <v>0</v>
      </c>
    </row>
    <row r="1733">
      <c r="A1733" t="s">
        <v>30</v>
      </c>
      <c r="B1733" t="s">
        <v>971</v>
      </c>
      <c r="C1733" t="s">
        <v>973</v>
      </c>
      <c r="D1733" t="s">
        <v>1460</v>
      </c>
      <c r="E1733" s="14" t="n">
        <v>0.25</v>
      </c>
      <c r="F1733" s="17" t="n">
        <v>45</v>
      </c>
      <c r="G1733" s="15" t="n">
        <v>0</v>
      </c>
      <c r="H1733" s="16" t="n">
        <v>0.25</v>
      </c>
    </row>
    <row r="1734">
      <c r="A1734" t="s">
        <v>30</v>
      </c>
      <c r="B1734" t="s">
        <v>974</v>
      </c>
      <c r="C1734" t="s">
        <v>975</v>
      </c>
      <c r="D1734" t="s">
        <v>1460</v>
      </c>
      <c r="E1734" s="14" t="n">
        <v>0.5</v>
      </c>
      <c r="F1734" s="17" t="n">
        <v>107</v>
      </c>
      <c r="G1734" s="15" t="n">
        <v>-0.414518786277521</v>
      </c>
      <c r="H1734" s="16" t="n">
        <v>-0.279596451735373</v>
      </c>
    </row>
    <row r="1735">
      <c r="A1735" t="s">
        <v>31</v>
      </c>
      <c r="B1735" t="s">
        <v>976</v>
      </c>
      <c r="C1735" t="s">
        <v>977</v>
      </c>
      <c r="D1735" t="s">
        <v>1460</v>
      </c>
      <c r="E1735" s="14" t="n">
        <v>0.5</v>
      </c>
      <c r="F1735" s="17" t="n">
        <v>6</v>
      </c>
      <c r="G1735" s="15" t="n">
        <v>0.489073800366903</v>
      </c>
      <c r="H1735" s="16" t="n">
        <v>0.10395584540888</v>
      </c>
    </row>
    <row r="1736">
      <c r="A1736" t="s">
        <v>31</v>
      </c>
      <c r="B1736" t="s">
        <v>976</v>
      </c>
      <c r="C1736" t="s">
        <v>978</v>
      </c>
      <c r="D1736" t="s">
        <v>1460</v>
      </c>
      <c r="E1736" s="14" t="n">
        <v>0</v>
      </c>
      <c r="F1736" s="17" t="n">
        <v>66</v>
      </c>
      <c r="G1736" s="15" t="n">
        <v>0</v>
      </c>
      <c r="H1736" s="16" t="n">
        <v>0</v>
      </c>
    </row>
    <row r="1737">
      <c r="A1737" t="s">
        <v>32</v>
      </c>
      <c r="B1737" t="s">
        <v>979</v>
      </c>
      <c r="C1737" t="s">
        <v>980</v>
      </c>
      <c r="D1737" t="s">
        <v>1460</v>
      </c>
      <c r="E1737" s="14" t="n">
        <v>0.5</v>
      </c>
      <c r="F1737" s="17" t="n">
        <v>76</v>
      </c>
      <c r="G1737" s="15" t="n">
        <v>-0.441473796429463</v>
      </c>
      <c r="H1737" s="16" t="n">
        <v>0.234735781392945</v>
      </c>
    </row>
    <row r="1738">
      <c r="A1738" t="s">
        <v>32</v>
      </c>
      <c r="B1738" t="s">
        <v>979</v>
      </c>
      <c r="C1738" t="s">
        <v>981</v>
      </c>
      <c r="D1738" t="s">
        <v>1460</v>
      </c>
      <c r="E1738" s="14" t="n">
        <v>0.25</v>
      </c>
      <c r="F1738" s="17" t="n">
        <v>99</v>
      </c>
      <c r="G1738" s="15" t="n">
        <v>-0.237764129073788</v>
      </c>
      <c r="H1738" s="16" t="n">
        <v>-0.077254248593737</v>
      </c>
    </row>
    <row r="1739">
      <c r="A1739" t="s">
        <v>32</v>
      </c>
      <c r="B1739" t="s">
        <v>982</v>
      </c>
      <c r="C1739" t="s">
        <v>983</v>
      </c>
      <c r="D1739" t="s">
        <v>1460</v>
      </c>
      <c r="E1739" s="14" t="n">
        <v>0.25</v>
      </c>
      <c r="F1739" s="17" t="n">
        <v>170</v>
      </c>
      <c r="G1739" s="15" t="n">
        <v>0.234923155196477</v>
      </c>
      <c r="H1739" s="16" t="n">
        <v>-0.0855050358314172</v>
      </c>
    </row>
    <row r="1740">
      <c r="A1740" t="s">
        <v>32</v>
      </c>
      <c r="B1740" t="s">
        <v>982</v>
      </c>
      <c r="C1740" t="s">
        <v>984</v>
      </c>
      <c r="D1740" t="s">
        <v>1460</v>
      </c>
      <c r="E1740" s="14" t="n">
        <v>0.25</v>
      </c>
      <c r="F1740" s="17" t="n">
        <v>166</v>
      </c>
      <c r="G1740" s="15" t="n">
        <v>0.220736898214732</v>
      </c>
      <c r="H1740" s="16" t="n">
        <v>-0.117367890696473</v>
      </c>
    </row>
    <row r="1741">
      <c r="A1741" t="s">
        <v>30</v>
      </c>
      <c r="B1741" t="s">
        <v>985</v>
      </c>
      <c r="C1741" t="s">
        <v>986</v>
      </c>
      <c r="D1741" t="s">
        <v>1460</v>
      </c>
      <c r="E1741" s="14" t="n">
        <v>0.25</v>
      </c>
      <c r="F1741" s="17" t="n">
        <v>98</v>
      </c>
      <c r="G1741" s="15" t="n">
        <v>-0.24031542398458</v>
      </c>
      <c r="H1741" s="16" t="n">
        <v>-0.0689093389542497</v>
      </c>
    </row>
    <row r="1742">
      <c r="A1742" t="s">
        <v>30</v>
      </c>
      <c r="B1742" t="s">
        <v>985</v>
      </c>
      <c r="C1742" t="s">
        <v>987</v>
      </c>
      <c r="D1742" t="s">
        <v>1460</v>
      </c>
      <c r="E1742" s="14" t="n">
        <v>0.5</v>
      </c>
      <c r="F1742" s="17" t="n">
        <v>97</v>
      </c>
      <c r="G1742" s="15" t="n">
        <v>-0.485147863137998</v>
      </c>
      <c r="H1742" s="16" t="n">
        <v>-0.120960947799834</v>
      </c>
    </row>
    <row r="1743">
      <c r="A1743" t="s">
        <v>30</v>
      </c>
      <c r="B1743" t="s">
        <v>988</v>
      </c>
      <c r="C1743" t="s">
        <v>989</v>
      </c>
      <c r="D1743" t="s">
        <v>1460</v>
      </c>
      <c r="E1743" s="14" t="n">
        <v>0.5</v>
      </c>
      <c r="F1743" s="17" t="n">
        <v>63</v>
      </c>
      <c r="G1743" s="15" t="n">
        <v>-0.293892626146237</v>
      </c>
      <c r="H1743" s="16" t="n">
        <v>0.404508497187474</v>
      </c>
    </row>
    <row r="1744">
      <c r="A1744" t="s">
        <v>32</v>
      </c>
      <c r="B1744" t="s">
        <v>990</v>
      </c>
      <c r="C1744" t="s">
        <v>991</v>
      </c>
      <c r="D1744" t="s">
        <v>1460</v>
      </c>
      <c r="E1744" s="14" t="n">
        <v>0.25</v>
      </c>
      <c r="F1744" s="17" t="n">
        <v>149</v>
      </c>
      <c r="G1744" s="15" t="n">
        <v>0.117367890696473</v>
      </c>
      <c r="H1744" s="16" t="n">
        <v>-0.220736898214732</v>
      </c>
    </row>
    <row r="1745">
      <c r="A1745" t="s">
        <v>32</v>
      </c>
      <c r="B1745" t="s">
        <v>992</v>
      </c>
      <c r="C1745" t="s">
        <v>993</v>
      </c>
      <c r="D1745" t="s">
        <v>1460</v>
      </c>
      <c r="E1745" s="14" t="n">
        <v>0.25</v>
      </c>
      <c r="F1745" s="17" t="n">
        <v>67</v>
      </c>
      <c r="G1745" s="15" t="n">
        <v>-0.173664592614749</v>
      </c>
      <c r="H1745" s="16" t="n">
        <v>0.179834950084663</v>
      </c>
    </row>
    <row r="1746">
      <c r="A1746" t="s">
        <v>30</v>
      </c>
      <c r="B1746" t="s">
        <v>994</v>
      </c>
      <c r="C1746" t="s">
        <v>995</v>
      </c>
      <c r="D1746" t="s">
        <v>1460</v>
      </c>
      <c r="E1746" s="14" t="n">
        <v>0.25</v>
      </c>
      <c r="F1746" s="17" t="n">
        <v>91</v>
      </c>
      <c r="G1746" s="15" t="n">
        <v>-0.249847706754774</v>
      </c>
      <c r="H1746" s="16" t="n">
        <v>-0.00872487417562529</v>
      </c>
    </row>
    <row r="1747">
      <c r="A1747" t="s">
        <v>30</v>
      </c>
      <c r="B1747" t="s">
        <v>994</v>
      </c>
      <c r="C1747" t="s">
        <v>996</v>
      </c>
      <c r="D1747" t="s">
        <v>1460</v>
      </c>
      <c r="E1747" s="14" t="n">
        <v>0.25</v>
      </c>
      <c r="F1747" s="17" t="n">
        <v>83</v>
      </c>
      <c r="G1747" s="15" t="n">
        <v>-0.242573931568999</v>
      </c>
      <c r="H1747" s="16" t="n">
        <v>0.0604804738999169</v>
      </c>
    </row>
    <row r="1748">
      <c r="A1748" t="s">
        <v>31</v>
      </c>
      <c r="B1748" t="s">
        <v>997</v>
      </c>
      <c r="C1748" t="s">
        <v>998</v>
      </c>
      <c r="D1748" t="s">
        <v>1460</v>
      </c>
      <c r="E1748" s="14" t="n">
        <v>0.25</v>
      </c>
      <c r="F1748" s="17" t="n">
        <v>22</v>
      </c>
      <c r="G1748" s="15" t="n">
        <v>0.179834950084663</v>
      </c>
      <c r="H1748" s="16" t="n">
        <v>0.173664592614749</v>
      </c>
    </row>
    <row r="1749">
      <c r="A1749" t="s">
        <v>31</v>
      </c>
      <c r="B1749" t="s">
        <v>997</v>
      </c>
      <c r="C1749" t="s">
        <v>999</v>
      </c>
      <c r="D1749" t="s">
        <v>1460</v>
      </c>
      <c r="E1749" s="14" t="n">
        <v>0.5</v>
      </c>
      <c r="F1749" s="17" t="n">
        <v>36</v>
      </c>
      <c r="G1749" s="15" t="n">
        <v>0.154508497187474</v>
      </c>
      <c r="H1749" s="16" t="n">
        <v>0.475528258147577</v>
      </c>
    </row>
    <row r="1750">
      <c r="A1750" t="s">
        <v>31</v>
      </c>
      <c r="B1750" t="s">
        <v>1000</v>
      </c>
      <c r="C1750" t="s">
        <v>1001</v>
      </c>
      <c r="D1750" t="s">
        <v>1460</v>
      </c>
      <c r="E1750" s="14" t="n">
        <v>0.25</v>
      </c>
      <c r="F1750" s="17" t="n">
        <v>112</v>
      </c>
      <c r="G1750" s="15" t="n">
        <v>-0.179834950084663</v>
      </c>
      <c r="H1750" s="16" t="n">
        <v>-0.173664592614749</v>
      </c>
    </row>
    <row r="1751">
      <c r="A1751" t="s">
        <v>31</v>
      </c>
      <c r="B1751" t="s">
        <v>1002</v>
      </c>
      <c r="C1751" t="s">
        <v>1003</v>
      </c>
      <c r="D1751" t="s">
        <v>1460</v>
      </c>
      <c r="E1751" s="14" t="n">
        <v>0.25</v>
      </c>
      <c r="F1751" s="17" t="n">
        <v>105</v>
      </c>
      <c r="G1751" s="15" t="n">
        <v>-0.21650635094611</v>
      </c>
      <c r="H1751" s="16" t="n">
        <v>-0.125</v>
      </c>
    </row>
    <row r="1752">
      <c r="A1752" t="s">
        <v>31</v>
      </c>
      <c r="B1752" t="s">
        <v>1004</v>
      </c>
      <c r="C1752" t="s">
        <v>1005</v>
      </c>
      <c r="D1752" t="s">
        <v>1460</v>
      </c>
      <c r="E1752" s="14" t="n">
        <v>0.5</v>
      </c>
      <c r="F1752" s="17" t="n">
        <v>173</v>
      </c>
      <c r="G1752" s="15" t="n">
        <v>0.485147863137998</v>
      </c>
      <c r="H1752" s="16" t="n">
        <v>-0.120960947799834</v>
      </c>
    </row>
    <row r="1753">
      <c r="A1753" t="s">
        <v>31</v>
      </c>
      <c r="B1753" t="s">
        <v>1004</v>
      </c>
      <c r="C1753" t="s">
        <v>1006</v>
      </c>
      <c r="D1753" t="s">
        <v>1460</v>
      </c>
      <c r="E1753" s="14" t="n">
        <v>0.25</v>
      </c>
      <c r="F1753" s="17" t="n">
        <v>12</v>
      </c>
      <c r="G1753" s="15" t="n">
        <v>0.22838636441065</v>
      </c>
      <c r="H1753" s="16" t="n">
        <v>0.10168416076895</v>
      </c>
    </row>
    <row r="1754">
      <c r="A1754" t="s">
        <v>31</v>
      </c>
      <c r="B1754" t="s">
        <v>1007</v>
      </c>
      <c r="C1754" t="s">
        <v>1008</v>
      </c>
      <c r="D1754" t="s">
        <v>1460</v>
      </c>
      <c r="E1754" s="14" t="n">
        <v>0.25</v>
      </c>
      <c r="F1754" s="17" t="n">
        <v>39</v>
      </c>
      <c r="G1754" s="15" t="n">
        <v>0.0519779227044398</v>
      </c>
      <c r="H1754" s="16" t="n">
        <v>0.244536900183451</v>
      </c>
    </row>
    <row r="1755">
      <c r="A1755" t="s">
        <v>31</v>
      </c>
      <c r="B1755" t="s">
        <v>1007</v>
      </c>
      <c r="C1755" t="s">
        <v>1009</v>
      </c>
      <c r="D1755" t="s">
        <v>1460</v>
      </c>
      <c r="E1755" s="14" t="n">
        <v>0.25</v>
      </c>
      <c r="F1755" s="17" t="n">
        <v>25</v>
      </c>
      <c r="G1755" s="15" t="n">
        <v>0.160696902421635</v>
      </c>
      <c r="H1755" s="16" t="n">
        <v>0.191511110779745</v>
      </c>
    </row>
    <row r="1756">
      <c r="A1756" t="s">
        <v>30</v>
      </c>
      <c r="B1756" t="s">
        <v>1010</v>
      </c>
      <c r="C1756" t="s">
        <v>1011</v>
      </c>
      <c r="D1756" t="s">
        <v>1460</v>
      </c>
      <c r="E1756" s="14" t="n">
        <v>0.25</v>
      </c>
      <c r="F1756" s="17" t="n">
        <v>111</v>
      </c>
      <c r="G1756" s="15" t="n">
        <v>-0.185786206369349</v>
      </c>
      <c r="H1756" s="16" t="n">
        <v>-0.167282651589715</v>
      </c>
    </row>
    <row r="1757">
      <c r="A1757" t="s">
        <v>30</v>
      </c>
      <c r="B1757" t="s">
        <v>1010</v>
      </c>
      <c r="C1757" t="s">
        <v>1012</v>
      </c>
      <c r="D1757" t="s">
        <v>1460</v>
      </c>
      <c r="E1757" s="14" t="n">
        <v>0.5</v>
      </c>
      <c r="F1757" s="17" t="n">
        <v>68</v>
      </c>
      <c r="G1757" s="15" t="n">
        <v>-0.359669900169325</v>
      </c>
      <c r="H1757" s="16" t="n">
        <v>0.347329185229499</v>
      </c>
    </row>
    <row r="1758">
      <c r="A1758" t="s">
        <v>31</v>
      </c>
      <c r="B1758" t="s">
        <v>1013</v>
      </c>
      <c r="C1758" t="s">
        <v>1014</v>
      </c>
      <c r="D1758" t="s">
        <v>1460</v>
      </c>
      <c r="E1758" s="14" t="n">
        <v>0</v>
      </c>
      <c r="F1758" s="17" t="n">
        <v>150</v>
      </c>
      <c r="G1758" s="15" t="n">
        <v>0</v>
      </c>
      <c r="H1758" s="16" t="n">
        <v>0</v>
      </c>
    </row>
    <row r="1759">
      <c r="A1759" t="s">
        <v>31</v>
      </c>
      <c r="B1759" t="s">
        <v>1013</v>
      </c>
      <c r="C1759" t="s">
        <v>1015</v>
      </c>
      <c r="D1759" t="s">
        <v>1460</v>
      </c>
      <c r="E1759" s="14" t="n">
        <v>0</v>
      </c>
      <c r="F1759" s="17" t="n">
        <v>140</v>
      </c>
      <c r="G1759" s="15" t="n">
        <v>0</v>
      </c>
      <c r="H1759" s="16" t="n">
        <v>0</v>
      </c>
    </row>
    <row r="1760">
      <c r="A1760" t="s">
        <v>31</v>
      </c>
      <c r="B1760" t="s">
        <v>1016</v>
      </c>
      <c r="C1760" t="s">
        <v>1017</v>
      </c>
      <c r="D1760" t="s">
        <v>1460</v>
      </c>
      <c r="E1760" s="14" t="n">
        <v>0.25</v>
      </c>
      <c r="F1760" s="17" t="n">
        <v>148</v>
      </c>
      <c r="G1760" s="15" t="n">
        <v>0.109592786697269</v>
      </c>
      <c r="H1760" s="16" t="n">
        <v>-0.224698511574792</v>
      </c>
    </row>
    <row r="1761">
      <c r="A1761" t="s">
        <v>31</v>
      </c>
      <c r="B1761" t="s">
        <v>1016</v>
      </c>
      <c r="C1761" t="s">
        <v>1018</v>
      </c>
      <c r="D1761" t="s">
        <v>1460</v>
      </c>
      <c r="E1761" s="14" t="n">
        <v>0.25</v>
      </c>
      <c r="F1761" s="17" t="n">
        <v>76</v>
      </c>
      <c r="G1761" s="15" t="n">
        <v>-0.220736898214732</v>
      </c>
      <c r="H1761" s="16" t="n">
        <v>0.117367890696473</v>
      </c>
    </row>
    <row r="1762">
      <c r="A1762" t="s">
        <v>31</v>
      </c>
      <c r="B1762" t="s">
        <v>1019</v>
      </c>
      <c r="C1762" t="s">
        <v>1020</v>
      </c>
      <c r="D1762" t="s">
        <v>1460</v>
      </c>
      <c r="E1762" s="14" t="n">
        <v>0.25</v>
      </c>
      <c r="F1762" s="17" t="n">
        <v>57</v>
      </c>
      <c r="G1762" s="15" t="n">
        <v>-0.10168416076895</v>
      </c>
      <c r="H1762" s="16" t="n">
        <v>0.22838636441065</v>
      </c>
    </row>
    <row r="1763">
      <c r="A1763" t="s">
        <v>31</v>
      </c>
      <c r="B1763" t="s">
        <v>1021</v>
      </c>
      <c r="C1763" t="s">
        <v>1022</v>
      </c>
      <c r="D1763" t="s">
        <v>1460</v>
      </c>
      <c r="E1763" s="14" t="n">
        <v>0.25</v>
      </c>
      <c r="F1763" s="17" t="n">
        <v>9</v>
      </c>
      <c r="G1763" s="15" t="n">
        <v>0.237764129073788</v>
      </c>
      <c r="H1763" s="16" t="n">
        <v>0.0772542485937368</v>
      </c>
    </row>
    <row r="1764">
      <c r="A1764" t="s">
        <v>31</v>
      </c>
      <c r="B1764" t="s">
        <v>1021</v>
      </c>
      <c r="C1764" t="s">
        <v>1023</v>
      </c>
      <c r="D1764" t="s">
        <v>1460</v>
      </c>
      <c r="E1764" s="14" t="n">
        <v>0.5</v>
      </c>
      <c r="F1764" s="17" t="n">
        <v>126</v>
      </c>
      <c r="G1764" s="15" t="n">
        <v>-0.154508497187474</v>
      </c>
      <c r="H1764" s="16" t="n">
        <v>-0.475528258147577</v>
      </c>
    </row>
    <row r="1765">
      <c r="A1765" t="s">
        <v>30</v>
      </c>
      <c r="B1765" t="s">
        <v>1024</v>
      </c>
      <c r="C1765" t="s">
        <v>1025</v>
      </c>
      <c r="D1765" t="s">
        <v>1460</v>
      </c>
      <c r="E1765" s="14" t="n">
        <v>0.5</v>
      </c>
      <c r="F1765" s="17" t="n">
        <v>119</v>
      </c>
      <c r="G1765" s="15" t="n">
        <v>-0.264959632116603</v>
      </c>
      <c r="H1765" s="16" t="n">
        <v>-0.424024048078213</v>
      </c>
    </row>
    <row r="1766">
      <c r="A1766" t="s">
        <v>30</v>
      </c>
      <c r="B1766" t="s">
        <v>1024</v>
      </c>
      <c r="C1766" t="s">
        <v>1026</v>
      </c>
      <c r="D1766" t="s">
        <v>1460</v>
      </c>
      <c r="E1766" s="14" t="n">
        <v>0.5</v>
      </c>
      <c r="F1766" s="17" t="n">
        <v>72</v>
      </c>
      <c r="G1766" s="15" t="n">
        <v>-0.404508497187474</v>
      </c>
      <c r="H1766" s="16" t="n">
        <v>0.293892626146237</v>
      </c>
    </row>
    <row r="1767">
      <c r="A1767" t="s">
        <v>31</v>
      </c>
      <c r="B1767" t="s">
        <v>1027</v>
      </c>
      <c r="C1767" t="s">
        <v>1028</v>
      </c>
      <c r="D1767" t="s">
        <v>1460</v>
      </c>
      <c r="E1767" s="14" t="n">
        <v>0.25</v>
      </c>
      <c r="F1767" s="17" t="n">
        <v>65</v>
      </c>
      <c r="G1767" s="15" t="n">
        <v>-0.160696902421635</v>
      </c>
      <c r="H1767" s="16" t="n">
        <v>0.191511110779745</v>
      </c>
    </row>
    <row r="1768">
      <c r="A1768" t="s">
        <v>30</v>
      </c>
      <c r="B1768" t="s">
        <v>1029</v>
      </c>
      <c r="C1768" t="s">
        <v>1030</v>
      </c>
      <c r="D1768" t="s">
        <v>1460</v>
      </c>
      <c r="E1768" s="14" t="n">
        <v>0</v>
      </c>
      <c r="F1768" s="17" t="n">
        <v>139</v>
      </c>
      <c r="G1768" s="15" t="n">
        <v>0</v>
      </c>
      <c r="H1768" s="16" t="n">
        <v>0</v>
      </c>
    </row>
    <row r="1769">
      <c r="A1769" t="s">
        <v>30</v>
      </c>
      <c r="B1769" t="s">
        <v>1031</v>
      </c>
      <c r="C1769" t="s">
        <v>1032</v>
      </c>
      <c r="D1769" t="s">
        <v>1460</v>
      </c>
      <c r="E1769" s="14" t="n">
        <v>0.25</v>
      </c>
      <c r="F1769" s="17" t="n">
        <v>170</v>
      </c>
      <c r="G1769" s="15" t="n">
        <v>0.234923155196477</v>
      </c>
      <c r="H1769" s="16" t="n">
        <v>-0.0855050358314172</v>
      </c>
    </row>
    <row r="1770">
      <c r="A1770" t="s">
        <v>30</v>
      </c>
      <c r="B1770" t="s">
        <v>1033</v>
      </c>
      <c r="C1770" t="s">
        <v>1034</v>
      </c>
      <c r="D1770" t="s">
        <v>1460</v>
      </c>
      <c r="E1770" s="14" t="n">
        <v>0.25</v>
      </c>
      <c r="F1770" s="17" t="n">
        <v>80</v>
      </c>
      <c r="G1770" s="15" t="n">
        <v>-0.234923155196477</v>
      </c>
      <c r="H1770" s="16" t="n">
        <v>0.0855050358314172</v>
      </c>
    </row>
    <row r="1771">
      <c r="A1771" t="s">
        <v>30</v>
      </c>
      <c r="B1771" t="s">
        <v>1033</v>
      </c>
      <c r="C1771" t="s">
        <v>1035</v>
      </c>
      <c r="D1771" t="s">
        <v>1460</v>
      </c>
      <c r="E1771" s="14" t="n">
        <v>0.25</v>
      </c>
      <c r="F1771" s="17" t="n">
        <v>109</v>
      </c>
      <c r="G1771" s="15" t="n">
        <v>-0.197002688401681</v>
      </c>
      <c r="H1771" s="16" t="n">
        <v>-0.153915368831415</v>
      </c>
    </row>
    <row r="1772">
      <c r="A1772" t="s">
        <v>31</v>
      </c>
      <c r="B1772" t="s">
        <v>1036</v>
      </c>
      <c r="C1772" t="s">
        <v>1037</v>
      </c>
      <c r="D1772" t="s">
        <v>1460</v>
      </c>
      <c r="E1772" s="14" t="n">
        <v>0.25</v>
      </c>
      <c r="F1772" s="17" t="n">
        <v>45</v>
      </c>
      <c r="G1772" s="15" t="n">
        <v>0</v>
      </c>
      <c r="H1772" s="16" t="n">
        <v>0.25</v>
      </c>
    </row>
    <row r="1773">
      <c r="A1773" t="s">
        <v>30</v>
      </c>
      <c r="B1773" t="s">
        <v>1038</v>
      </c>
      <c r="C1773" t="s">
        <v>1039</v>
      </c>
      <c r="D1773" t="s">
        <v>1460</v>
      </c>
      <c r="E1773" s="14" t="n">
        <v>0</v>
      </c>
      <c r="F1773" s="17" t="n">
        <v>20</v>
      </c>
      <c r="G1773" s="15" t="n">
        <v>0</v>
      </c>
      <c r="H1773" s="16" t="n">
        <v>0</v>
      </c>
    </row>
    <row r="1774">
      <c r="A1774" t="s">
        <v>30</v>
      </c>
      <c r="B1774" t="s">
        <v>1040</v>
      </c>
      <c r="C1774" t="s">
        <v>1041</v>
      </c>
      <c r="D1774" t="s">
        <v>1460</v>
      </c>
      <c r="E1774" s="14" t="n">
        <v>0</v>
      </c>
      <c r="F1774" s="17" t="n">
        <v>82</v>
      </c>
      <c r="G1774" s="15" t="n">
        <v>0</v>
      </c>
      <c r="H1774" s="16" t="n">
        <v>0</v>
      </c>
    </row>
    <row r="1775">
      <c r="A1775" t="s">
        <v>32</v>
      </c>
      <c r="B1775" t="s">
        <v>1042</v>
      </c>
      <c r="C1775" t="s">
        <v>1043</v>
      </c>
      <c r="D1775" t="s">
        <v>1460</v>
      </c>
      <c r="E1775" s="14" t="n">
        <v>0</v>
      </c>
      <c r="F1775" s="17" t="n">
        <v>147</v>
      </c>
      <c r="G1775" s="15" t="n">
        <v>0</v>
      </c>
      <c r="H1775" s="16" t="n">
        <v>0</v>
      </c>
    </row>
    <row r="1776">
      <c r="A1776" t="s">
        <v>32</v>
      </c>
      <c r="B1776" t="s">
        <v>1042</v>
      </c>
      <c r="C1776" t="s">
        <v>1044</v>
      </c>
      <c r="D1776" t="s">
        <v>1460</v>
      </c>
      <c r="E1776" s="14" t="n">
        <v>0.25</v>
      </c>
      <c r="F1776" s="17" t="n">
        <v>139</v>
      </c>
      <c r="G1776" s="15" t="n">
        <v>0.0347932752400164</v>
      </c>
      <c r="H1776" s="16" t="n">
        <v>-0.247567017185393</v>
      </c>
    </row>
    <row r="1777">
      <c r="A1777" t="s">
        <v>31</v>
      </c>
      <c r="B1777" t="s">
        <v>1045</v>
      </c>
      <c r="C1777" t="s">
        <v>1046</v>
      </c>
      <c r="D1777" t="s">
        <v>1460</v>
      </c>
      <c r="E1777" s="14" t="n">
        <v>0.25</v>
      </c>
      <c r="F1777" s="17" t="n">
        <v>54</v>
      </c>
      <c r="G1777" s="15" t="n">
        <v>-0.0772542485937368</v>
      </c>
      <c r="H1777" s="16" t="n">
        <v>0.237764129073788</v>
      </c>
    </row>
    <row r="1778">
      <c r="A1778" t="s">
        <v>32</v>
      </c>
      <c r="B1778" t="s">
        <v>1047</v>
      </c>
      <c r="C1778" t="s">
        <v>1048</v>
      </c>
      <c r="D1778" t="s">
        <v>1460</v>
      </c>
      <c r="E1778" s="14" t="n">
        <v>0.25</v>
      </c>
      <c r="F1778" s="17" t="n">
        <v>160</v>
      </c>
      <c r="G1778" s="15" t="n">
        <v>0.191511110779744</v>
      </c>
      <c r="H1778" s="16" t="n">
        <v>-0.160696902421635</v>
      </c>
    </row>
    <row r="1779">
      <c r="A1779" t="s">
        <v>32</v>
      </c>
      <c r="B1779" t="s">
        <v>1047</v>
      </c>
      <c r="C1779" t="s">
        <v>1049</v>
      </c>
      <c r="D1779" t="s">
        <v>1460</v>
      </c>
      <c r="E1779" s="14" t="n">
        <v>0.25</v>
      </c>
      <c r="F1779" s="17" t="n">
        <v>57</v>
      </c>
      <c r="G1779" s="15" t="n">
        <v>-0.10168416076895</v>
      </c>
      <c r="H1779" s="16" t="n">
        <v>0.22838636441065</v>
      </c>
    </row>
    <row r="1780">
      <c r="A1780" t="s">
        <v>30</v>
      </c>
      <c r="B1780" t="s">
        <v>1050</v>
      </c>
      <c r="C1780" t="s">
        <v>1051</v>
      </c>
      <c r="D1780" t="s">
        <v>1460</v>
      </c>
      <c r="E1780" s="14" t="n">
        <v>0.25</v>
      </c>
      <c r="F1780" s="17" t="n">
        <v>65</v>
      </c>
      <c r="G1780" s="15" t="n">
        <v>-0.160696902421635</v>
      </c>
      <c r="H1780" s="16" t="n">
        <v>0.191511110779745</v>
      </c>
    </row>
    <row r="1781">
      <c r="A1781" t="s">
        <v>30</v>
      </c>
      <c r="B1781" t="s">
        <v>1050</v>
      </c>
      <c r="C1781" t="s">
        <v>1052</v>
      </c>
      <c r="D1781" t="s">
        <v>1460</v>
      </c>
      <c r="E1781" s="14" t="n">
        <v>0.5</v>
      </c>
      <c r="F1781" s="17" t="n">
        <v>110</v>
      </c>
      <c r="G1781" s="15" t="n">
        <v>-0.383022221559489</v>
      </c>
      <c r="H1781" s="16" t="n">
        <v>-0.32139380484327</v>
      </c>
    </row>
    <row r="1782">
      <c r="A1782" t="s">
        <v>30</v>
      </c>
      <c r="B1782" t="s">
        <v>1053</v>
      </c>
      <c r="C1782" t="s">
        <v>1054</v>
      </c>
      <c r="D1782" t="s">
        <v>1460</v>
      </c>
      <c r="E1782" s="14" t="n">
        <v>0.25</v>
      </c>
      <c r="F1782" s="17" t="n">
        <v>59</v>
      </c>
      <c r="G1782" s="15" t="n">
        <v>-0.117367890696473</v>
      </c>
      <c r="H1782" s="16" t="n">
        <v>0.220736898214732</v>
      </c>
    </row>
    <row r="1783">
      <c r="A1783" t="s">
        <v>30</v>
      </c>
      <c r="B1783" t="s">
        <v>1053</v>
      </c>
      <c r="C1783" t="s">
        <v>1055</v>
      </c>
      <c r="D1783" t="s">
        <v>1460</v>
      </c>
      <c r="E1783" s="14" t="n">
        <v>0.25</v>
      </c>
      <c r="F1783" s="17" t="n">
        <v>118</v>
      </c>
      <c r="G1783" s="15" t="n">
        <v>-0.139798225867687</v>
      </c>
      <c r="H1783" s="16" t="n">
        <v>-0.20725939313876</v>
      </c>
    </row>
    <row r="1784">
      <c r="A1784" t="s">
        <v>32</v>
      </c>
      <c r="B1784" t="s">
        <v>1056</v>
      </c>
      <c r="C1784" t="s">
        <v>1057</v>
      </c>
      <c r="D1784" t="s">
        <v>1460</v>
      </c>
      <c r="E1784" s="14" t="n">
        <v>0</v>
      </c>
      <c r="F1784" s="17" t="n">
        <v>7</v>
      </c>
      <c r="G1784" s="15" t="n">
        <v>0</v>
      </c>
      <c r="H1784" s="16" t="n">
        <v>0</v>
      </c>
    </row>
    <row r="1785">
      <c r="A1785" t="s">
        <v>30</v>
      </c>
      <c r="B1785" t="s">
        <v>1058</v>
      </c>
      <c r="C1785" t="s">
        <v>1059</v>
      </c>
      <c r="D1785" t="s">
        <v>1460</v>
      </c>
      <c r="E1785" s="14" t="n">
        <v>0</v>
      </c>
      <c r="F1785" s="17" t="n">
        <v>20</v>
      </c>
      <c r="G1785" s="15" t="n">
        <v>0</v>
      </c>
      <c r="H1785" s="16" t="n">
        <v>0</v>
      </c>
    </row>
    <row r="1786">
      <c r="A1786" t="s">
        <v>30</v>
      </c>
      <c r="B1786" t="s">
        <v>1058</v>
      </c>
      <c r="C1786" t="s">
        <v>1060</v>
      </c>
      <c r="D1786" t="s">
        <v>1460</v>
      </c>
      <c r="E1786" s="14" t="n">
        <v>0</v>
      </c>
      <c r="F1786" s="17" t="n">
        <v>29</v>
      </c>
      <c r="G1786" s="15" t="n">
        <v>0</v>
      </c>
      <c r="H1786" s="16" t="n">
        <v>0</v>
      </c>
    </row>
    <row r="1787">
      <c r="A1787" t="s">
        <v>31</v>
      </c>
      <c r="B1787" t="s">
        <v>1061</v>
      </c>
      <c r="C1787" t="s">
        <v>1062</v>
      </c>
      <c r="D1787" t="s">
        <v>1460</v>
      </c>
      <c r="E1787" s="14" t="n">
        <v>0.25</v>
      </c>
      <c r="F1787" s="17" t="n">
        <v>80</v>
      </c>
      <c r="G1787" s="15" t="n">
        <v>-0.234923155196477</v>
      </c>
      <c r="H1787" s="16" t="n">
        <v>0.0855050358314172</v>
      </c>
    </row>
    <row r="1788">
      <c r="A1788" t="s">
        <v>31</v>
      </c>
      <c r="B1788" t="s">
        <v>1061</v>
      </c>
      <c r="C1788" t="s">
        <v>1063</v>
      </c>
      <c r="D1788" t="s">
        <v>1460</v>
      </c>
      <c r="E1788" s="14" t="n">
        <v>0.25</v>
      </c>
      <c r="F1788" s="17" t="n">
        <v>87</v>
      </c>
      <c r="G1788" s="15" t="n">
        <v>-0.248630473842068</v>
      </c>
      <c r="H1788" s="16" t="n">
        <v>0.0261321158169134</v>
      </c>
    </row>
    <row r="1789">
      <c r="A1789" t="s">
        <v>32</v>
      </c>
      <c r="B1789" t="s">
        <v>1064</v>
      </c>
      <c r="C1789" t="s">
        <v>1065</v>
      </c>
      <c r="D1789" t="s">
        <v>1460</v>
      </c>
      <c r="E1789" s="14" t="n">
        <v>0</v>
      </c>
      <c r="F1789" s="17" t="n">
        <v>36</v>
      </c>
      <c r="G1789" s="15" t="n">
        <v>0</v>
      </c>
      <c r="H1789" s="16" t="n">
        <v>0</v>
      </c>
    </row>
    <row r="1790">
      <c r="A1790" t="s">
        <v>32</v>
      </c>
      <c r="B1790" t="s">
        <v>1064</v>
      </c>
      <c r="C1790" t="s">
        <v>1066</v>
      </c>
      <c r="D1790" t="s">
        <v>1460</v>
      </c>
      <c r="E1790" s="14" t="n">
        <v>0.75</v>
      </c>
      <c r="F1790" s="17" t="n">
        <v>52</v>
      </c>
      <c r="G1790" s="15" t="n">
        <v>-0.181441421699751</v>
      </c>
      <c r="H1790" s="16" t="n">
        <v>0.727721794706997</v>
      </c>
    </row>
    <row r="1791">
      <c r="A1791" t="s">
        <v>32</v>
      </c>
      <c r="B1791" t="s">
        <v>1067</v>
      </c>
      <c r="C1791" t="s">
        <v>1068</v>
      </c>
      <c r="D1791" t="s">
        <v>1460</v>
      </c>
      <c r="E1791" s="14" t="n">
        <v>0.25</v>
      </c>
      <c r="F1791" s="17" t="n">
        <v>39</v>
      </c>
      <c r="G1791" s="15" t="n">
        <v>0.0519779227044398</v>
      </c>
      <c r="H1791" s="16" t="n">
        <v>0.244536900183451</v>
      </c>
    </row>
    <row r="1792">
      <c r="A1792" t="s">
        <v>30</v>
      </c>
      <c r="B1792" t="s">
        <v>1069</v>
      </c>
      <c r="C1792" t="s">
        <v>1070</v>
      </c>
      <c r="D1792" t="s">
        <v>1460</v>
      </c>
      <c r="E1792" s="14" t="n">
        <v>0</v>
      </c>
      <c r="F1792" s="17" t="n">
        <v>141</v>
      </c>
      <c r="G1792" s="15" t="n">
        <v>0</v>
      </c>
      <c r="H1792" s="16" t="n">
        <v>0</v>
      </c>
    </row>
    <row r="1793">
      <c r="A1793" t="s">
        <v>30</v>
      </c>
      <c r="B1793" t="s">
        <v>1069</v>
      </c>
      <c r="C1793" t="s">
        <v>1071</v>
      </c>
      <c r="D1793" t="s">
        <v>1460</v>
      </c>
      <c r="E1793" s="14" t="n">
        <v>0.25</v>
      </c>
      <c r="F1793" s="17" t="n">
        <v>65</v>
      </c>
      <c r="G1793" s="15" t="n">
        <v>-0.160696902421635</v>
      </c>
      <c r="H1793" s="16" t="n">
        <v>0.191511110779745</v>
      </c>
    </row>
    <row r="1794">
      <c r="A1794" t="s">
        <v>30</v>
      </c>
      <c r="B1794" t="s">
        <v>1072</v>
      </c>
      <c r="C1794" t="s">
        <v>1073</v>
      </c>
      <c r="D1794" t="s">
        <v>1460</v>
      </c>
      <c r="E1794" s="14" t="n">
        <v>0.25</v>
      </c>
      <c r="F1794" s="17" t="n">
        <v>20</v>
      </c>
      <c r="G1794" s="15" t="n">
        <v>0.191511110779745</v>
      </c>
      <c r="H1794" s="16" t="n">
        <v>0.160696902421635</v>
      </c>
    </row>
    <row r="1795">
      <c r="A1795" t="s">
        <v>30</v>
      </c>
      <c r="B1795" t="s">
        <v>1072</v>
      </c>
      <c r="C1795" t="s">
        <v>1074</v>
      </c>
      <c r="D1795" t="s">
        <v>1460</v>
      </c>
      <c r="E1795" s="14" t="n">
        <v>0.25</v>
      </c>
      <c r="F1795" s="17" t="n">
        <v>159</v>
      </c>
      <c r="G1795" s="15" t="n">
        <v>0.185786206369348</v>
      </c>
      <c r="H1795" s="16" t="n">
        <v>-0.167282651589715</v>
      </c>
    </row>
    <row r="1796">
      <c r="A1796" t="s">
        <v>30</v>
      </c>
      <c r="B1796" t="s">
        <v>1075</v>
      </c>
      <c r="C1796" t="s">
        <v>1076</v>
      </c>
      <c r="D1796" t="s">
        <v>1460</v>
      </c>
      <c r="E1796" s="14" t="n">
        <v>0.25</v>
      </c>
      <c r="F1796" s="17" t="n">
        <v>96</v>
      </c>
      <c r="G1796" s="15" t="n">
        <v>-0.244536900183451</v>
      </c>
      <c r="H1796" s="16" t="n">
        <v>-0.0519779227044398</v>
      </c>
    </row>
    <row r="1797">
      <c r="A1797" t="s">
        <v>30</v>
      </c>
      <c r="B1797" t="s">
        <v>1075</v>
      </c>
      <c r="C1797" t="s">
        <v>1077</v>
      </c>
      <c r="D1797" t="s">
        <v>1460</v>
      </c>
      <c r="E1797" s="14" t="n">
        <v>0.25</v>
      </c>
      <c r="F1797" s="17" t="n">
        <v>169</v>
      </c>
      <c r="G1797" s="15" t="n">
        <v>0.231795963641697</v>
      </c>
      <c r="H1797" s="16" t="n">
        <v>-0.093651648353978</v>
      </c>
    </row>
    <row r="1798">
      <c r="A1798" t="s">
        <v>31</v>
      </c>
      <c r="B1798" t="s">
        <v>1078</v>
      </c>
      <c r="C1798" t="s">
        <v>1079</v>
      </c>
      <c r="D1798" t="s">
        <v>1460</v>
      </c>
      <c r="E1798" s="14" t="n">
        <v>0</v>
      </c>
      <c r="F1798" s="17" t="n">
        <v>0</v>
      </c>
      <c r="G1798" s="15" t="n">
        <v>0</v>
      </c>
      <c r="H1798" s="16" t="n">
        <v>0</v>
      </c>
    </row>
    <row r="1799">
      <c r="A1799" t="s">
        <v>31</v>
      </c>
      <c r="B1799" t="s">
        <v>1078</v>
      </c>
      <c r="C1799" t="s">
        <v>1080</v>
      </c>
      <c r="D1799" t="s">
        <v>1460</v>
      </c>
      <c r="E1799" s="14" t="n">
        <v>0.25</v>
      </c>
      <c r="F1799" s="17" t="n">
        <v>116</v>
      </c>
      <c r="G1799" s="15" t="n">
        <v>-0.153915368831415</v>
      </c>
      <c r="H1799" s="16" t="n">
        <v>-0.197002688401681</v>
      </c>
    </row>
    <row r="1800">
      <c r="A1800" t="s">
        <v>30</v>
      </c>
      <c r="B1800" t="s">
        <v>1081</v>
      </c>
      <c r="C1800" t="s">
        <v>1082</v>
      </c>
      <c r="D1800" t="s">
        <v>1460</v>
      </c>
      <c r="E1800" s="14" t="n">
        <v>0.5</v>
      </c>
      <c r="F1800" s="17" t="n">
        <v>98</v>
      </c>
      <c r="G1800" s="15" t="n">
        <v>-0.48063084796916</v>
      </c>
      <c r="H1800" s="16" t="n">
        <v>-0.137818677908499</v>
      </c>
    </row>
    <row r="1801">
      <c r="A1801" t="s">
        <v>30</v>
      </c>
      <c r="B1801" t="s">
        <v>1081</v>
      </c>
      <c r="C1801" t="s">
        <v>1083</v>
      </c>
      <c r="D1801" t="s">
        <v>1460</v>
      </c>
      <c r="E1801" s="14" t="n">
        <v>0.25</v>
      </c>
      <c r="F1801" s="17" t="n">
        <v>87</v>
      </c>
      <c r="G1801" s="15" t="n">
        <v>-0.248630473842068</v>
      </c>
      <c r="H1801" s="16" t="n">
        <v>0.0261321158169134</v>
      </c>
    </row>
    <row r="1802">
      <c r="A1802" t="s">
        <v>30</v>
      </c>
      <c r="B1802" t="s">
        <v>1084</v>
      </c>
      <c r="C1802" t="s">
        <v>1085</v>
      </c>
      <c r="D1802" t="s">
        <v>1460</v>
      </c>
      <c r="E1802" s="14" t="n">
        <v>1</v>
      </c>
      <c r="F1802" s="17" t="n">
        <v>32</v>
      </c>
      <c r="G1802" s="15" t="n">
        <v>0.438371146789077</v>
      </c>
      <c r="H1802" s="16" t="n">
        <v>0.898794046299167</v>
      </c>
    </row>
    <row r="1803">
      <c r="A1803" t="s">
        <v>31</v>
      </c>
      <c r="B1803" t="s">
        <v>1086</v>
      </c>
      <c r="C1803" t="s">
        <v>1087</v>
      </c>
      <c r="D1803" t="s">
        <v>1460</v>
      </c>
      <c r="E1803" s="14" t="n">
        <v>0.25</v>
      </c>
      <c r="F1803" s="17" t="n">
        <v>90</v>
      </c>
      <c r="G1803" s="15" t="n">
        <v>-0.25</v>
      </c>
      <c r="H1803" s="16" t="n">
        <v>0</v>
      </c>
    </row>
    <row r="1804">
      <c r="A1804" t="s">
        <v>31</v>
      </c>
      <c r="B1804" t="s">
        <v>1086</v>
      </c>
      <c r="C1804" t="s">
        <v>1088</v>
      </c>
      <c r="D1804" t="s">
        <v>1460</v>
      </c>
      <c r="E1804" s="14" t="n">
        <v>0</v>
      </c>
      <c r="F1804" s="17" t="n">
        <v>162</v>
      </c>
      <c r="G1804" s="15" t="n">
        <v>0</v>
      </c>
      <c r="H1804" s="16" t="n">
        <v>0</v>
      </c>
    </row>
    <row r="1805">
      <c r="A1805" t="s">
        <v>32</v>
      </c>
      <c r="B1805" t="s">
        <v>1089</v>
      </c>
      <c r="C1805" t="s">
        <v>1090</v>
      </c>
      <c r="D1805" t="s">
        <v>1460</v>
      </c>
      <c r="E1805" s="14" t="n">
        <v>0.25</v>
      </c>
      <c r="F1805" s="17" t="n">
        <v>73</v>
      </c>
      <c r="G1805" s="15" t="n">
        <v>-0.20725939313876</v>
      </c>
      <c r="H1805" s="16" t="n">
        <v>0.139798225867687</v>
      </c>
    </row>
    <row r="1806">
      <c r="A1806" t="s">
        <v>32</v>
      </c>
      <c r="B1806" t="s">
        <v>1089</v>
      </c>
      <c r="C1806" t="s">
        <v>1091</v>
      </c>
      <c r="D1806" t="s">
        <v>1460</v>
      </c>
      <c r="E1806" s="14" t="n">
        <v>0.25</v>
      </c>
      <c r="F1806" s="17" t="n">
        <v>136</v>
      </c>
      <c r="G1806" s="15" t="n">
        <v>0.0087248741756251</v>
      </c>
      <c r="H1806" s="16" t="n">
        <v>-0.249847706754774</v>
      </c>
    </row>
    <row r="1807">
      <c r="A1807" t="s">
        <v>30</v>
      </c>
      <c r="B1807" t="s">
        <v>1092</v>
      </c>
      <c r="C1807" t="s">
        <v>1093</v>
      </c>
      <c r="D1807" t="s">
        <v>1460</v>
      </c>
      <c r="E1807" s="14" t="n">
        <v>0</v>
      </c>
      <c r="F1807" s="17" t="n">
        <v>14</v>
      </c>
      <c r="G1807" s="15" t="n">
        <v>0</v>
      </c>
      <c r="H1807" s="16" t="n">
        <v>0</v>
      </c>
    </row>
    <row r="1808">
      <c r="A1808" t="s">
        <v>30</v>
      </c>
      <c r="B1808" t="s">
        <v>1094</v>
      </c>
      <c r="C1808" t="s">
        <v>1095</v>
      </c>
      <c r="D1808" t="s">
        <v>1460</v>
      </c>
      <c r="E1808" s="14" t="n">
        <v>0.5</v>
      </c>
      <c r="F1808" s="17" t="n">
        <v>84</v>
      </c>
      <c r="G1808" s="15" t="n">
        <v>-0.489073800366903</v>
      </c>
      <c r="H1808" s="16" t="n">
        <v>0.10395584540888</v>
      </c>
    </row>
    <row r="1809">
      <c r="A1809" t="s">
        <v>30</v>
      </c>
      <c r="B1809" t="s">
        <v>1094</v>
      </c>
      <c r="C1809" t="s">
        <v>1096</v>
      </c>
      <c r="D1809" t="s">
        <v>1460</v>
      </c>
      <c r="E1809" s="14" t="n">
        <v>0.75</v>
      </c>
      <c r="F1809" s="17" t="n">
        <v>91</v>
      </c>
      <c r="G1809" s="15" t="n">
        <v>-0.749543120264322</v>
      </c>
      <c r="H1809" s="16" t="n">
        <v>-0.0261746225268759</v>
      </c>
    </row>
    <row r="1810">
      <c r="A1810" t="s">
        <v>30</v>
      </c>
      <c r="B1810" t="s">
        <v>1097</v>
      </c>
      <c r="C1810" t="s">
        <v>1098</v>
      </c>
      <c r="D1810" t="s">
        <v>1460</v>
      </c>
      <c r="E1810" s="14" t="n">
        <v>0.5</v>
      </c>
      <c r="F1810" s="17" t="n">
        <v>71</v>
      </c>
      <c r="G1810" s="15" t="n">
        <v>-0.394005376803361</v>
      </c>
      <c r="H1810" s="16" t="n">
        <v>0.307830737662829</v>
      </c>
    </row>
    <row r="1811">
      <c r="A1811" t="s">
        <v>31</v>
      </c>
      <c r="B1811" t="s">
        <v>1099</v>
      </c>
      <c r="C1811" t="s">
        <v>1100</v>
      </c>
      <c r="D1811" t="s">
        <v>1460</v>
      </c>
      <c r="E1811" s="14" t="n">
        <v>0.25</v>
      </c>
      <c r="F1811" s="17" t="n">
        <v>119</v>
      </c>
      <c r="G1811" s="15" t="n">
        <v>-0.132479816058301</v>
      </c>
      <c r="H1811" s="16" t="n">
        <v>-0.212012024039107</v>
      </c>
    </row>
    <row r="1812">
      <c r="A1812" t="s">
        <v>32</v>
      </c>
      <c r="B1812" t="s">
        <v>1101</v>
      </c>
      <c r="C1812" t="s">
        <v>1102</v>
      </c>
      <c r="D1812" t="s">
        <v>1460</v>
      </c>
      <c r="E1812" s="14" t="n">
        <v>0.25</v>
      </c>
      <c r="F1812" s="17" t="n">
        <v>142</v>
      </c>
      <c r="G1812" s="15" t="n">
        <v>0.0604804738999169</v>
      </c>
      <c r="H1812" s="16" t="n">
        <v>-0.242573931568999</v>
      </c>
    </row>
    <row r="1813">
      <c r="A1813" t="s">
        <v>32</v>
      </c>
      <c r="B1813" t="s">
        <v>1101</v>
      </c>
      <c r="C1813" t="s">
        <v>1103</v>
      </c>
      <c r="D1813" t="s">
        <v>1460</v>
      </c>
      <c r="E1813" s="14" t="n">
        <v>0.25</v>
      </c>
      <c r="F1813" s="17" t="n">
        <v>92</v>
      </c>
      <c r="G1813" s="15" t="n">
        <v>-0.249391012564956</v>
      </c>
      <c r="H1813" s="16" t="n">
        <v>-0.0174391184360313</v>
      </c>
    </row>
    <row r="1814">
      <c r="A1814" t="s">
        <v>30</v>
      </c>
      <c r="B1814" t="s">
        <v>1104</v>
      </c>
      <c r="C1814" t="s">
        <v>1105</v>
      </c>
      <c r="D1814" t="s">
        <v>1460</v>
      </c>
      <c r="E1814" s="14" t="n">
        <v>1.5</v>
      </c>
      <c r="F1814" s="17" t="n">
        <v>145</v>
      </c>
      <c r="G1814" s="15" t="n">
        <v>0.513030214988504</v>
      </c>
      <c r="H1814" s="16" t="n">
        <v>-1.40953893117886</v>
      </c>
    </row>
    <row r="1815">
      <c r="A1815" t="s">
        <v>30</v>
      </c>
      <c r="B1815" t="s">
        <v>1104</v>
      </c>
      <c r="C1815" t="s">
        <v>1106</v>
      </c>
      <c r="D1815" t="s">
        <v>1460</v>
      </c>
      <c r="E1815" s="14" t="n">
        <v>0.5</v>
      </c>
      <c r="F1815" s="17" t="n">
        <v>167</v>
      </c>
      <c r="G1815" s="15" t="n">
        <v>0.449397023149583</v>
      </c>
      <c r="H1815" s="16" t="n">
        <v>-0.219185573394539</v>
      </c>
    </row>
    <row r="1816">
      <c r="A1816" t="s">
        <v>31</v>
      </c>
      <c r="B1816" t="s">
        <v>1107</v>
      </c>
      <c r="C1816" t="s">
        <v>1108</v>
      </c>
      <c r="D1816" t="s">
        <v>1460</v>
      </c>
      <c r="E1816" s="14" t="n">
        <v>0.25</v>
      </c>
      <c r="F1816" s="17" t="n">
        <v>133</v>
      </c>
      <c r="G1816" s="15" t="n">
        <v>-0.0174391184360314</v>
      </c>
      <c r="H1816" s="16" t="n">
        <v>-0.249391012564956</v>
      </c>
    </row>
    <row r="1817">
      <c r="A1817" t="s">
        <v>32</v>
      </c>
      <c r="B1817" t="s">
        <v>1109</v>
      </c>
      <c r="C1817" t="s">
        <v>1110</v>
      </c>
      <c r="D1817" t="s">
        <v>1460</v>
      </c>
      <c r="E1817" s="14" t="n">
        <v>0.25</v>
      </c>
      <c r="F1817" s="17" t="n">
        <v>9</v>
      </c>
      <c r="G1817" s="15" t="n">
        <v>0.237764129073788</v>
      </c>
      <c r="H1817" s="16" t="n">
        <v>0.0772542485937368</v>
      </c>
    </row>
    <row r="1818">
      <c r="A1818" t="s">
        <v>31</v>
      </c>
      <c r="B1818" t="s">
        <v>1111</v>
      </c>
      <c r="C1818" t="s">
        <v>1112</v>
      </c>
      <c r="D1818" t="s">
        <v>1460</v>
      </c>
      <c r="E1818" s="14" t="n">
        <v>0.25</v>
      </c>
      <c r="F1818" s="17" t="n">
        <v>63</v>
      </c>
      <c r="G1818" s="15" t="n">
        <v>-0.146946313073118</v>
      </c>
      <c r="H1818" s="16" t="n">
        <v>0.202254248593737</v>
      </c>
    </row>
    <row r="1819">
      <c r="A1819" t="s">
        <v>31</v>
      </c>
      <c r="B1819" t="s">
        <v>1111</v>
      </c>
      <c r="C1819" t="s">
        <v>1113</v>
      </c>
      <c r="D1819" t="s">
        <v>1460</v>
      </c>
      <c r="E1819" s="14" t="n">
        <v>0.25</v>
      </c>
      <c r="F1819" s="17" t="n">
        <v>72</v>
      </c>
      <c r="G1819" s="15" t="n">
        <v>-0.202254248593737</v>
      </c>
      <c r="H1819" s="16" t="n">
        <v>0.146946313073118</v>
      </c>
    </row>
    <row r="1820">
      <c r="A1820" t="s">
        <v>31</v>
      </c>
      <c r="B1820" t="s">
        <v>1114</v>
      </c>
      <c r="C1820" t="s">
        <v>1115</v>
      </c>
      <c r="D1820" t="s">
        <v>1460</v>
      </c>
      <c r="E1820" s="14" t="n">
        <v>0.5</v>
      </c>
      <c r="F1820" s="17" t="n">
        <v>15</v>
      </c>
      <c r="G1820" s="15" t="n">
        <v>0.433012701892219</v>
      </c>
      <c r="H1820" s="16" t="n">
        <v>0.25</v>
      </c>
    </row>
    <row r="1821">
      <c r="A1821" t="s">
        <v>31</v>
      </c>
      <c r="B1821" t="s">
        <v>1114</v>
      </c>
      <c r="C1821" t="s">
        <v>1116</v>
      </c>
      <c r="D1821" t="s">
        <v>1460</v>
      </c>
      <c r="E1821" s="14" t="n">
        <v>0.25</v>
      </c>
      <c r="F1821" s="17" t="n">
        <v>148</v>
      </c>
      <c r="G1821" s="15" t="n">
        <v>0.109592786697269</v>
      </c>
      <c r="H1821" s="16" t="n">
        <v>-0.224698511574792</v>
      </c>
    </row>
    <row r="1822">
      <c r="A1822" t="s">
        <v>32</v>
      </c>
      <c r="B1822" t="s">
        <v>1117</v>
      </c>
      <c r="C1822" t="s">
        <v>1118</v>
      </c>
      <c r="D1822" t="s">
        <v>1460</v>
      </c>
      <c r="E1822" s="14" t="n">
        <v>0.25</v>
      </c>
      <c r="F1822" s="17" t="n">
        <v>171</v>
      </c>
      <c r="G1822" s="15" t="n">
        <v>0.237764129073788</v>
      </c>
      <c r="H1822" s="16" t="n">
        <v>-0.0772542485937369</v>
      </c>
    </row>
    <row r="1823">
      <c r="A1823" t="s">
        <v>30</v>
      </c>
      <c r="B1823" t="s">
        <v>1119</v>
      </c>
      <c r="C1823" t="s">
        <v>1120</v>
      </c>
      <c r="D1823" t="s">
        <v>1460</v>
      </c>
      <c r="E1823" s="14" t="n">
        <v>0.75</v>
      </c>
      <c r="F1823" s="17" t="n">
        <v>150</v>
      </c>
      <c r="G1823" s="15" t="n">
        <v>0.375</v>
      </c>
      <c r="H1823" s="16" t="n">
        <v>-0.649519052838329</v>
      </c>
    </row>
    <row r="1824">
      <c r="A1824" t="s">
        <v>30</v>
      </c>
      <c r="B1824" t="s">
        <v>1119</v>
      </c>
      <c r="C1824" t="s">
        <v>1121</v>
      </c>
      <c r="D1824" t="s">
        <v>1460</v>
      </c>
      <c r="E1824" s="14" t="n">
        <v>0.25</v>
      </c>
      <c r="F1824" s="17" t="n">
        <v>168</v>
      </c>
      <c r="G1824" s="15" t="n">
        <v>0.22838636441065</v>
      </c>
      <c r="H1824" s="16" t="n">
        <v>-0.10168416076895</v>
      </c>
    </row>
    <row r="1825">
      <c r="A1825" t="s">
        <v>30</v>
      </c>
      <c r="B1825" t="s">
        <v>1122</v>
      </c>
      <c r="C1825" t="s">
        <v>1123</v>
      </c>
      <c r="D1825" t="s">
        <v>1460</v>
      </c>
      <c r="E1825" s="14" t="n">
        <v>0.25</v>
      </c>
      <c r="F1825" s="17" t="n">
        <v>166</v>
      </c>
      <c r="G1825" s="15" t="n">
        <v>0.220736898214732</v>
      </c>
      <c r="H1825" s="16" t="n">
        <v>-0.117367890696473</v>
      </c>
    </row>
    <row r="1826">
      <c r="A1826" t="s">
        <v>31</v>
      </c>
      <c r="B1826" t="s">
        <v>1124</v>
      </c>
      <c r="C1826" t="s">
        <v>1125</v>
      </c>
      <c r="D1826" t="s">
        <v>1460</v>
      </c>
      <c r="E1826" s="14" t="n">
        <v>0</v>
      </c>
      <c r="F1826" s="17" t="n">
        <v>154</v>
      </c>
      <c r="G1826" s="15" t="n">
        <v>0</v>
      </c>
      <c r="H1826" s="16" t="n">
        <v>0</v>
      </c>
    </row>
    <row r="1827">
      <c r="A1827" t="s">
        <v>30</v>
      </c>
      <c r="B1827" t="s">
        <v>1126</v>
      </c>
      <c r="C1827" t="s">
        <v>1127</v>
      </c>
      <c r="D1827" t="s">
        <v>1460</v>
      </c>
      <c r="E1827" s="14" t="n">
        <v>0</v>
      </c>
      <c r="F1827" s="17" t="n">
        <v>137</v>
      </c>
      <c r="G1827" s="15" t="n">
        <v>0</v>
      </c>
      <c r="H1827" s="16" t="n">
        <v>0</v>
      </c>
    </row>
    <row r="1828">
      <c r="A1828" t="s">
        <v>30</v>
      </c>
      <c r="B1828" t="s">
        <v>1126</v>
      </c>
      <c r="C1828" t="s">
        <v>1128</v>
      </c>
      <c r="D1828" t="s">
        <v>1460</v>
      </c>
      <c r="E1828" s="14" t="n">
        <v>0</v>
      </c>
      <c r="F1828" s="17" t="n">
        <v>31</v>
      </c>
      <c r="G1828" s="15" t="n">
        <v>0</v>
      </c>
      <c r="H1828" s="16" t="n">
        <v>0</v>
      </c>
    </row>
    <row r="1829">
      <c r="A1829" t="s">
        <v>31</v>
      </c>
      <c r="B1829" t="s">
        <v>1129</v>
      </c>
      <c r="C1829" t="s">
        <v>1130</v>
      </c>
      <c r="D1829" t="s">
        <v>1460</v>
      </c>
      <c r="E1829" s="14" t="n">
        <v>0.25</v>
      </c>
      <c r="F1829" s="17" t="n">
        <v>152</v>
      </c>
      <c r="G1829" s="15" t="n">
        <v>0.139798225867687</v>
      </c>
      <c r="H1829" s="16" t="n">
        <v>-0.20725939313876</v>
      </c>
    </row>
    <row r="1830">
      <c r="A1830" t="s">
        <v>31</v>
      </c>
      <c r="B1830" t="s">
        <v>1129</v>
      </c>
      <c r="C1830" t="s">
        <v>1131</v>
      </c>
      <c r="D1830" t="s">
        <v>1460</v>
      </c>
      <c r="E1830" s="14" t="n">
        <v>0</v>
      </c>
      <c r="F1830" s="17" t="n">
        <v>142</v>
      </c>
      <c r="G1830" s="15" t="n">
        <v>0</v>
      </c>
      <c r="H1830" s="16" t="n">
        <v>0</v>
      </c>
    </row>
    <row r="1831">
      <c r="A1831" t="s">
        <v>31</v>
      </c>
      <c r="B1831" t="s">
        <v>1132</v>
      </c>
      <c r="C1831" t="s">
        <v>1133</v>
      </c>
      <c r="D1831" t="s">
        <v>1460</v>
      </c>
      <c r="E1831" s="14" t="n">
        <v>0.25</v>
      </c>
      <c r="F1831" s="17" t="n">
        <v>9</v>
      </c>
      <c r="G1831" s="15" t="n">
        <v>0.237764129073788</v>
      </c>
      <c r="H1831" s="16" t="n">
        <v>0.0772542485937368</v>
      </c>
    </row>
    <row r="1832">
      <c r="A1832" t="s">
        <v>31</v>
      </c>
      <c r="B1832" t="s">
        <v>1132</v>
      </c>
      <c r="C1832" t="s">
        <v>1134</v>
      </c>
      <c r="D1832" t="s">
        <v>1460</v>
      </c>
      <c r="E1832" s="14" t="n">
        <v>0.25</v>
      </c>
      <c r="F1832" s="17" t="n">
        <v>157</v>
      </c>
      <c r="G1832" s="15" t="n">
        <v>0.173664592614749</v>
      </c>
      <c r="H1832" s="16" t="n">
        <v>-0.179834950084663</v>
      </c>
    </row>
    <row r="1833">
      <c r="A1833" t="s">
        <v>31</v>
      </c>
      <c r="B1833" t="s">
        <v>1135</v>
      </c>
      <c r="C1833" t="s">
        <v>1136</v>
      </c>
      <c r="D1833" t="s">
        <v>1460</v>
      </c>
      <c r="E1833" s="14" t="n">
        <v>0</v>
      </c>
      <c r="F1833" s="17" t="n">
        <v>10</v>
      </c>
      <c r="G1833" s="15" t="n">
        <v>0</v>
      </c>
      <c r="H1833" s="16" t="n">
        <v>0</v>
      </c>
    </row>
    <row r="1834">
      <c r="A1834" t="s">
        <v>31</v>
      </c>
      <c r="B1834" t="s">
        <v>1135</v>
      </c>
      <c r="C1834" t="s">
        <v>1137</v>
      </c>
      <c r="D1834" t="s">
        <v>1460</v>
      </c>
      <c r="E1834" s="14" t="n">
        <v>0.25</v>
      </c>
      <c r="F1834" s="17" t="n">
        <v>92</v>
      </c>
      <c r="G1834" s="15" t="n">
        <v>-0.249391012564956</v>
      </c>
      <c r="H1834" s="16" t="n">
        <v>-0.0174391184360313</v>
      </c>
    </row>
    <row r="1835">
      <c r="A1835" t="s">
        <v>32</v>
      </c>
      <c r="B1835" t="s">
        <v>1138</v>
      </c>
      <c r="C1835" t="s">
        <v>1139</v>
      </c>
      <c r="D1835" t="s">
        <v>1460</v>
      </c>
      <c r="E1835" s="14" t="n">
        <v>0</v>
      </c>
      <c r="F1835" s="17" t="n">
        <v>145</v>
      </c>
      <c r="G1835" s="15" t="n">
        <v>0</v>
      </c>
      <c r="H1835" s="16" t="n">
        <v>0</v>
      </c>
    </row>
    <row r="1836">
      <c r="A1836" t="s">
        <v>32</v>
      </c>
      <c r="B1836" t="s">
        <v>1138</v>
      </c>
      <c r="C1836" t="s">
        <v>1140</v>
      </c>
      <c r="D1836" t="s">
        <v>1460</v>
      </c>
      <c r="E1836" s="14" t="n">
        <v>0</v>
      </c>
      <c r="F1836" s="17" t="n">
        <v>119</v>
      </c>
      <c r="G1836" s="15" t="n">
        <v>0</v>
      </c>
      <c r="H1836" s="16" t="n">
        <v>0</v>
      </c>
    </row>
    <row r="1837">
      <c r="A1837" t="s">
        <v>31</v>
      </c>
      <c r="B1837" t="s">
        <v>1141</v>
      </c>
      <c r="C1837" t="s">
        <v>1142</v>
      </c>
      <c r="D1837" t="s">
        <v>1460</v>
      </c>
      <c r="E1837" s="14" t="n">
        <v>0</v>
      </c>
      <c r="F1837" s="17" t="n">
        <v>166</v>
      </c>
      <c r="G1837" s="15" t="n">
        <v>0</v>
      </c>
      <c r="H1837" s="16" t="n">
        <v>0</v>
      </c>
    </row>
    <row r="1838">
      <c r="A1838" t="s">
        <v>31</v>
      </c>
      <c r="B1838" t="s">
        <v>1141</v>
      </c>
      <c r="C1838" t="s">
        <v>1143</v>
      </c>
      <c r="D1838" t="s">
        <v>1460</v>
      </c>
      <c r="E1838" s="14" t="n">
        <v>0.25</v>
      </c>
      <c r="F1838" s="17" t="n">
        <v>141</v>
      </c>
      <c r="G1838" s="15" t="n">
        <v>0.0519779227044399</v>
      </c>
      <c r="H1838" s="16" t="n">
        <v>-0.244536900183451</v>
      </c>
    </row>
    <row r="1839">
      <c r="A1839" t="s">
        <v>31</v>
      </c>
      <c r="B1839" t="s">
        <v>1144</v>
      </c>
      <c r="C1839" t="s">
        <v>1145</v>
      </c>
      <c r="D1839" t="s">
        <v>1460</v>
      </c>
      <c r="E1839" s="14" t="n">
        <v>0.25</v>
      </c>
      <c r="F1839" s="17" t="n">
        <v>92</v>
      </c>
      <c r="G1839" s="15" t="n">
        <v>-0.249391012564956</v>
      </c>
      <c r="H1839" s="16" t="n">
        <v>-0.0174391184360313</v>
      </c>
    </row>
    <row r="1840">
      <c r="A1840" t="s">
        <v>31</v>
      </c>
      <c r="B1840" t="s">
        <v>1144</v>
      </c>
      <c r="C1840" t="s">
        <v>1146</v>
      </c>
      <c r="D1840" t="s">
        <v>1460</v>
      </c>
      <c r="E1840" s="14" t="n">
        <v>0.25</v>
      </c>
      <c r="F1840" s="17" t="n">
        <v>154</v>
      </c>
      <c r="G1840" s="15" t="n">
        <v>0.153915368831414</v>
      </c>
      <c r="H1840" s="16" t="n">
        <v>-0.197002688401681</v>
      </c>
    </row>
    <row r="1841">
      <c r="A1841" t="s">
        <v>30</v>
      </c>
      <c r="B1841" t="s">
        <v>1147</v>
      </c>
      <c r="C1841" t="s">
        <v>1148</v>
      </c>
      <c r="D1841" t="s">
        <v>1460</v>
      </c>
      <c r="E1841" s="14" t="n">
        <v>0.5</v>
      </c>
      <c r="F1841" s="17" t="n">
        <v>69</v>
      </c>
      <c r="G1841" s="15" t="n">
        <v>-0.371572412738697</v>
      </c>
      <c r="H1841" s="16" t="n">
        <v>0.334565303179429</v>
      </c>
    </row>
    <row r="1842">
      <c r="A1842" t="s">
        <v>30</v>
      </c>
      <c r="B1842" t="s">
        <v>1147</v>
      </c>
      <c r="C1842" t="s">
        <v>1149</v>
      </c>
      <c r="D1842" t="s">
        <v>1460</v>
      </c>
      <c r="E1842" s="14" t="n">
        <v>0.25</v>
      </c>
      <c r="F1842" s="17" t="n">
        <v>70</v>
      </c>
      <c r="G1842" s="15" t="n">
        <v>-0.191511110779744</v>
      </c>
      <c r="H1842" s="16" t="n">
        <v>0.160696902421635</v>
      </c>
    </row>
    <row r="1843">
      <c r="A1843" t="s">
        <v>31</v>
      </c>
      <c r="B1843" t="s">
        <v>1150</v>
      </c>
      <c r="C1843" t="s">
        <v>1151</v>
      </c>
      <c r="D1843" t="s">
        <v>1460</v>
      </c>
      <c r="E1843" s="14" t="n">
        <v>0</v>
      </c>
      <c r="F1843" s="17" t="n">
        <v>62</v>
      </c>
      <c r="G1843" s="15" t="n">
        <v>0</v>
      </c>
      <c r="H1843" s="16" t="n">
        <v>0</v>
      </c>
    </row>
    <row r="1844">
      <c r="A1844" t="s">
        <v>30</v>
      </c>
      <c r="B1844" t="s">
        <v>1152</v>
      </c>
      <c r="C1844" t="s">
        <v>1153</v>
      </c>
      <c r="D1844" t="s">
        <v>1460</v>
      </c>
      <c r="E1844" s="14" t="n">
        <v>0.25</v>
      </c>
      <c r="F1844" s="17" t="n">
        <v>32</v>
      </c>
      <c r="G1844" s="15" t="n">
        <v>0.109592786697269</v>
      </c>
      <c r="H1844" s="16" t="n">
        <v>0.224698511574792</v>
      </c>
    </row>
    <row r="1845">
      <c r="A1845" t="s">
        <v>30</v>
      </c>
      <c r="B1845" t="s">
        <v>1152</v>
      </c>
      <c r="C1845" t="s">
        <v>1154</v>
      </c>
      <c r="D1845" t="s">
        <v>1460</v>
      </c>
      <c r="E1845" s="14" t="n">
        <v>0.25</v>
      </c>
      <c r="F1845" s="17" t="n">
        <v>168</v>
      </c>
      <c r="G1845" s="15" t="n">
        <v>0.22838636441065</v>
      </c>
      <c r="H1845" s="16" t="n">
        <v>-0.10168416076895</v>
      </c>
    </row>
    <row r="1846">
      <c r="A1846" t="s">
        <v>30</v>
      </c>
      <c r="B1846" t="s">
        <v>1155</v>
      </c>
      <c r="C1846" t="s">
        <v>1156</v>
      </c>
      <c r="D1846" t="s">
        <v>1460</v>
      </c>
      <c r="E1846" s="14" t="n">
        <v>0.5</v>
      </c>
      <c r="F1846" s="17" t="n">
        <v>129</v>
      </c>
      <c r="G1846" s="15" t="n">
        <v>-0.10395584540888</v>
      </c>
      <c r="H1846" s="16" t="n">
        <v>-0.489073800366903</v>
      </c>
    </row>
    <row r="1847">
      <c r="A1847" t="s">
        <v>31</v>
      </c>
      <c r="B1847" t="s">
        <v>1157</v>
      </c>
      <c r="C1847" t="s">
        <v>1158</v>
      </c>
      <c r="D1847" t="s">
        <v>1460</v>
      </c>
      <c r="E1847" s="14" t="n">
        <v>0.25</v>
      </c>
      <c r="F1847" s="17" t="n">
        <v>165</v>
      </c>
      <c r="G1847" s="15" t="n">
        <v>0.21650635094611</v>
      </c>
      <c r="H1847" s="16" t="n">
        <v>-0.125</v>
      </c>
    </row>
    <row r="1848">
      <c r="A1848" t="s">
        <v>31</v>
      </c>
      <c r="B1848" t="s">
        <v>1157</v>
      </c>
      <c r="C1848" t="s">
        <v>1159</v>
      </c>
      <c r="D1848" t="s">
        <v>1460</v>
      </c>
      <c r="E1848" s="14" t="n">
        <v>0.25</v>
      </c>
      <c r="F1848" s="17" t="n">
        <v>30</v>
      </c>
      <c r="G1848" s="15" t="n">
        <v>0.125</v>
      </c>
      <c r="H1848" s="16" t="n">
        <v>0.21650635094611</v>
      </c>
    </row>
    <row r="1849">
      <c r="A1849" t="s">
        <v>32</v>
      </c>
      <c r="B1849" t="s">
        <v>1160</v>
      </c>
      <c r="C1849" t="s">
        <v>1161</v>
      </c>
      <c r="D1849" t="s">
        <v>1460</v>
      </c>
      <c r="E1849" s="14" t="n">
        <v>0.25</v>
      </c>
      <c r="F1849" s="17" t="n">
        <v>164</v>
      </c>
      <c r="G1849" s="15" t="n">
        <v>0.212012024039106</v>
      </c>
      <c r="H1849" s="16" t="n">
        <v>-0.132479816058301</v>
      </c>
    </row>
    <row r="1850">
      <c r="A1850" t="s">
        <v>32</v>
      </c>
      <c r="B1850" t="s">
        <v>1160</v>
      </c>
      <c r="C1850" t="s">
        <v>1162</v>
      </c>
      <c r="D1850" t="s">
        <v>1460</v>
      </c>
      <c r="E1850" s="14" t="n">
        <v>0.25</v>
      </c>
      <c r="F1850" s="17" t="n">
        <v>45</v>
      </c>
      <c r="G1850" s="15" t="n">
        <v>0</v>
      </c>
      <c r="H1850" s="16" t="n">
        <v>0.25</v>
      </c>
    </row>
    <row r="1851">
      <c r="A1851" t="s">
        <v>30</v>
      </c>
      <c r="B1851" t="s">
        <v>1163</v>
      </c>
      <c r="C1851" t="s">
        <v>1164</v>
      </c>
      <c r="D1851" t="s">
        <v>1460</v>
      </c>
      <c r="E1851" s="14" t="n">
        <v>0.25</v>
      </c>
      <c r="F1851" s="17" t="n">
        <v>124</v>
      </c>
      <c r="G1851" s="15" t="n">
        <v>-0.0936516483539781</v>
      </c>
      <c r="H1851" s="16" t="n">
        <v>-0.231795963641697</v>
      </c>
    </row>
    <row r="1852">
      <c r="A1852" t="s">
        <v>31</v>
      </c>
      <c r="B1852" t="s">
        <v>1165</v>
      </c>
      <c r="C1852" t="s">
        <v>1166</v>
      </c>
      <c r="D1852" t="s">
        <v>1460</v>
      </c>
      <c r="E1852" s="14" t="n">
        <v>0.25</v>
      </c>
      <c r="F1852" s="17" t="n">
        <v>17</v>
      </c>
      <c r="G1852" s="15" t="n">
        <v>0.20725939313876</v>
      </c>
      <c r="H1852" s="16" t="n">
        <v>0.139798225867687</v>
      </c>
    </row>
    <row r="1853">
      <c r="A1853" t="s">
        <v>30</v>
      </c>
      <c r="B1853" t="s">
        <v>1167</v>
      </c>
      <c r="C1853" t="s">
        <v>1168</v>
      </c>
      <c r="D1853" t="s">
        <v>1460</v>
      </c>
      <c r="E1853" s="14" t="n">
        <v>0</v>
      </c>
      <c r="F1853" s="17" t="n">
        <v>138</v>
      </c>
      <c r="G1853" s="15" t="n">
        <v>0</v>
      </c>
      <c r="H1853" s="16" t="n">
        <v>0</v>
      </c>
    </row>
    <row r="1854">
      <c r="A1854" t="s">
        <v>30</v>
      </c>
      <c r="B1854" t="s">
        <v>1167</v>
      </c>
      <c r="C1854" t="s">
        <v>1169</v>
      </c>
      <c r="D1854" t="s">
        <v>1460</v>
      </c>
      <c r="E1854" s="14" t="n">
        <v>0.25</v>
      </c>
      <c r="F1854" s="17" t="n">
        <v>121</v>
      </c>
      <c r="G1854" s="15" t="n">
        <v>-0.117367890696473</v>
      </c>
      <c r="H1854" s="16" t="n">
        <v>-0.220736898214732</v>
      </c>
    </row>
    <row r="1855">
      <c r="A1855" t="s">
        <v>31</v>
      </c>
      <c r="B1855" t="s">
        <v>1170</v>
      </c>
      <c r="C1855" t="s">
        <v>1171</v>
      </c>
      <c r="D1855" t="s">
        <v>1460</v>
      </c>
      <c r="E1855" s="14" t="n">
        <v>0.25</v>
      </c>
      <c r="F1855" s="17" t="n">
        <v>97</v>
      </c>
      <c r="G1855" s="15" t="n">
        <v>-0.242573931568999</v>
      </c>
      <c r="H1855" s="16" t="n">
        <v>-0.0604804738999169</v>
      </c>
    </row>
    <row r="1856">
      <c r="A1856" t="s">
        <v>31</v>
      </c>
      <c r="B1856" t="s">
        <v>1170</v>
      </c>
      <c r="C1856" t="s">
        <v>1172</v>
      </c>
      <c r="D1856" t="s">
        <v>1460</v>
      </c>
      <c r="E1856" s="14" t="n">
        <v>0.25</v>
      </c>
      <c r="F1856" s="17" t="n">
        <v>86</v>
      </c>
      <c r="G1856" s="15" t="n">
        <v>-0.247567017185393</v>
      </c>
      <c r="H1856" s="16" t="n">
        <v>0.0347932752400163</v>
      </c>
    </row>
    <row r="1857">
      <c r="A1857" t="s">
        <v>31</v>
      </c>
      <c r="B1857" t="s">
        <v>1173</v>
      </c>
      <c r="C1857" t="s">
        <v>1174</v>
      </c>
      <c r="D1857" t="s">
        <v>1460</v>
      </c>
      <c r="E1857" s="14" t="n">
        <v>0.25</v>
      </c>
      <c r="F1857" s="17" t="n">
        <v>42</v>
      </c>
      <c r="G1857" s="15" t="n">
        <v>0.0261321158169134</v>
      </c>
      <c r="H1857" s="16" t="n">
        <v>0.248630473842068</v>
      </c>
    </row>
    <row r="1858">
      <c r="A1858" t="s">
        <v>31</v>
      </c>
      <c r="B1858" t="s">
        <v>1173</v>
      </c>
      <c r="C1858" t="s">
        <v>1175</v>
      </c>
      <c r="D1858" t="s">
        <v>1460</v>
      </c>
      <c r="E1858" s="14" t="n">
        <v>0.25</v>
      </c>
      <c r="F1858" s="17" t="n">
        <v>121</v>
      </c>
      <c r="G1858" s="15" t="n">
        <v>-0.117367890696473</v>
      </c>
      <c r="H1858" s="16" t="n">
        <v>-0.220736898214732</v>
      </c>
    </row>
    <row r="1859">
      <c r="A1859" t="s">
        <v>31</v>
      </c>
      <c r="B1859" t="s">
        <v>1176</v>
      </c>
      <c r="C1859" t="s">
        <v>1177</v>
      </c>
      <c r="D1859" t="s">
        <v>1460</v>
      </c>
      <c r="E1859" s="14" t="n">
        <v>0.25</v>
      </c>
      <c r="F1859" s="17" t="n">
        <v>21</v>
      </c>
      <c r="G1859" s="15" t="n">
        <v>0.185786206369349</v>
      </c>
      <c r="H1859" s="16" t="n">
        <v>0.167282651589715</v>
      </c>
    </row>
    <row r="1860">
      <c r="A1860" t="s">
        <v>31</v>
      </c>
      <c r="B1860" t="s">
        <v>1176</v>
      </c>
      <c r="C1860" t="s">
        <v>1178</v>
      </c>
      <c r="D1860" t="s">
        <v>1460</v>
      </c>
      <c r="E1860" s="14" t="n">
        <v>0.25</v>
      </c>
      <c r="F1860" s="17" t="n">
        <v>173</v>
      </c>
      <c r="G1860" s="15" t="n">
        <v>0.242573931568999</v>
      </c>
      <c r="H1860" s="16" t="n">
        <v>-0.0604804738999169</v>
      </c>
    </row>
    <row r="1861">
      <c r="A1861" t="s">
        <v>31</v>
      </c>
      <c r="B1861" t="s">
        <v>1179</v>
      </c>
      <c r="C1861" t="s">
        <v>1180</v>
      </c>
      <c r="D1861" t="s">
        <v>1460</v>
      </c>
      <c r="E1861" s="14" t="n">
        <v>0.75</v>
      </c>
      <c r="F1861" s="17" t="n">
        <v>58</v>
      </c>
      <c r="G1861" s="15" t="n">
        <v>-0.328778360091808</v>
      </c>
      <c r="H1861" s="16" t="n">
        <v>0.674095534724375</v>
      </c>
    </row>
    <row r="1862">
      <c r="A1862" t="s">
        <v>31</v>
      </c>
      <c r="B1862" t="s">
        <v>1179</v>
      </c>
      <c r="C1862" t="s">
        <v>1181</v>
      </c>
      <c r="D1862" t="s">
        <v>1460</v>
      </c>
      <c r="E1862" s="14" t="n">
        <v>0.25</v>
      </c>
      <c r="F1862" s="17" t="n">
        <v>122</v>
      </c>
      <c r="G1862" s="15" t="n">
        <v>-0.109592786697269</v>
      </c>
      <c r="H1862" s="16" t="n">
        <v>-0.224698511574792</v>
      </c>
    </row>
    <row r="1863">
      <c r="A1863" t="s">
        <v>30</v>
      </c>
      <c r="B1863" t="s">
        <v>1182</v>
      </c>
      <c r="C1863" t="s">
        <v>1183</v>
      </c>
      <c r="D1863" t="s">
        <v>1460</v>
      </c>
      <c r="E1863" s="14" t="n">
        <v>0.25</v>
      </c>
      <c r="F1863" s="17" t="n">
        <v>48</v>
      </c>
      <c r="G1863" s="15" t="n">
        <v>-0.0261321158169133</v>
      </c>
      <c r="H1863" s="16" t="n">
        <v>0.248630473842068</v>
      </c>
    </row>
    <row r="1864">
      <c r="A1864" t="s">
        <v>32</v>
      </c>
      <c r="B1864" t="s">
        <v>1184</v>
      </c>
      <c r="C1864" t="s">
        <v>1185</v>
      </c>
      <c r="D1864" t="s">
        <v>1460</v>
      </c>
      <c r="E1864" s="14" t="n">
        <v>0.25</v>
      </c>
      <c r="F1864" s="17" t="n">
        <v>128</v>
      </c>
      <c r="G1864" s="15" t="n">
        <v>-0.0604804738999169</v>
      </c>
      <c r="H1864" s="16" t="n">
        <v>-0.242573931568999</v>
      </c>
    </row>
    <row r="1865">
      <c r="A1865" t="s">
        <v>32</v>
      </c>
      <c r="B1865" t="s">
        <v>1184</v>
      </c>
      <c r="C1865" t="s">
        <v>1186</v>
      </c>
      <c r="D1865" t="s">
        <v>1460</v>
      </c>
      <c r="E1865" s="14" t="n">
        <v>0.25</v>
      </c>
      <c r="F1865" s="17" t="n">
        <v>54</v>
      </c>
      <c r="G1865" s="15" t="n">
        <v>-0.0772542485937368</v>
      </c>
      <c r="H1865" s="16" t="n">
        <v>0.237764129073788</v>
      </c>
    </row>
    <row r="1866">
      <c r="A1866" t="s">
        <v>30</v>
      </c>
      <c r="B1866" t="s">
        <v>1187</v>
      </c>
      <c r="C1866" t="s">
        <v>1188</v>
      </c>
      <c r="D1866" t="s">
        <v>1460</v>
      </c>
      <c r="E1866" s="14" t="n">
        <v>0.25</v>
      </c>
      <c r="F1866" s="17" t="n">
        <v>33</v>
      </c>
      <c r="G1866" s="15" t="n">
        <v>0.10168416076895</v>
      </c>
      <c r="H1866" s="16" t="n">
        <v>0.22838636441065</v>
      </c>
    </row>
    <row r="1867">
      <c r="A1867" t="s">
        <v>30</v>
      </c>
      <c r="B1867" t="s">
        <v>1187</v>
      </c>
      <c r="C1867" t="s">
        <v>1189</v>
      </c>
      <c r="D1867" t="s">
        <v>1460</v>
      </c>
      <c r="E1867" s="14" t="n">
        <v>0</v>
      </c>
      <c r="F1867" s="17" t="n">
        <v>71</v>
      </c>
      <c r="G1867" s="15" t="n">
        <v>0</v>
      </c>
      <c r="H1867" s="16" t="n">
        <v>0</v>
      </c>
    </row>
    <row r="1868">
      <c r="A1868" t="s">
        <v>30</v>
      </c>
      <c r="B1868" t="s">
        <v>1190</v>
      </c>
      <c r="C1868" t="s">
        <v>1191</v>
      </c>
      <c r="D1868" t="s">
        <v>1460</v>
      </c>
      <c r="E1868" s="14" t="n">
        <v>0.25</v>
      </c>
      <c r="F1868" s="17" t="n">
        <v>103</v>
      </c>
      <c r="G1868" s="15" t="n">
        <v>-0.224698511574792</v>
      </c>
      <c r="H1868" s="16" t="n">
        <v>-0.109592786697269</v>
      </c>
    </row>
    <row r="1869">
      <c r="A1869" t="s">
        <v>30</v>
      </c>
      <c r="B1869" t="s">
        <v>1190</v>
      </c>
      <c r="C1869" t="s">
        <v>1192</v>
      </c>
      <c r="D1869" t="s">
        <v>1460</v>
      </c>
      <c r="E1869" s="14" t="n">
        <v>0.25</v>
      </c>
      <c r="F1869" s="17" t="n">
        <v>137</v>
      </c>
      <c r="G1869" s="15" t="n">
        <v>0.0174391184360313</v>
      </c>
      <c r="H1869" s="16" t="n">
        <v>-0.249391012564956</v>
      </c>
    </row>
    <row r="1870">
      <c r="A1870" t="s">
        <v>31</v>
      </c>
      <c r="B1870" t="s">
        <v>1193</v>
      </c>
      <c r="C1870" t="s">
        <v>1194</v>
      </c>
      <c r="D1870" t="s">
        <v>1460</v>
      </c>
      <c r="E1870" s="14" t="n">
        <v>0.25</v>
      </c>
      <c r="F1870" s="17" t="n">
        <v>86</v>
      </c>
      <c r="G1870" s="15" t="n">
        <v>-0.247567017185393</v>
      </c>
      <c r="H1870" s="16" t="n">
        <v>0.0347932752400163</v>
      </c>
    </row>
    <row r="1871">
      <c r="A1871" t="s">
        <v>31</v>
      </c>
      <c r="B1871" t="s">
        <v>1193</v>
      </c>
      <c r="C1871" t="s">
        <v>1195</v>
      </c>
      <c r="D1871" t="s">
        <v>1460</v>
      </c>
      <c r="E1871" s="14" t="n">
        <v>0.25</v>
      </c>
      <c r="F1871" s="17" t="n">
        <v>130</v>
      </c>
      <c r="G1871" s="15" t="n">
        <v>-0.0434120444167326</v>
      </c>
      <c r="H1871" s="16" t="n">
        <v>-0.246201938253052</v>
      </c>
    </row>
    <row r="1872">
      <c r="A1872" t="s">
        <v>31</v>
      </c>
      <c r="B1872" t="s">
        <v>1196</v>
      </c>
      <c r="C1872" t="s">
        <v>1197</v>
      </c>
      <c r="D1872" t="s">
        <v>1460</v>
      </c>
      <c r="E1872" s="14" t="n">
        <v>0.25</v>
      </c>
      <c r="F1872" s="17" t="n">
        <v>35</v>
      </c>
      <c r="G1872" s="15" t="n">
        <v>0.0855050358314172</v>
      </c>
      <c r="H1872" s="16" t="n">
        <v>0.234923155196477</v>
      </c>
    </row>
    <row r="1873">
      <c r="A1873" t="s">
        <v>32</v>
      </c>
      <c r="B1873" t="s">
        <v>1198</v>
      </c>
      <c r="C1873" t="s">
        <v>1199</v>
      </c>
      <c r="D1873" t="s">
        <v>1460</v>
      </c>
      <c r="E1873" s="14" t="n">
        <v>0</v>
      </c>
      <c r="F1873" s="17" t="n">
        <v>122</v>
      </c>
      <c r="G1873" s="15" t="n">
        <v>0</v>
      </c>
      <c r="H1873" s="16" t="n">
        <v>0</v>
      </c>
    </row>
    <row r="1874">
      <c r="A1874" t="s">
        <v>32</v>
      </c>
      <c r="B1874" t="s">
        <v>1200</v>
      </c>
      <c r="C1874" t="s">
        <v>1201</v>
      </c>
      <c r="D1874" t="s">
        <v>1460</v>
      </c>
      <c r="E1874" s="14" t="n">
        <v>0</v>
      </c>
      <c r="F1874" s="17" t="n">
        <v>63</v>
      </c>
      <c r="G1874" s="15" t="n">
        <v>0</v>
      </c>
      <c r="H1874" s="16" t="n">
        <v>0</v>
      </c>
    </row>
    <row r="1875">
      <c r="A1875" t="s">
        <v>32</v>
      </c>
      <c r="B1875" t="s">
        <v>1202</v>
      </c>
      <c r="C1875" t="s">
        <v>1203</v>
      </c>
      <c r="D1875" t="s">
        <v>1460</v>
      </c>
      <c r="E1875" s="14" t="n">
        <v>0.25</v>
      </c>
      <c r="F1875" s="17" t="n">
        <v>45</v>
      </c>
      <c r="G1875" s="15" t="n">
        <v>0</v>
      </c>
      <c r="H1875" s="16" t="n">
        <v>0.25</v>
      </c>
    </row>
    <row r="1876">
      <c r="A1876" t="s">
        <v>32</v>
      </c>
      <c r="B1876" t="s">
        <v>1202</v>
      </c>
      <c r="C1876" t="s">
        <v>1204</v>
      </c>
      <c r="D1876" t="s">
        <v>1460</v>
      </c>
      <c r="E1876" s="14" t="n">
        <v>0.25</v>
      </c>
      <c r="F1876" s="17" t="n">
        <v>132</v>
      </c>
      <c r="G1876" s="15" t="n">
        <v>-0.0261321158169136</v>
      </c>
      <c r="H1876" s="16" t="n">
        <v>-0.248630473842068</v>
      </c>
    </row>
    <row r="1877">
      <c r="A1877" t="s">
        <v>30</v>
      </c>
      <c r="B1877" t="s">
        <v>1205</v>
      </c>
      <c r="C1877" t="s">
        <v>1206</v>
      </c>
      <c r="D1877" t="s">
        <v>1460</v>
      </c>
      <c r="E1877" s="14" t="n">
        <v>0</v>
      </c>
      <c r="F1877" s="17" t="n">
        <v>132</v>
      </c>
      <c r="G1877" s="15" t="n">
        <v>0</v>
      </c>
      <c r="H1877" s="16" t="n">
        <v>0</v>
      </c>
    </row>
    <row r="1878">
      <c r="A1878" t="s">
        <v>30</v>
      </c>
      <c r="B1878" t="s">
        <v>1205</v>
      </c>
      <c r="C1878" t="s">
        <v>1207</v>
      </c>
      <c r="D1878" t="s">
        <v>1460</v>
      </c>
      <c r="E1878" s="14" t="n">
        <v>0</v>
      </c>
      <c r="F1878" s="17" t="n">
        <v>1</v>
      </c>
      <c r="G1878" s="15" t="n">
        <v>0</v>
      </c>
      <c r="H1878" s="16" t="n">
        <v>0</v>
      </c>
    </row>
    <row r="1879">
      <c r="A1879" t="s">
        <v>30</v>
      </c>
      <c r="B1879" t="s">
        <v>1208</v>
      </c>
      <c r="C1879" t="s">
        <v>1209</v>
      </c>
      <c r="D1879" t="s">
        <v>1460</v>
      </c>
      <c r="E1879" s="14" t="n">
        <v>0.25</v>
      </c>
      <c r="F1879" s="17" t="n">
        <v>55</v>
      </c>
      <c r="G1879" s="15" t="n">
        <v>-0.0855050358314172</v>
      </c>
      <c r="H1879" s="16" t="n">
        <v>0.234923155196477</v>
      </c>
    </row>
    <row r="1880">
      <c r="A1880" t="s">
        <v>30</v>
      </c>
      <c r="B1880" t="s">
        <v>1210</v>
      </c>
      <c r="C1880" t="s">
        <v>1211</v>
      </c>
      <c r="D1880" t="s">
        <v>1460</v>
      </c>
      <c r="E1880" s="14" t="n">
        <v>0.25</v>
      </c>
      <c r="F1880" s="17" t="n">
        <v>42</v>
      </c>
      <c r="G1880" s="15" t="n">
        <v>0.0261321158169134</v>
      </c>
      <c r="H1880" s="16" t="n">
        <v>0.248630473842068</v>
      </c>
    </row>
    <row r="1881">
      <c r="A1881" t="s">
        <v>32</v>
      </c>
      <c r="B1881" t="s">
        <v>1212</v>
      </c>
      <c r="C1881" t="s">
        <v>1213</v>
      </c>
      <c r="D1881" t="s">
        <v>1460</v>
      </c>
      <c r="E1881" s="14" t="n">
        <v>0.25</v>
      </c>
      <c r="F1881" s="17" t="n">
        <v>129</v>
      </c>
      <c r="G1881" s="15" t="n">
        <v>-0.0519779227044399</v>
      </c>
      <c r="H1881" s="16" t="n">
        <v>-0.244536900183451</v>
      </c>
    </row>
    <row r="1882">
      <c r="A1882" t="s">
        <v>32</v>
      </c>
      <c r="B1882" t="s">
        <v>1212</v>
      </c>
      <c r="C1882" t="s">
        <v>1214</v>
      </c>
      <c r="D1882" t="s">
        <v>1460</v>
      </c>
      <c r="E1882" s="14" t="n">
        <v>0.5</v>
      </c>
      <c r="F1882" s="17" t="n">
        <v>114</v>
      </c>
      <c r="G1882" s="15" t="n">
        <v>-0.334565303179429</v>
      </c>
      <c r="H1882" s="16" t="n">
        <v>-0.371572412738697</v>
      </c>
    </row>
    <row r="1883">
      <c r="A1883" t="s">
        <v>31</v>
      </c>
      <c r="B1883" t="s">
        <v>1215</v>
      </c>
      <c r="C1883" t="s">
        <v>1216</v>
      </c>
      <c r="D1883" t="s">
        <v>1460</v>
      </c>
      <c r="E1883" s="14" t="n">
        <v>0.5</v>
      </c>
      <c r="F1883" s="17" t="n">
        <v>112</v>
      </c>
      <c r="G1883" s="15" t="n">
        <v>-0.359669900169326</v>
      </c>
      <c r="H1883" s="16" t="n">
        <v>-0.347329185229499</v>
      </c>
    </row>
    <row r="1884">
      <c r="A1884" t="s">
        <v>31</v>
      </c>
      <c r="B1884" t="s">
        <v>1215</v>
      </c>
      <c r="C1884" t="s">
        <v>1217</v>
      </c>
      <c r="D1884" t="s">
        <v>1460</v>
      </c>
      <c r="E1884" s="14" t="n">
        <v>0.25</v>
      </c>
      <c r="F1884" s="17" t="n">
        <v>75</v>
      </c>
      <c r="G1884" s="15" t="n">
        <v>-0.21650635094611</v>
      </c>
      <c r="H1884" s="16" t="n">
        <v>0.125</v>
      </c>
    </row>
    <row r="1885">
      <c r="A1885" t="s">
        <v>32</v>
      </c>
      <c r="B1885" t="s">
        <v>1218</v>
      </c>
      <c r="C1885" t="s">
        <v>1219</v>
      </c>
      <c r="D1885" t="s">
        <v>1460</v>
      </c>
      <c r="E1885" s="14" t="n">
        <v>0.25</v>
      </c>
      <c r="F1885" s="17" t="n">
        <v>26</v>
      </c>
      <c r="G1885" s="15" t="n">
        <v>0.153915368831415</v>
      </c>
      <c r="H1885" s="16" t="n">
        <v>0.19700268840168</v>
      </c>
    </row>
    <row r="1886">
      <c r="A1886" t="s">
        <v>31</v>
      </c>
      <c r="B1886" t="s">
        <v>1220</v>
      </c>
      <c r="C1886" t="s">
        <v>1221</v>
      </c>
      <c r="D1886" t="s">
        <v>1460</v>
      </c>
      <c r="E1886" s="14" t="n">
        <v>0.25</v>
      </c>
      <c r="F1886" s="17" t="n">
        <v>121</v>
      </c>
      <c r="G1886" s="15" t="n">
        <v>-0.117367890696473</v>
      </c>
      <c r="H1886" s="16" t="n">
        <v>-0.220736898214732</v>
      </c>
    </row>
    <row r="1887">
      <c r="A1887" t="s">
        <v>31</v>
      </c>
      <c r="B1887" t="s">
        <v>1220</v>
      </c>
      <c r="C1887" t="s">
        <v>1222</v>
      </c>
      <c r="D1887" t="s">
        <v>1460</v>
      </c>
      <c r="E1887" s="14" t="n">
        <v>0.5</v>
      </c>
      <c r="F1887" s="17" t="n">
        <v>60</v>
      </c>
      <c r="G1887" s="15" t="n">
        <v>-0.25</v>
      </c>
      <c r="H1887" s="16" t="n">
        <v>0.433012701892219</v>
      </c>
    </row>
    <row r="1888">
      <c r="A1888" t="s">
        <v>30</v>
      </c>
      <c r="B1888" t="s">
        <v>1223</v>
      </c>
      <c r="C1888" t="s">
        <v>1224</v>
      </c>
      <c r="D1888" t="s">
        <v>1460</v>
      </c>
      <c r="E1888" s="14" t="n">
        <v>0.75</v>
      </c>
      <c r="F1888" s="17" t="n">
        <v>41</v>
      </c>
      <c r="G1888" s="15" t="n">
        <v>0.104379825720049</v>
      </c>
      <c r="H1888" s="16" t="n">
        <v>0.742701051556178</v>
      </c>
    </row>
    <row r="1889">
      <c r="A1889" t="s">
        <v>31</v>
      </c>
      <c r="B1889" t="s">
        <v>1225</v>
      </c>
      <c r="C1889" t="s">
        <v>1226</v>
      </c>
      <c r="D1889" t="s">
        <v>1460</v>
      </c>
      <c r="E1889" s="14" t="n">
        <v>0.25</v>
      </c>
      <c r="F1889" s="17" t="n">
        <v>92</v>
      </c>
      <c r="G1889" s="15" t="n">
        <v>-0.249391012564956</v>
      </c>
      <c r="H1889" s="16" t="n">
        <v>-0.0174391184360313</v>
      </c>
    </row>
    <row r="1890">
      <c r="A1890" t="s">
        <v>31</v>
      </c>
      <c r="B1890" t="s">
        <v>1225</v>
      </c>
      <c r="C1890" t="s">
        <v>1227</v>
      </c>
      <c r="D1890" t="s">
        <v>1460</v>
      </c>
      <c r="E1890" s="14" t="n">
        <v>0.25</v>
      </c>
      <c r="F1890" s="17" t="n">
        <v>57</v>
      </c>
      <c r="G1890" s="15" t="n">
        <v>-0.10168416076895</v>
      </c>
      <c r="H1890" s="16" t="n">
        <v>0.22838636441065</v>
      </c>
    </row>
    <row r="1891">
      <c r="A1891" t="s">
        <v>31</v>
      </c>
      <c r="B1891" t="s">
        <v>1228</v>
      </c>
      <c r="C1891" t="s">
        <v>1229</v>
      </c>
      <c r="D1891" t="s">
        <v>1460</v>
      </c>
      <c r="E1891" s="14" t="n">
        <v>0.25</v>
      </c>
      <c r="F1891" s="17" t="n">
        <v>45</v>
      </c>
      <c r="G1891" s="15" t="n">
        <v>0</v>
      </c>
      <c r="H1891" s="16" t="n">
        <v>0.25</v>
      </c>
    </row>
    <row r="1892">
      <c r="A1892" t="s">
        <v>31</v>
      </c>
      <c r="B1892" t="s">
        <v>1228</v>
      </c>
      <c r="C1892" t="s">
        <v>1230</v>
      </c>
      <c r="D1892" t="s">
        <v>1460</v>
      </c>
      <c r="E1892" s="14" t="n">
        <v>0.25</v>
      </c>
      <c r="F1892" s="17" t="n">
        <v>122</v>
      </c>
      <c r="G1892" s="15" t="n">
        <v>-0.109592786697269</v>
      </c>
      <c r="H1892" s="16" t="n">
        <v>-0.224698511574792</v>
      </c>
    </row>
    <row r="1893">
      <c r="A1893" t="s">
        <v>30</v>
      </c>
      <c r="B1893" t="s">
        <v>1231</v>
      </c>
      <c r="C1893" t="s">
        <v>1232</v>
      </c>
      <c r="D1893" t="s">
        <v>1460</v>
      </c>
      <c r="E1893" s="14" t="n">
        <v>0.5</v>
      </c>
      <c r="F1893" s="17" t="n">
        <v>37</v>
      </c>
      <c r="G1893" s="15" t="n">
        <v>0.1378186779085</v>
      </c>
      <c r="H1893" s="16" t="n">
        <v>0.480630847969159</v>
      </c>
    </row>
    <row r="1894">
      <c r="A1894" t="s">
        <v>30</v>
      </c>
      <c r="B1894" t="s">
        <v>1233</v>
      </c>
      <c r="C1894" t="s">
        <v>1234</v>
      </c>
      <c r="D1894" t="s">
        <v>1460</v>
      </c>
      <c r="E1894" s="14" t="n">
        <v>0</v>
      </c>
      <c r="F1894" s="17" t="n">
        <v>66</v>
      </c>
      <c r="G1894" s="15" t="n">
        <v>0</v>
      </c>
      <c r="H1894" s="16" t="n">
        <v>0</v>
      </c>
    </row>
    <row r="1895">
      <c r="A1895" t="s">
        <v>30</v>
      </c>
      <c r="B1895" t="s">
        <v>1233</v>
      </c>
      <c r="C1895" t="s">
        <v>1235</v>
      </c>
      <c r="D1895" t="s">
        <v>1460</v>
      </c>
      <c r="E1895" s="14" t="n">
        <v>0.25</v>
      </c>
      <c r="F1895" s="17" t="n">
        <v>22</v>
      </c>
      <c r="G1895" s="15" t="n">
        <v>0.179834950084663</v>
      </c>
      <c r="H1895" s="16" t="n">
        <v>0.173664592614749</v>
      </c>
    </row>
    <row r="1896">
      <c r="A1896" t="s">
        <v>30</v>
      </c>
      <c r="B1896" t="s">
        <v>1236</v>
      </c>
      <c r="C1896" t="s">
        <v>1237</v>
      </c>
      <c r="D1896" t="s">
        <v>1460</v>
      </c>
      <c r="E1896" s="14" t="n">
        <v>0.25</v>
      </c>
      <c r="F1896" s="17" t="n">
        <v>66</v>
      </c>
      <c r="G1896" s="15" t="n">
        <v>-0.167282651589714</v>
      </c>
      <c r="H1896" s="16" t="n">
        <v>0.185786206369349</v>
      </c>
    </row>
    <row r="1897">
      <c r="A1897" t="s">
        <v>32</v>
      </c>
      <c r="B1897" t="s">
        <v>1238</v>
      </c>
      <c r="C1897" t="s">
        <v>1239</v>
      </c>
      <c r="D1897" t="s">
        <v>1460</v>
      </c>
      <c r="E1897" s="14" t="n">
        <v>0.5</v>
      </c>
      <c r="F1897" s="17" t="n">
        <v>43</v>
      </c>
      <c r="G1897" s="15" t="n">
        <v>0.0348782368720626</v>
      </c>
      <c r="H1897" s="16" t="n">
        <v>0.498782025129912</v>
      </c>
    </row>
    <row r="1898">
      <c r="A1898" t="s">
        <v>32</v>
      </c>
      <c r="B1898" t="s">
        <v>1238</v>
      </c>
      <c r="C1898" t="s">
        <v>1240</v>
      </c>
      <c r="D1898" t="s">
        <v>1460</v>
      </c>
      <c r="E1898" s="14" t="n">
        <v>0.5</v>
      </c>
      <c r="F1898" s="17" t="n">
        <v>125</v>
      </c>
      <c r="G1898" s="15" t="n">
        <v>-0.171010071662835</v>
      </c>
      <c r="H1898" s="16" t="n">
        <v>-0.469846310392954</v>
      </c>
    </row>
    <row r="1899">
      <c r="A1899" t="s">
        <v>30</v>
      </c>
      <c r="B1899" t="s">
        <v>1241</v>
      </c>
      <c r="C1899" t="s">
        <v>1242</v>
      </c>
      <c r="D1899" t="s">
        <v>1460</v>
      </c>
      <c r="E1899" s="14" t="n">
        <v>0</v>
      </c>
      <c r="F1899" s="17" t="n">
        <v>166</v>
      </c>
      <c r="G1899" s="15" t="n">
        <v>0</v>
      </c>
      <c r="H1899" s="16" t="n">
        <v>0</v>
      </c>
    </row>
    <row r="1900">
      <c r="A1900" t="s">
        <v>30</v>
      </c>
      <c r="B1900" t="s">
        <v>1243</v>
      </c>
      <c r="C1900" t="s">
        <v>1244</v>
      </c>
      <c r="D1900" t="s">
        <v>1460</v>
      </c>
      <c r="E1900" s="14" t="n">
        <v>0.5</v>
      </c>
      <c r="F1900" s="17" t="n">
        <v>78</v>
      </c>
      <c r="G1900" s="15" t="n">
        <v>-0.4567727288213</v>
      </c>
      <c r="H1900" s="16" t="n">
        <v>0.2033683215379</v>
      </c>
    </row>
    <row r="1901">
      <c r="A1901" t="s">
        <v>30</v>
      </c>
      <c r="B1901" t="s">
        <v>1243</v>
      </c>
      <c r="C1901" t="s">
        <v>1245</v>
      </c>
      <c r="D1901" t="s">
        <v>1460</v>
      </c>
      <c r="E1901" s="14" t="n">
        <v>0.5</v>
      </c>
      <c r="F1901" s="17" t="n">
        <v>130</v>
      </c>
      <c r="G1901" s="15" t="n">
        <v>-0.0868240888334652</v>
      </c>
      <c r="H1901" s="16" t="n">
        <v>-0.492403876506104</v>
      </c>
    </row>
    <row r="1902">
      <c r="A1902" t="s">
        <v>31</v>
      </c>
      <c r="B1902" t="s">
        <v>1246</v>
      </c>
      <c r="C1902" t="s">
        <v>1247</v>
      </c>
      <c r="D1902" t="s">
        <v>1460</v>
      </c>
      <c r="E1902" s="14" t="n">
        <v>0</v>
      </c>
      <c r="F1902" s="17" t="n">
        <v>171</v>
      </c>
      <c r="G1902" s="15" t="n">
        <v>0</v>
      </c>
      <c r="H1902" s="16" t="n">
        <v>0</v>
      </c>
    </row>
    <row r="1903">
      <c r="A1903" t="s">
        <v>31</v>
      </c>
      <c r="B1903" t="s">
        <v>1248</v>
      </c>
      <c r="C1903" t="s">
        <v>1249</v>
      </c>
      <c r="D1903" t="s">
        <v>1460</v>
      </c>
      <c r="E1903" s="14" t="n">
        <v>0.25</v>
      </c>
      <c r="F1903" s="17" t="n">
        <v>139</v>
      </c>
      <c r="G1903" s="15" t="n">
        <v>0.0347932752400164</v>
      </c>
      <c r="H1903" s="16" t="n">
        <v>-0.247567017185393</v>
      </c>
    </row>
    <row r="1904">
      <c r="A1904" t="s">
        <v>30</v>
      </c>
      <c r="B1904" t="s">
        <v>1250</v>
      </c>
      <c r="C1904" t="s">
        <v>1251</v>
      </c>
      <c r="D1904" t="s">
        <v>1460</v>
      </c>
      <c r="E1904" s="14" t="n">
        <v>0.5</v>
      </c>
      <c r="F1904" s="17" t="n">
        <v>1</v>
      </c>
      <c r="G1904" s="15" t="n">
        <v>0.499695413509548</v>
      </c>
      <c r="H1904" s="16" t="n">
        <v>0.0174497483512505</v>
      </c>
    </row>
    <row r="1905">
      <c r="A1905" t="s">
        <v>30</v>
      </c>
      <c r="B1905" t="s">
        <v>1250</v>
      </c>
      <c r="C1905" t="s">
        <v>1252</v>
      </c>
      <c r="D1905" t="s">
        <v>1460</v>
      </c>
      <c r="E1905" s="14" t="n">
        <v>0.25</v>
      </c>
      <c r="F1905" s="17" t="n">
        <v>177</v>
      </c>
      <c r="G1905" s="15" t="n">
        <v>0.248630473842068</v>
      </c>
      <c r="H1905" s="16" t="n">
        <v>-0.0261321158169134</v>
      </c>
    </row>
    <row r="1906">
      <c r="A1906" t="s">
        <v>32</v>
      </c>
      <c r="B1906" t="s">
        <v>1253</v>
      </c>
      <c r="C1906" t="s">
        <v>1254</v>
      </c>
      <c r="D1906" t="s">
        <v>1460</v>
      </c>
      <c r="E1906" s="14" t="n">
        <v>0.5</v>
      </c>
      <c r="F1906" s="17" t="n">
        <v>114</v>
      </c>
      <c r="G1906" s="15" t="n">
        <v>-0.334565303179429</v>
      </c>
      <c r="H1906" s="16" t="n">
        <v>-0.371572412738697</v>
      </c>
    </row>
    <row r="1907">
      <c r="A1907" t="s">
        <v>32</v>
      </c>
      <c r="B1907" t="s">
        <v>1253</v>
      </c>
      <c r="C1907" t="s">
        <v>1255</v>
      </c>
      <c r="D1907" t="s">
        <v>1460</v>
      </c>
      <c r="E1907" s="14" t="n">
        <v>0.25</v>
      </c>
      <c r="F1907" s="17" t="n">
        <v>65</v>
      </c>
      <c r="G1907" s="15" t="n">
        <v>-0.160696902421635</v>
      </c>
      <c r="H1907" s="16" t="n">
        <v>0.191511110779745</v>
      </c>
    </row>
    <row r="1908">
      <c r="A1908" t="s">
        <v>32</v>
      </c>
      <c r="B1908" t="s">
        <v>1256</v>
      </c>
      <c r="C1908" t="s">
        <v>1257</v>
      </c>
      <c r="D1908" t="s">
        <v>1460</v>
      </c>
      <c r="E1908" s="14" t="n">
        <v>0</v>
      </c>
      <c r="F1908" s="17" t="n">
        <v>34</v>
      </c>
      <c r="G1908" s="15" t="n">
        <v>0</v>
      </c>
      <c r="H1908" s="16" t="n">
        <v>0</v>
      </c>
    </row>
    <row r="1909">
      <c r="A1909" t="s">
        <v>32</v>
      </c>
      <c r="B1909" t="s">
        <v>1256</v>
      </c>
      <c r="C1909" t="s">
        <v>1258</v>
      </c>
      <c r="D1909" t="s">
        <v>1460</v>
      </c>
      <c r="E1909" s="14" t="n">
        <v>0.25</v>
      </c>
      <c r="F1909" s="17" t="n">
        <v>63</v>
      </c>
      <c r="G1909" s="15" t="n">
        <v>-0.146946313073118</v>
      </c>
      <c r="H1909" s="16" t="n">
        <v>0.202254248593737</v>
      </c>
    </row>
    <row r="1910">
      <c r="A1910" t="s">
        <v>31</v>
      </c>
      <c r="B1910" t="s">
        <v>1259</v>
      </c>
      <c r="C1910" t="s">
        <v>1260</v>
      </c>
      <c r="D1910" t="s">
        <v>1460</v>
      </c>
      <c r="E1910" s="14" t="n">
        <v>0</v>
      </c>
      <c r="F1910" s="17" t="n">
        <v>114</v>
      </c>
      <c r="G1910" s="15" t="n">
        <v>0</v>
      </c>
      <c r="H1910" s="16" t="n">
        <v>0</v>
      </c>
    </row>
    <row r="1911">
      <c r="A1911" t="s">
        <v>31</v>
      </c>
      <c r="B1911" t="s">
        <v>1259</v>
      </c>
      <c r="C1911" t="s">
        <v>1261</v>
      </c>
      <c r="D1911" t="s">
        <v>1460</v>
      </c>
      <c r="E1911" s="14" t="n">
        <v>0.25</v>
      </c>
      <c r="F1911" s="17" t="n">
        <v>138</v>
      </c>
      <c r="G1911" s="15" t="n">
        <v>0.0261321158169135</v>
      </c>
      <c r="H1911" s="16" t="n">
        <v>-0.248630473842068</v>
      </c>
    </row>
    <row r="1912">
      <c r="A1912" t="s">
        <v>30</v>
      </c>
      <c r="B1912" t="s">
        <v>1262</v>
      </c>
      <c r="C1912" t="s">
        <v>1263</v>
      </c>
      <c r="D1912" t="s">
        <v>1460</v>
      </c>
      <c r="E1912" s="14" t="n">
        <v>0.75</v>
      </c>
      <c r="F1912" s="17" t="n">
        <v>62</v>
      </c>
      <c r="G1912" s="15" t="n">
        <v>-0.41939467760306</v>
      </c>
      <c r="H1912" s="16" t="n">
        <v>0.621778179416281</v>
      </c>
    </row>
    <row r="1913">
      <c r="A1913" t="s">
        <v>30</v>
      </c>
      <c r="B1913" t="s">
        <v>1262</v>
      </c>
      <c r="C1913" t="s">
        <v>1264</v>
      </c>
      <c r="D1913" t="s">
        <v>1460</v>
      </c>
      <c r="E1913" s="14" t="n">
        <v>0.75</v>
      </c>
      <c r="F1913" s="17" t="n">
        <v>116</v>
      </c>
      <c r="G1913" s="15" t="n">
        <v>-0.461746106494244</v>
      </c>
      <c r="H1913" s="16" t="n">
        <v>-0.591008065205042</v>
      </c>
    </row>
    <row r="1914">
      <c r="A1914" t="s">
        <v>30</v>
      </c>
      <c r="B1914" t="s">
        <v>1265</v>
      </c>
      <c r="C1914" t="s">
        <v>1266</v>
      </c>
      <c r="D1914" t="s">
        <v>1460</v>
      </c>
      <c r="E1914" s="14" t="n">
        <v>0.25</v>
      </c>
      <c r="F1914" s="17" t="n">
        <v>138</v>
      </c>
      <c r="G1914" s="15" t="n">
        <v>0.0261321158169135</v>
      </c>
      <c r="H1914" s="16" t="n">
        <v>-0.248630473842068</v>
      </c>
    </row>
    <row r="1915">
      <c r="A1915" t="s">
        <v>30</v>
      </c>
      <c r="B1915" t="s">
        <v>1265</v>
      </c>
      <c r="C1915" t="s">
        <v>1267</v>
      </c>
      <c r="D1915" t="s">
        <v>1460</v>
      </c>
      <c r="E1915" s="14" t="n">
        <v>0.5</v>
      </c>
      <c r="F1915" s="17" t="n">
        <v>87</v>
      </c>
      <c r="G1915" s="15" t="n">
        <v>-0.497260947684137</v>
      </c>
      <c r="H1915" s="16" t="n">
        <v>0.0522642316338269</v>
      </c>
    </row>
    <row r="1916">
      <c r="A1916" t="s">
        <v>32</v>
      </c>
      <c r="B1916" t="s">
        <v>1268</v>
      </c>
      <c r="C1916" t="s">
        <v>1269</v>
      </c>
      <c r="D1916" t="s">
        <v>1460</v>
      </c>
      <c r="E1916" s="14" t="n">
        <v>0.5</v>
      </c>
      <c r="F1916" s="17" t="n">
        <v>62</v>
      </c>
      <c r="G1916" s="15" t="n">
        <v>-0.279596451735373</v>
      </c>
      <c r="H1916" s="16" t="n">
        <v>0.414518786277521</v>
      </c>
    </row>
    <row r="1917">
      <c r="A1917" t="s">
        <v>32</v>
      </c>
      <c r="B1917" t="s">
        <v>1268</v>
      </c>
      <c r="C1917" t="s">
        <v>1270</v>
      </c>
      <c r="D1917" t="s">
        <v>1460</v>
      </c>
      <c r="E1917" s="14" t="n">
        <v>0.5</v>
      </c>
      <c r="F1917" s="17" t="n">
        <v>132</v>
      </c>
      <c r="G1917" s="15" t="n">
        <v>-0.0522642316338271</v>
      </c>
      <c r="H1917" s="16" t="n">
        <v>-0.497260947684137</v>
      </c>
    </row>
    <row r="1918">
      <c r="A1918" t="s">
        <v>30</v>
      </c>
      <c r="B1918" t="s">
        <v>1271</v>
      </c>
      <c r="C1918" t="s">
        <v>1272</v>
      </c>
      <c r="D1918" t="s">
        <v>1460</v>
      </c>
      <c r="E1918" s="14" t="n">
        <v>0.25</v>
      </c>
      <c r="F1918" s="17" t="n">
        <v>67</v>
      </c>
      <c r="G1918" s="15" t="n">
        <v>-0.173664592614749</v>
      </c>
      <c r="H1918" s="16" t="n">
        <v>0.179834950084663</v>
      </c>
    </row>
    <row r="1919">
      <c r="A1919" t="s">
        <v>30</v>
      </c>
      <c r="B1919" t="s">
        <v>1271</v>
      </c>
      <c r="C1919" t="s">
        <v>1273</v>
      </c>
      <c r="D1919" t="s">
        <v>1460</v>
      </c>
      <c r="E1919" s="14" t="n">
        <v>0</v>
      </c>
      <c r="F1919" s="17" t="n">
        <v>110</v>
      </c>
      <c r="G1919" s="15" t="n">
        <v>0</v>
      </c>
      <c r="H1919" s="16" t="n">
        <v>0</v>
      </c>
    </row>
    <row r="1920">
      <c r="A1920" t="s">
        <v>30</v>
      </c>
      <c r="B1920" t="s">
        <v>1274</v>
      </c>
      <c r="C1920" t="s">
        <v>1275</v>
      </c>
      <c r="D1920" t="s">
        <v>1460</v>
      </c>
      <c r="E1920" s="14" t="n">
        <v>0.25</v>
      </c>
      <c r="F1920" s="17" t="n">
        <v>144</v>
      </c>
      <c r="G1920" s="15" t="n">
        <v>0.0772542485937368</v>
      </c>
      <c r="H1920" s="16" t="n">
        <v>-0.237764129073788</v>
      </c>
    </row>
    <row r="1921">
      <c r="A1921" t="s">
        <v>30</v>
      </c>
      <c r="B1921" t="s">
        <v>1274</v>
      </c>
      <c r="C1921" t="s">
        <v>1276</v>
      </c>
      <c r="D1921" t="s">
        <v>1460</v>
      </c>
      <c r="E1921" s="14" t="n">
        <v>0.25</v>
      </c>
      <c r="F1921" s="17" t="n">
        <v>64</v>
      </c>
      <c r="G1921" s="15" t="n">
        <v>-0.153915368831415</v>
      </c>
      <c r="H1921" s="16" t="n">
        <v>0.197002688401681</v>
      </c>
    </row>
    <row r="1922">
      <c r="A1922" t="s">
        <v>31</v>
      </c>
      <c r="B1922" t="s">
        <v>1277</v>
      </c>
      <c r="C1922" t="s">
        <v>1278</v>
      </c>
      <c r="D1922" t="s">
        <v>1460</v>
      </c>
      <c r="E1922" s="14" t="n">
        <v>0.25</v>
      </c>
      <c r="F1922" s="17" t="n">
        <v>18</v>
      </c>
      <c r="G1922" s="15" t="n">
        <v>0.202254248593737</v>
      </c>
      <c r="H1922" s="16" t="n">
        <v>0.146946313073118</v>
      </c>
    </row>
    <row r="1923">
      <c r="A1923" t="s">
        <v>31</v>
      </c>
      <c r="B1923" t="s">
        <v>1277</v>
      </c>
      <c r="C1923" t="s">
        <v>1279</v>
      </c>
      <c r="D1923" t="s">
        <v>1460</v>
      </c>
      <c r="E1923" s="14" t="n">
        <v>0.25</v>
      </c>
      <c r="F1923" s="17" t="n">
        <v>165</v>
      </c>
      <c r="G1923" s="15" t="n">
        <v>0.21650635094611</v>
      </c>
      <c r="H1923" s="16" t="n">
        <v>-0.125</v>
      </c>
    </row>
    <row r="1924">
      <c r="A1924" t="s">
        <v>32</v>
      </c>
      <c r="B1924" t="s">
        <v>1280</v>
      </c>
      <c r="C1924" t="s">
        <v>1281</v>
      </c>
      <c r="D1924" t="s">
        <v>1460</v>
      </c>
      <c r="E1924" s="14" t="n">
        <v>0</v>
      </c>
      <c r="F1924" s="17" t="n">
        <v>175</v>
      </c>
      <c r="G1924" s="15" t="n">
        <v>0</v>
      </c>
      <c r="H1924" s="16" t="n">
        <v>0</v>
      </c>
    </row>
    <row r="1925">
      <c r="A1925" t="s">
        <v>30</v>
      </c>
      <c r="B1925" t="s">
        <v>1282</v>
      </c>
      <c r="C1925" t="s">
        <v>1283</v>
      </c>
      <c r="D1925" t="s">
        <v>1460</v>
      </c>
      <c r="E1925" s="14" t="n">
        <v>0.25</v>
      </c>
      <c r="F1925" s="17" t="n">
        <v>158</v>
      </c>
      <c r="G1925" s="15" t="n">
        <v>0.179834950084663</v>
      </c>
      <c r="H1925" s="16" t="n">
        <v>-0.173664592614749</v>
      </c>
    </row>
    <row r="1926">
      <c r="A1926" t="s">
        <v>30</v>
      </c>
      <c r="B1926" t="s">
        <v>1282</v>
      </c>
      <c r="C1926" t="s">
        <v>1284</v>
      </c>
      <c r="D1926" t="s">
        <v>1460</v>
      </c>
      <c r="E1926" s="14" t="n">
        <v>0.25</v>
      </c>
      <c r="F1926" s="17" t="n">
        <v>131</v>
      </c>
      <c r="G1926" s="15" t="n">
        <v>-0.0347932752400165</v>
      </c>
      <c r="H1926" s="16" t="n">
        <v>-0.247567017185393</v>
      </c>
    </row>
    <row r="1927">
      <c r="A1927" t="s">
        <v>30</v>
      </c>
      <c r="B1927" t="s">
        <v>1285</v>
      </c>
      <c r="C1927" t="s">
        <v>1286</v>
      </c>
      <c r="D1927" t="s">
        <v>1460</v>
      </c>
      <c r="E1927" s="14" t="n">
        <v>0.25</v>
      </c>
      <c r="F1927" s="17" t="n">
        <v>27</v>
      </c>
      <c r="G1927" s="15" t="n">
        <v>0.146946313073118</v>
      </c>
      <c r="H1927" s="16" t="n">
        <v>0.202254248593737</v>
      </c>
    </row>
    <row r="1928">
      <c r="A1928" t="s">
        <v>31</v>
      </c>
      <c r="B1928" t="s">
        <v>1287</v>
      </c>
      <c r="C1928" t="s">
        <v>1288</v>
      </c>
      <c r="D1928" t="s">
        <v>1460</v>
      </c>
      <c r="E1928" s="14" t="n">
        <v>0</v>
      </c>
      <c r="F1928" s="17" t="n">
        <v>23</v>
      </c>
      <c r="G1928" s="15" t="n">
        <v>0</v>
      </c>
      <c r="H1928" s="16" t="n">
        <v>0</v>
      </c>
    </row>
    <row r="1929">
      <c r="A1929" t="s">
        <v>31</v>
      </c>
      <c r="B1929" t="s">
        <v>1287</v>
      </c>
      <c r="C1929" t="s">
        <v>1289</v>
      </c>
      <c r="D1929" t="s">
        <v>1460</v>
      </c>
      <c r="E1929" s="14" t="n">
        <v>0.25</v>
      </c>
      <c r="F1929" s="17" t="n">
        <v>141</v>
      </c>
      <c r="G1929" s="15" t="n">
        <v>0.0519779227044399</v>
      </c>
      <c r="H1929" s="16" t="n">
        <v>-0.244536900183451</v>
      </c>
    </row>
    <row r="1930">
      <c r="A1930" t="s">
        <v>30</v>
      </c>
      <c r="B1930" t="s">
        <v>1290</v>
      </c>
      <c r="C1930" t="s">
        <v>1291</v>
      </c>
      <c r="D1930" t="s">
        <v>1460</v>
      </c>
      <c r="E1930" s="14" t="n">
        <v>0</v>
      </c>
      <c r="F1930" s="17" t="n">
        <v>108</v>
      </c>
      <c r="G1930" s="15" t="n">
        <v>0</v>
      </c>
      <c r="H1930" s="16" t="n">
        <v>0</v>
      </c>
    </row>
    <row r="1931">
      <c r="A1931" t="s">
        <v>30</v>
      </c>
      <c r="B1931" t="s">
        <v>1290</v>
      </c>
      <c r="C1931" t="s">
        <v>1292</v>
      </c>
      <c r="D1931" t="s">
        <v>1460</v>
      </c>
      <c r="E1931" s="14" t="n">
        <v>0</v>
      </c>
      <c r="F1931" s="17" t="n">
        <v>97</v>
      </c>
      <c r="G1931" s="15" t="n">
        <v>0</v>
      </c>
      <c r="H1931" s="16" t="n">
        <v>0</v>
      </c>
    </row>
    <row r="1932">
      <c r="A1932" t="s">
        <v>31</v>
      </c>
      <c r="B1932" t="s">
        <v>1293</v>
      </c>
      <c r="C1932" t="s">
        <v>1294</v>
      </c>
      <c r="D1932" t="s">
        <v>1460</v>
      </c>
      <c r="E1932" s="14" t="n">
        <v>0</v>
      </c>
      <c r="F1932" s="17" t="n">
        <v>167</v>
      </c>
      <c r="G1932" s="15" t="n">
        <v>0</v>
      </c>
      <c r="H1932" s="16" t="n">
        <v>0</v>
      </c>
    </row>
    <row r="1933">
      <c r="A1933" t="s">
        <v>31</v>
      </c>
      <c r="B1933" t="s">
        <v>1293</v>
      </c>
      <c r="C1933" t="s">
        <v>1295</v>
      </c>
      <c r="D1933" t="s">
        <v>1460</v>
      </c>
      <c r="E1933" s="14" t="n">
        <v>0</v>
      </c>
      <c r="F1933" s="17" t="n">
        <v>163</v>
      </c>
      <c r="G1933" s="15" t="n">
        <v>0</v>
      </c>
      <c r="H1933" s="16" t="n">
        <v>0</v>
      </c>
    </row>
    <row r="1934">
      <c r="A1934" t="s">
        <v>32</v>
      </c>
      <c r="B1934" t="s">
        <v>1296</v>
      </c>
      <c r="C1934" t="s">
        <v>1297</v>
      </c>
      <c r="D1934" t="s">
        <v>1460</v>
      </c>
      <c r="E1934" s="14" t="n">
        <v>0.5</v>
      </c>
      <c r="F1934" s="17" t="n">
        <v>18</v>
      </c>
      <c r="G1934" s="15" t="n">
        <v>0.404508497187474</v>
      </c>
      <c r="H1934" s="16" t="n">
        <v>0.293892626146237</v>
      </c>
    </row>
    <row r="1935">
      <c r="A1935" t="s">
        <v>32</v>
      </c>
      <c r="B1935" t="s">
        <v>1296</v>
      </c>
      <c r="C1935" t="s">
        <v>1298</v>
      </c>
      <c r="D1935" t="s">
        <v>1460</v>
      </c>
      <c r="E1935" s="14" t="n">
        <v>0.25</v>
      </c>
      <c r="F1935" s="17" t="n">
        <v>13</v>
      </c>
      <c r="G1935" s="15" t="n">
        <v>0.224698511574792</v>
      </c>
      <c r="H1935" s="16" t="n">
        <v>0.109592786697269</v>
      </c>
    </row>
    <row r="1936">
      <c r="A1936" t="s">
        <v>32</v>
      </c>
      <c r="B1936" t="s">
        <v>1299</v>
      </c>
      <c r="C1936" t="s">
        <v>1300</v>
      </c>
      <c r="D1936" t="s">
        <v>1460</v>
      </c>
      <c r="E1936" s="14" t="n">
        <v>0.25</v>
      </c>
      <c r="F1936" s="17" t="n">
        <v>160</v>
      </c>
      <c r="G1936" s="15" t="n">
        <v>0.191511110779744</v>
      </c>
      <c r="H1936" s="16" t="n">
        <v>-0.160696902421635</v>
      </c>
    </row>
    <row r="1937">
      <c r="A1937" t="s">
        <v>32</v>
      </c>
      <c r="B1937" t="s">
        <v>1299</v>
      </c>
      <c r="C1937" t="s">
        <v>1301</v>
      </c>
      <c r="D1937" t="s">
        <v>1460</v>
      </c>
      <c r="E1937" s="14" t="n">
        <v>0.25</v>
      </c>
      <c r="F1937" s="17" t="n">
        <v>179</v>
      </c>
      <c r="G1937" s="15" t="n">
        <v>0.249847706754774</v>
      </c>
      <c r="H1937" s="16" t="n">
        <v>-0.00872487417562521</v>
      </c>
    </row>
    <row r="1938">
      <c r="A1938" t="s">
        <v>30</v>
      </c>
      <c r="B1938" t="s">
        <v>1302</v>
      </c>
      <c r="C1938" t="s">
        <v>1303</v>
      </c>
      <c r="D1938" t="s">
        <v>1460</v>
      </c>
      <c r="E1938" s="14" t="n">
        <v>0.25</v>
      </c>
      <c r="F1938" s="17" t="n">
        <v>162</v>
      </c>
      <c r="G1938" s="15" t="n">
        <v>0.202254248593737</v>
      </c>
      <c r="H1938" s="16" t="n">
        <v>-0.146946313073118</v>
      </c>
    </row>
    <row r="1939">
      <c r="A1939" t="s">
        <v>30</v>
      </c>
      <c r="B1939" t="s">
        <v>1302</v>
      </c>
      <c r="C1939" t="s">
        <v>1304</v>
      </c>
      <c r="D1939" t="s">
        <v>1460</v>
      </c>
      <c r="E1939" s="14" t="n">
        <v>0</v>
      </c>
      <c r="F1939" s="17" t="n">
        <v>132</v>
      </c>
      <c r="G1939" s="15" t="n">
        <v>0</v>
      </c>
      <c r="H1939" s="16" t="n">
        <v>0</v>
      </c>
    </row>
    <row r="1940">
      <c r="A1940" t="s">
        <v>32</v>
      </c>
      <c r="B1940" t="s">
        <v>1305</v>
      </c>
      <c r="C1940" t="s">
        <v>1306</v>
      </c>
      <c r="D1940" t="s">
        <v>1460</v>
      </c>
      <c r="E1940" s="14" t="n">
        <v>0.25</v>
      </c>
      <c r="F1940" s="17" t="n">
        <v>76</v>
      </c>
      <c r="G1940" s="15" t="n">
        <v>-0.220736898214732</v>
      </c>
      <c r="H1940" s="16" t="n">
        <v>0.117367890696473</v>
      </c>
    </row>
    <row r="1941">
      <c r="A1941" t="s">
        <v>32</v>
      </c>
      <c r="B1941" t="s">
        <v>1305</v>
      </c>
      <c r="C1941" t="s">
        <v>1307</v>
      </c>
      <c r="D1941" t="s">
        <v>1460</v>
      </c>
      <c r="E1941" s="14" t="n">
        <v>0.25</v>
      </c>
      <c r="F1941" s="17" t="n">
        <v>156</v>
      </c>
      <c r="G1941" s="15" t="n">
        <v>0.167282651589715</v>
      </c>
      <c r="H1941" s="16" t="n">
        <v>-0.185786206369349</v>
      </c>
    </row>
    <row r="1942">
      <c r="A1942" t="s">
        <v>31</v>
      </c>
      <c r="B1942" t="s">
        <v>1308</v>
      </c>
      <c r="C1942" t="s">
        <v>1309</v>
      </c>
      <c r="D1942" t="s">
        <v>1460</v>
      </c>
      <c r="E1942" s="14" t="n">
        <v>0.25</v>
      </c>
      <c r="F1942" s="17" t="n">
        <v>20</v>
      </c>
      <c r="G1942" s="15" t="n">
        <v>0.191511110779745</v>
      </c>
      <c r="H1942" s="16" t="n">
        <v>0.160696902421635</v>
      </c>
    </row>
    <row r="1943">
      <c r="A1943" t="s">
        <v>32</v>
      </c>
      <c r="B1943" t="s">
        <v>1310</v>
      </c>
      <c r="C1943" t="s">
        <v>1311</v>
      </c>
      <c r="D1943" t="s">
        <v>1460</v>
      </c>
      <c r="E1943" s="14" t="n">
        <v>0.25</v>
      </c>
      <c r="F1943" s="17" t="n">
        <v>79</v>
      </c>
      <c r="G1943" s="15" t="n">
        <v>-0.231795963641697</v>
      </c>
      <c r="H1943" s="16" t="n">
        <v>0.0936516483539781</v>
      </c>
    </row>
    <row r="1944">
      <c r="A1944" t="s">
        <v>32</v>
      </c>
      <c r="B1944" t="s">
        <v>1312</v>
      </c>
      <c r="C1944" t="s">
        <v>1313</v>
      </c>
      <c r="D1944" t="s">
        <v>1460</v>
      </c>
      <c r="E1944" s="14" t="n">
        <v>0.25</v>
      </c>
      <c r="F1944" s="17" t="n">
        <v>117</v>
      </c>
      <c r="G1944" s="15" t="n">
        <v>-0.146946313073118</v>
      </c>
      <c r="H1944" s="16" t="n">
        <v>-0.202254248593737</v>
      </c>
    </row>
    <row r="1945">
      <c r="A1945" t="s">
        <v>32</v>
      </c>
      <c r="B1945" t="s">
        <v>1312</v>
      </c>
      <c r="C1945" t="s">
        <v>1314</v>
      </c>
      <c r="D1945" t="s">
        <v>1460</v>
      </c>
      <c r="E1945" s="14" t="n">
        <v>0.25</v>
      </c>
      <c r="F1945" s="17" t="n">
        <v>91</v>
      </c>
      <c r="G1945" s="15" t="n">
        <v>-0.249847706754774</v>
      </c>
      <c r="H1945" s="16" t="n">
        <v>-0.00872487417562529</v>
      </c>
    </row>
    <row r="1946">
      <c r="A1946" t="s">
        <v>30</v>
      </c>
      <c r="B1946" t="s">
        <v>1315</v>
      </c>
      <c r="C1946" t="s">
        <v>1316</v>
      </c>
      <c r="D1946" t="s">
        <v>1460</v>
      </c>
      <c r="E1946" s="14" t="n">
        <v>0</v>
      </c>
      <c r="F1946" s="17" t="n">
        <v>142</v>
      </c>
      <c r="G1946" s="15" t="n">
        <v>0</v>
      </c>
      <c r="H1946" s="16" t="n">
        <v>0</v>
      </c>
    </row>
    <row r="1947">
      <c r="A1947" t="s">
        <v>30</v>
      </c>
      <c r="B1947" t="s">
        <v>1315</v>
      </c>
      <c r="C1947" t="s">
        <v>1317</v>
      </c>
      <c r="D1947" t="s">
        <v>1460</v>
      </c>
      <c r="E1947" s="14" t="n">
        <v>0.25</v>
      </c>
      <c r="F1947" s="17" t="n">
        <v>48</v>
      </c>
      <c r="G1947" s="15" t="n">
        <v>-0.0261321158169133</v>
      </c>
      <c r="H1947" s="16" t="n">
        <v>0.248630473842068</v>
      </c>
    </row>
    <row r="1948">
      <c r="A1948" t="s">
        <v>32</v>
      </c>
      <c r="B1948" t="s">
        <v>1318</v>
      </c>
      <c r="C1948" t="s">
        <v>1319</v>
      </c>
      <c r="D1948" t="s">
        <v>1460</v>
      </c>
      <c r="E1948" s="14" t="n">
        <v>0.25</v>
      </c>
      <c r="F1948" s="17" t="n">
        <v>134</v>
      </c>
      <c r="G1948" s="15" t="n">
        <v>-0.00872487417562519</v>
      </c>
      <c r="H1948" s="16" t="n">
        <v>-0.249847706754774</v>
      </c>
    </row>
    <row r="1949">
      <c r="A1949" t="s">
        <v>32</v>
      </c>
      <c r="B1949" t="s">
        <v>1318</v>
      </c>
      <c r="C1949" t="s">
        <v>1320</v>
      </c>
      <c r="D1949" t="s">
        <v>1460</v>
      </c>
      <c r="E1949" s="14" t="n">
        <v>0.25</v>
      </c>
      <c r="F1949" s="17" t="n">
        <v>56</v>
      </c>
      <c r="G1949" s="15" t="n">
        <v>-0.093651648353978</v>
      </c>
      <c r="H1949" s="16" t="n">
        <v>0.231795963641697</v>
      </c>
    </row>
    <row r="1950">
      <c r="A1950" t="s">
        <v>30</v>
      </c>
      <c r="B1950" t="s">
        <v>1321</v>
      </c>
      <c r="C1950" t="s">
        <v>1322</v>
      </c>
      <c r="D1950" t="s">
        <v>1460</v>
      </c>
      <c r="E1950" s="14" t="n">
        <v>0.25</v>
      </c>
      <c r="F1950" s="17" t="n">
        <v>51</v>
      </c>
      <c r="G1950" s="15" t="n">
        <v>-0.0519779227044398</v>
      </c>
      <c r="H1950" s="16" t="n">
        <v>0.244536900183451</v>
      </c>
    </row>
    <row r="1951">
      <c r="A1951" t="s">
        <v>32</v>
      </c>
      <c r="B1951" t="s">
        <v>1323</v>
      </c>
      <c r="C1951" t="s">
        <v>1324</v>
      </c>
      <c r="D1951" t="s">
        <v>1460</v>
      </c>
      <c r="E1951" s="14" t="n">
        <v>0</v>
      </c>
      <c r="F1951" s="17" t="n">
        <v>56</v>
      </c>
      <c r="G1951" s="15" t="n">
        <v>0</v>
      </c>
      <c r="H1951" s="16" t="n">
        <v>0</v>
      </c>
    </row>
    <row r="1952">
      <c r="A1952" t="s">
        <v>32</v>
      </c>
      <c r="B1952" t="s">
        <v>1323</v>
      </c>
      <c r="C1952" t="s">
        <v>1325</v>
      </c>
      <c r="D1952" t="s">
        <v>1460</v>
      </c>
      <c r="E1952" s="14" t="n">
        <v>0.25</v>
      </c>
      <c r="F1952" s="17" t="n">
        <v>105</v>
      </c>
      <c r="G1952" s="15" t="n">
        <v>-0.21650635094611</v>
      </c>
      <c r="H1952" s="16" t="n">
        <v>-0.125</v>
      </c>
    </row>
    <row r="1953">
      <c r="A1953" t="s">
        <v>30</v>
      </c>
      <c r="B1953" t="s">
        <v>1326</v>
      </c>
      <c r="C1953" t="s">
        <v>1327</v>
      </c>
      <c r="D1953" t="s">
        <v>1460</v>
      </c>
      <c r="E1953" s="14" t="n">
        <v>0.25</v>
      </c>
      <c r="F1953" s="17" t="n">
        <v>156</v>
      </c>
      <c r="G1953" s="15" t="n">
        <v>0.167282651589715</v>
      </c>
      <c r="H1953" s="16" t="n">
        <v>-0.185786206369349</v>
      </c>
    </row>
    <row r="1954">
      <c r="A1954" t="s">
        <v>30</v>
      </c>
      <c r="B1954" t="s">
        <v>1326</v>
      </c>
      <c r="C1954" t="s">
        <v>1328</v>
      </c>
      <c r="D1954" t="s">
        <v>1460</v>
      </c>
      <c r="E1954" s="14" t="n">
        <v>0</v>
      </c>
      <c r="F1954" s="17" t="n">
        <v>31</v>
      </c>
      <c r="G1954" s="15" t="n">
        <v>0</v>
      </c>
      <c r="H1954" s="16" t="n">
        <v>0</v>
      </c>
    </row>
    <row r="1955">
      <c r="A1955" t="s">
        <v>30</v>
      </c>
      <c r="B1955" t="s">
        <v>1329</v>
      </c>
      <c r="C1955" t="s">
        <v>1330</v>
      </c>
      <c r="D1955" t="s">
        <v>1460</v>
      </c>
      <c r="E1955" s="14" t="n">
        <v>0.25</v>
      </c>
      <c r="F1955" s="17" t="n">
        <v>6</v>
      </c>
      <c r="G1955" s="15" t="n">
        <v>0.244536900183451</v>
      </c>
      <c r="H1955" s="16" t="n">
        <v>0.0519779227044398</v>
      </c>
    </row>
    <row r="1956">
      <c r="A1956" t="s">
        <v>32</v>
      </c>
      <c r="B1956" t="s">
        <v>1331</v>
      </c>
      <c r="C1956" t="s">
        <v>1332</v>
      </c>
      <c r="D1956" t="s">
        <v>1460</v>
      </c>
      <c r="E1956" s="14" t="n">
        <v>0.25</v>
      </c>
      <c r="F1956" s="17" t="n">
        <v>1</v>
      </c>
      <c r="G1956" s="15" t="n">
        <v>0.249847706754774</v>
      </c>
      <c r="H1956" s="16" t="n">
        <v>0.00872487417562524</v>
      </c>
    </row>
    <row r="1957">
      <c r="A1957" t="s">
        <v>32</v>
      </c>
      <c r="B1957" t="s">
        <v>1333</v>
      </c>
      <c r="C1957" t="s">
        <v>1334</v>
      </c>
      <c r="D1957" t="s">
        <v>1460</v>
      </c>
      <c r="E1957" s="14" t="n">
        <v>0.25</v>
      </c>
      <c r="F1957" s="17" t="n">
        <v>22</v>
      </c>
      <c r="G1957" s="15" t="n">
        <v>0.179834950084663</v>
      </c>
      <c r="H1957" s="16" t="n">
        <v>0.173664592614749</v>
      </c>
    </row>
    <row r="1958">
      <c r="A1958" t="s">
        <v>32</v>
      </c>
      <c r="B1958" t="s">
        <v>1333</v>
      </c>
      <c r="C1958" t="s">
        <v>1335</v>
      </c>
      <c r="D1958" t="s">
        <v>1460</v>
      </c>
      <c r="E1958" s="14" t="n">
        <v>0.25</v>
      </c>
      <c r="F1958" s="17" t="n">
        <v>29</v>
      </c>
      <c r="G1958" s="15" t="n">
        <v>0.132479816058301</v>
      </c>
      <c r="H1958" s="16" t="n">
        <v>0.212012024039106</v>
      </c>
    </row>
    <row r="1959">
      <c r="A1959" t="s">
        <v>30</v>
      </c>
      <c r="B1959" t="s">
        <v>1336</v>
      </c>
      <c r="C1959" t="s">
        <v>1337</v>
      </c>
      <c r="D1959" t="s">
        <v>1460</v>
      </c>
      <c r="E1959" s="14" t="n">
        <v>0</v>
      </c>
      <c r="F1959" s="17" t="n">
        <v>9</v>
      </c>
      <c r="G1959" s="15" t="n">
        <v>0</v>
      </c>
      <c r="H1959" s="16" t="n">
        <v>0</v>
      </c>
    </row>
    <row r="1960">
      <c r="A1960" t="s">
        <v>30</v>
      </c>
      <c r="B1960" t="s">
        <v>1336</v>
      </c>
      <c r="C1960" t="s">
        <v>1338</v>
      </c>
      <c r="D1960" t="s">
        <v>1460</v>
      </c>
      <c r="E1960" s="14" t="n">
        <v>0.25</v>
      </c>
      <c r="F1960" s="17" t="n">
        <v>55</v>
      </c>
      <c r="G1960" s="15" t="n">
        <v>-0.0855050358314172</v>
      </c>
      <c r="H1960" s="16" t="n">
        <v>0.234923155196477</v>
      </c>
    </row>
    <row r="1961">
      <c r="A1961" t="s">
        <v>32</v>
      </c>
      <c r="B1961" t="s">
        <v>1339</v>
      </c>
      <c r="C1961" t="s">
        <v>1340</v>
      </c>
      <c r="D1961" t="s">
        <v>1460</v>
      </c>
      <c r="E1961" s="14" t="n">
        <v>0.25</v>
      </c>
      <c r="F1961" s="17" t="n">
        <v>30</v>
      </c>
      <c r="G1961" s="15" t="n">
        <v>0.125</v>
      </c>
      <c r="H1961" s="16" t="n">
        <v>0.21650635094611</v>
      </c>
    </row>
    <row r="1962">
      <c r="A1962" t="s">
        <v>32</v>
      </c>
      <c r="B1962" t="s">
        <v>1341</v>
      </c>
      <c r="C1962" t="s">
        <v>1342</v>
      </c>
      <c r="D1962" t="s">
        <v>1460</v>
      </c>
      <c r="E1962" s="14" t="n">
        <v>0.5</v>
      </c>
      <c r="F1962" s="17" t="n">
        <v>53</v>
      </c>
      <c r="G1962" s="15" t="n">
        <v>-0.1378186779085</v>
      </c>
      <c r="H1962" s="16" t="n">
        <v>0.480630847969159</v>
      </c>
    </row>
    <row r="1963">
      <c r="A1963" t="s">
        <v>32</v>
      </c>
      <c r="B1963" t="s">
        <v>1341</v>
      </c>
      <c r="C1963" t="s">
        <v>1343</v>
      </c>
      <c r="D1963" t="s">
        <v>1460</v>
      </c>
      <c r="E1963" s="14" t="n">
        <v>1.25</v>
      </c>
      <c r="F1963" s="17" t="n">
        <v>133</v>
      </c>
      <c r="G1963" s="15" t="n">
        <v>-0.087195592180157</v>
      </c>
      <c r="H1963" s="16" t="n">
        <v>-1.24695506282478</v>
      </c>
    </row>
    <row r="1964">
      <c r="A1964" t="s">
        <v>30</v>
      </c>
      <c r="B1964" t="s">
        <v>1344</v>
      </c>
      <c r="C1964" t="s">
        <v>1345</v>
      </c>
      <c r="D1964" t="s">
        <v>1460</v>
      </c>
      <c r="E1964" s="14" t="n">
        <v>0.25</v>
      </c>
      <c r="F1964" s="17" t="n">
        <v>160</v>
      </c>
      <c r="G1964" s="15" t="n">
        <v>0.191511110779744</v>
      </c>
      <c r="H1964" s="16" t="n">
        <v>-0.160696902421635</v>
      </c>
    </row>
    <row r="1965">
      <c r="A1965" t="s">
        <v>30</v>
      </c>
      <c r="B1965" t="s">
        <v>1344</v>
      </c>
      <c r="C1965" t="s">
        <v>1346</v>
      </c>
      <c r="D1965" t="s">
        <v>1460</v>
      </c>
      <c r="E1965" s="14" t="n">
        <v>0.25</v>
      </c>
      <c r="F1965" s="17" t="n">
        <v>20</v>
      </c>
      <c r="G1965" s="15" t="n">
        <v>0.191511110779745</v>
      </c>
      <c r="H1965" s="16" t="n">
        <v>0.160696902421635</v>
      </c>
    </row>
    <row r="1966">
      <c r="A1966" t="s">
        <v>31</v>
      </c>
      <c r="B1966" t="s">
        <v>1347</v>
      </c>
      <c r="C1966" t="s">
        <v>1348</v>
      </c>
      <c r="D1966" t="s">
        <v>1460</v>
      </c>
      <c r="E1966" s="14" t="n">
        <v>0</v>
      </c>
      <c r="F1966" s="17" t="n">
        <v>32</v>
      </c>
      <c r="G1966" s="15" t="n">
        <v>0</v>
      </c>
      <c r="H1966" s="16" t="n">
        <v>0</v>
      </c>
    </row>
    <row r="1967">
      <c r="A1967" t="s">
        <v>32</v>
      </c>
      <c r="B1967" t="s">
        <v>1349</v>
      </c>
      <c r="C1967" t="s">
        <v>1350</v>
      </c>
      <c r="D1967" t="s">
        <v>1460</v>
      </c>
      <c r="E1967" s="14" t="n">
        <v>0.25</v>
      </c>
      <c r="F1967" s="17" t="n">
        <v>146</v>
      </c>
      <c r="G1967" s="15" t="n">
        <v>0.093651648353978</v>
      </c>
      <c r="H1967" s="16" t="n">
        <v>-0.231795963641697</v>
      </c>
    </row>
    <row r="1968">
      <c r="A1968" t="s">
        <v>32</v>
      </c>
      <c r="B1968" t="s">
        <v>1349</v>
      </c>
      <c r="C1968" t="s">
        <v>1351</v>
      </c>
      <c r="D1968" t="s">
        <v>1460</v>
      </c>
      <c r="E1968" s="14" t="n">
        <v>0</v>
      </c>
      <c r="F1968" s="17" t="n">
        <v>29</v>
      </c>
      <c r="G1968" s="15" t="n">
        <v>0</v>
      </c>
      <c r="H1968" s="16" t="n">
        <v>0</v>
      </c>
    </row>
    <row r="1969">
      <c r="A1969" t="s">
        <v>30</v>
      </c>
      <c r="B1969" t="s">
        <v>1352</v>
      </c>
      <c r="C1969" t="s">
        <v>1353</v>
      </c>
      <c r="D1969" t="s">
        <v>1460</v>
      </c>
      <c r="E1969" s="14" t="n">
        <v>0.25</v>
      </c>
      <c r="F1969" s="17" t="n">
        <v>67</v>
      </c>
      <c r="G1969" s="15" t="n">
        <v>-0.173664592614749</v>
      </c>
      <c r="H1969" s="16" t="n">
        <v>0.179834950084663</v>
      </c>
    </row>
    <row r="1970">
      <c r="A1970" t="s">
        <v>30</v>
      </c>
      <c r="B1970" t="s">
        <v>1352</v>
      </c>
      <c r="C1970" t="s">
        <v>1354</v>
      </c>
      <c r="D1970" t="s">
        <v>1460</v>
      </c>
      <c r="E1970" s="14" t="n">
        <v>0.25</v>
      </c>
      <c r="F1970" s="17" t="n">
        <v>132</v>
      </c>
      <c r="G1970" s="15" t="n">
        <v>-0.0261321158169136</v>
      </c>
      <c r="H1970" s="16" t="n">
        <v>-0.248630473842068</v>
      </c>
    </row>
    <row r="1971">
      <c r="A1971" t="s">
        <v>31</v>
      </c>
      <c r="B1971" t="s">
        <v>1355</v>
      </c>
      <c r="C1971" t="s">
        <v>1356</v>
      </c>
      <c r="D1971" t="s">
        <v>1460</v>
      </c>
      <c r="E1971" s="14" t="n">
        <v>0.25</v>
      </c>
      <c r="F1971" s="17" t="n">
        <v>174</v>
      </c>
      <c r="G1971" s="15" t="n">
        <v>0.244536900183451</v>
      </c>
      <c r="H1971" s="16" t="n">
        <v>-0.0519779227044398</v>
      </c>
    </row>
    <row r="1972">
      <c r="A1972" t="s">
        <v>31</v>
      </c>
      <c r="B1972" t="s">
        <v>1355</v>
      </c>
      <c r="C1972" t="s">
        <v>1357</v>
      </c>
      <c r="D1972" t="s">
        <v>1460</v>
      </c>
      <c r="E1972" s="14" t="n">
        <v>0.25</v>
      </c>
      <c r="F1972" s="17" t="n">
        <v>138</v>
      </c>
      <c r="G1972" s="15" t="n">
        <v>0.0261321158169135</v>
      </c>
      <c r="H1972" s="16" t="n">
        <v>-0.248630473842068</v>
      </c>
    </row>
    <row r="1973">
      <c r="A1973" t="s">
        <v>32</v>
      </c>
      <c r="B1973" t="s">
        <v>1358</v>
      </c>
      <c r="C1973" t="s">
        <v>1359</v>
      </c>
      <c r="D1973" t="s">
        <v>1460</v>
      </c>
      <c r="E1973" s="14" t="n">
        <v>0.25</v>
      </c>
      <c r="F1973" s="17" t="n">
        <v>92</v>
      </c>
      <c r="G1973" s="15" t="n">
        <v>-0.249391012564956</v>
      </c>
      <c r="H1973" s="16" t="n">
        <v>-0.0174391184360313</v>
      </c>
    </row>
    <row r="1974">
      <c r="A1974" t="s">
        <v>32</v>
      </c>
      <c r="B1974" t="s">
        <v>1358</v>
      </c>
      <c r="C1974" t="s">
        <v>1360</v>
      </c>
      <c r="D1974" t="s">
        <v>1460</v>
      </c>
      <c r="E1974" s="14" t="n">
        <v>0.25</v>
      </c>
      <c r="F1974" s="17" t="n">
        <v>75</v>
      </c>
      <c r="G1974" s="15" t="n">
        <v>-0.21650635094611</v>
      </c>
      <c r="H1974" s="16" t="n">
        <v>0.125</v>
      </c>
    </row>
    <row r="1975">
      <c r="A1975" t="s">
        <v>31</v>
      </c>
      <c r="B1975" t="s">
        <v>1361</v>
      </c>
      <c r="C1975" t="s">
        <v>1362</v>
      </c>
      <c r="D1975" t="s">
        <v>1460</v>
      </c>
      <c r="E1975" s="14" t="n">
        <v>0.25</v>
      </c>
      <c r="F1975" s="17" t="n">
        <v>99</v>
      </c>
      <c r="G1975" s="15" t="n">
        <v>-0.237764129073788</v>
      </c>
      <c r="H1975" s="16" t="n">
        <v>-0.077254248593737</v>
      </c>
    </row>
    <row r="1976">
      <c r="A1976" t="s">
        <v>31</v>
      </c>
      <c r="B1976" t="s">
        <v>1361</v>
      </c>
      <c r="C1976" t="s">
        <v>1363</v>
      </c>
      <c r="D1976" t="s">
        <v>1460</v>
      </c>
      <c r="E1976" s="14" t="n">
        <v>0.25</v>
      </c>
      <c r="F1976" s="17" t="n">
        <v>44</v>
      </c>
      <c r="G1976" s="15" t="n">
        <v>0.00872487417562527</v>
      </c>
      <c r="H1976" s="16" t="n">
        <v>0.249847706754774</v>
      </c>
    </row>
    <row r="1977">
      <c r="A1977" t="s">
        <v>30</v>
      </c>
      <c r="B1977" t="s">
        <v>1364</v>
      </c>
      <c r="C1977" t="s">
        <v>1365</v>
      </c>
      <c r="D1977" t="s">
        <v>1460</v>
      </c>
      <c r="E1977" s="14" t="n">
        <v>0.25</v>
      </c>
      <c r="F1977" s="17" t="n">
        <v>161</v>
      </c>
      <c r="G1977" s="15" t="n">
        <v>0.197002688401681</v>
      </c>
      <c r="H1977" s="16" t="n">
        <v>-0.153915368831415</v>
      </c>
    </row>
    <row r="1978">
      <c r="A1978" t="s">
        <v>30</v>
      </c>
      <c r="B1978" t="s">
        <v>1364</v>
      </c>
      <c r="C1978" t="s">
        <v>1366</v>
      </c>
      <c r="D1978" t="s">
        <v>1460</v>
      </c>
      <c r="E1978" s="14" t="n">
        <v>0.25</v>
      </c>
      <c r="F1978" s="17" t="n">
        <v>46</v>
      </c>
      <c r="G1978" s="15" t="n">
        <v>-0.00872487417562518</v>
      </c>
      <c r="H1978" s="16" t="n">
        <v>0.249847706754774</v>
      </c>
    </row>
    <row r="1979">
      <c r="A1979" t="s">
        <v>30</v>
      </c>
      <c r="B1979" t="s">
        <v>1367</v>
      </c>
      <c r="C1979" t="s">
        <v>1368</v>
      </c>
      <c r="D1979" t="s">
        <v>1460</v>
      </c>
      <c r="E1979" s="14" t="n">
        <v>0</v>
      </c>
      <c r="F1979" s="17" t="n">
        <v>80</v>
      </c>
      <c r="G1979" s="15" t="n">
        <v>0</v>
      </c>
      <c r="H1979" s="16" t="n">
        <v>0</v>
      </c>
    </row>
    <row r="1980">
      <c r="A1980" t="s">
        <v>30</v>
      </c>
      <c r="B1980" t="s">
        <v>1367</v>
      </c>
      <c r="C1980" t="s">
        <v>1369</v>
      </c>
      <c r="D1980" t="s">
        <v>1460</v>
      </c>
      <c r="E1980" s="14" t="n">
        <v>0.25</v>
      </c>
      <c r="F1980" s="17" t="n">
        <v>75</v>
      </c>
      <c r="G1980" s="15" t="n">
        <v>-0.21650635094611</v>
      </c>
      <c r="H1980" s="16" t="n">
        <v>0.125</v>
      </c>
    </row>
    <row r="1981">
      <c r="A1981" t="s">
        <v>30</v>
      </c>
      <c r="B1981" t="s">
        <v>1370</v>
      </c>
      <c r="C1981" t="s">
        <v>1371</v>
      </c>
      <c r="D1981" t="s">
        <v>1460</v>
      </c>
      <c r="E1981" s="14" t="n">
        <v>0.25</v>
      </c>
      <c r="F1981" s="17" t="n">
        <v>91</v>
      </c>
      <c r="G1981" s="15" t="n">
        <v>-0.249847706754774</v>
      </c>
      <c r="H1981" s="16" t="n">
        <v>-0.00872487417562529</v>
      </c>
    </row>
    <row r="1982">
      <c r="A1982" t="s">
        <v>31</v>
      </c>
      <c r="B1982" t="s">
        <v>1372</v>
      </c>
      <c r="C1982" t="s">
        <v>1373</v>
      </c>
      <c r="D1982" t="s">
        <v>1460</v>
      </c>
      <c r="E1982" s="14" t="n">
        <v>0.25</v>
      </c>
      <c r="F1982" s="17" t="n">
        <v>66</v>
      </c>
      <c r="G1982" s="15" t="n">
        <v>-0.167282651589714</v>
      </c>
      <c r="H1982" s="16" t="n">
        <v>0.185786206369349</v>
      </c>
    </row>
    <row r="1983">
      <c r="A1983" t="s">
        <v>31</v>
      </c>
      <c r="B1983" t="s">
        <v>1372</v>
      </c>
      <c r="C1983" t="s">
        <v>1374</v>
      </c>
      <c r="D1983" t="s">
        <v>1460</v>
      </c>
      <c r="E1983" s="14" t="n">
        <v>0.25</v>
      </c>
      <c r="F1983" s="17" t="n">
        <v>47</v>
      </c>
      <c r="G1983" s="15" t="n">
        <v>-0.0174391184360313</v>
      </c>
      <c r="H1983" s="16" t="n">
        <v>0.249391012564956</v>
      </c>
    </row>
    <row r="1984">
      <c r="A1984" t="s">
        <v>30</v>
      </c>
      <c r="B1984" t="s">
        <v>1375</v>
      </c>
      <c r="C1984" t="s">
        <v>1376</v>
      </c>
      <c r="D1984" t="s">
        <v>1460</v>
      </c>
      <c r="E1984" s="14" t="n">
        <v>0.5</v>
      </c>
      <c r="F1984" s="17" t="n">
        <v>154</v>
      </c>
      <c r="G1984" s="15" t="n">
        <v>0.307830737662829</v>
      </c>
      <c r="H1984" s="16" t="n">
        <v>-0.394005376803361</v>
      </c>
    </row>
    <row r="1985">
      <c r="A1985" t="s">
        <v>30</v>
      </c>
      <c r="B1985" t="s">
        <v>1377</v>
      </c>
      <c r="C1985" t="s">
        <v>1378</v>
      </c>
      <c r="D1985" t="s">
        <v>1460</v>
      </c>
      <c r="E1985" s="14" t="n">
        <v>0.25</v>
      </c>
      <c r="F1985" s="17" t="n">
        <v>95</v>
      </c>
      <c r="G1985" s="15" t="n">
        <v>-0.246201938253052</v>
      </c>
      <c r="H1985" s="16" t="n">
        <v>-0.0434120444167327</v>
      </c>
    </row>
    <row r="1986">
      <c r="A1986" t="s">
        <v>32</v>
      </c>
      <c r="B1986" t="s">
        <v>1379</v>
      </c>
      <c r="C1986" t="s">
        <v>1380</v>
      </c>
      <c r="D1986" t="s">
        <v>1460</v>
      </c>
      <c r="E1986" s="14" t="n">
        <v>0.25</v>
      </c>
      <c r="F1986" s="17" t="n">
        <v>114</v>
      </c>
      <c r="G1986" s="15" t="n">
        <v>-0.167282651589715</v>
      </c>
      <c r="H1986" s="16" t="n">
        <v>-0.185786206369349</v>
      </c>
    </row>
    <row r="1987">
      <c r="A1987" t="s">
        <v>32</v>
      </c>
      <c r="B1987" t="s">
        <v>1379</v>
      </c>
      <c r="C1987" t="s">
        <v>1381</v>
      </c>
      <c r="D1987" t="s">
        <v>1460</v>
      </c>
      <c r="E1987" s="14" t="n">
        <v>0</v>
      </c>
      <c r="F1987" s="17" t="n">
        <v>145</v>
      </c>
      <c r="G1987" s="15" t="n">
        <v>0</v>
      </c>
      <c r="H1987" s="16" t="n">
        <v>0</v>
      </c>
    </row>
    <row r="1988">
      <c r="A1988" t="s">
        <v>32</v>
      </c>
      <c r="B1988" t="s">
        <v>1382</v>
      </c>
      <c r="C1988" t="s">
        <v>1383</v>
      </c>
      <c r="D1988" t="s">
        <v>1460</v>
      </c>
      <c r="E1988" s="14" t="n">
        <v>0</v>
      </c>
      <c r="F1988" s="17" t="n">
        <v>78</v>
      </c>
      <c r="G1988" s="15" t="n">
        <v>0</v>
      </c>
      <c r="H1988" s="16" t="n">
        <v>0</v>
      </c>
    </row>
    <row r="1989">
      <c r="A1989" t="s">
        <v>32</v>
      </c>
      <c r="B1989" t="s">
        <v>1382</v>
      </c>
      <c r="C1989" t="s">
        <v>1384</v>
      </c>
      <c r="D1989" t="s">
        <v>1460</v>
      </c>
      <c r="E1989" s="14" t="n">
        <v>0.25</v>
      </c>
      <c r="F1989" s="17" t="n">
        <v>69</v>
      </c>
      <c r="G1989" s="15" t="n">
        <v>-0.185786206369349</v>
      </c>
      <c r="H1989" s="16" t="n">
        <v>0.167282651589715</v>
      </c>
    </row>
    <row r="1990">
      <c r="A1990" t="s">
        <v>32</v>
      </c>
      <c r="B1990" t="s">
        <v>1385</v>
      </c>
      <c r="C1990" t="s">
        <v>1386</v>
      </c>
      <c r="D1990" t="s">
        <v>1460</v>
      </c>
      <c r="E1990" s="14" t="n">
        <v>0.25</v>
      </c>
      <c r="F1990" s="17" t="n">
        <v>46</v>
      </c>
      <c r="G1990" s="15" t="n">
        <v>-0.00872487417562518</v>
      </c>
      <c r="H1990" s="16" t="n">
        <v>0.249847706754774</v>
      </c>
    </row>
    <row r="1991">
      <c r="A1991" t="s">
        <v>30</v>
      </c>
      <c r="B1991" t="s">
        <v>609</v>
      </c>
      <c r="C1991" t="s">
        <v>610</v>
      </c>
      <c r="D1991" t="s">
        <v>1461</v>
      </c>
      <c r="E1991" s="14" t="n">
        <v>0.5</v>
      </c>
      <c r="F1991" s="17" t="n">
        <v>139</v>
      </c>
      <c r="G1991" s="15" t="n">
        <v>0.0695865504800327</v>
      </c>
      <c r="H1991" s="16" t="n">
        <v>-0.495134034370785</v>
      </c>
    </row>
    <row r="1992">
      <c r="A1992" t="s">
        <v>30</v>
      </c>
      <c r="B1992" t="s">
        <v>609</v>
      </c>
      <c r="C1992" t="s">
        <v>612</v>
      </c>
      <c r="D1992" t="s">
        <v>1461</v>
      </c>
      <c r="E1992" s="14" t="n">
        <v>0.75</v>
      </c>
      <c r="F1992" s="17" t="n">
        <v>41</v>
      </c>
      <c r="G1992" s="15" t="n">
        <v>0.104379825720049</v>
      </c>
      <c r="H1992" s="16" t="n">
        <v>0.742701051556178</v>
      </c>
    </row>
    <row r="1993">
      <c r="A1993" t="s">
        <v>30</v>
      </c>
      <c r="B1993" t="s">
        <v>613</v>
      </c>
      <c r="C1993" t="s">
        <v>614</v>
      </c>
      <c r="D1993" t="s">
        <v>1461</v>
      </c>
      <c r="E1993" s="14" t="n">
        <v>0.75</v>
      </c>
      <c r="F1993" s="17" t="n">
        <v>70</v>
      </c>
      <c r="G1993" s="15" t="n">
        <v>-0.574533332339233</v>
      </c>
      <c r="H1993" s="16" t="n">
        <v>0.482090707264905</v>
      </c>
    </row>
    <row r="1994">
      <c r="A1994" t="s">
        <v>32</v>
      </c>
      <c r="B1994" t="s">
        <v>1389</v>
      </c>
      <c r="C1994" t="s">
        <v>1390</v>
      </c>
      <c r="D1994" t="s">
        <v>1461</v>
      </c>
      <c r="E1994" s="14" t="n">
        <v>0.5</v>
      </c>
      <c r="F1994" s="17" t="n">
        <v>170</v>
      </c>
      <c r="G1994" s="15" t="n">
        <v>0.469846310392954</v>
      </c>
      <c r="H1994" s="16" t="n">
        <v>-0.171010071662834</v>
      </c>
    </row>
    <row r="1995">
      <c r="A1995" t="s">
        <v>32</v>
      </c>
      <c r="B1995" t="s">
        <v>1389</v>
      </c>
      <c r="C1995" t="s">
        <v>1391</v>
      </c>
      <c r="D1995" t="s">
        <v>1461</v>
      </c>
      <c r="E1995" s="14" t="n">
        <v>0.5</v>
      </c>
      <c r="F1995" s="17" t="n">
        <v>13</v>
      </c>
      <c r="G1995" s="15" t="n">
        <v>0.449397023149584</v>
      </c>
      <c r="H1995" s="16" t="n">
        <v>0.219185573394539</v>
      </c>
    </row>
    <row r="1996">
      <c r="A1996" t="s">
        <v>31</v>
      </c>
      <c r="B1996" t="s">
        <v>615</v>
      </c>
      <c r="C1996" t="s">
        <v>616</v>
      </c>
      <c r="D1996" t="s">
        <v>1461</v>
      </c>
      <c r="E1996" s="14" t="n">
        <v>0.5</v>
      </c>
      <c r="F1996" s="17" t="n">
        <v>5</v>
      </c>
      <c r="G1996" s="15" t="n">
        <v>0.492403876506104</v>
      </c>
      <c r="H1996" s="16" t="n">
        <v>0.0868240888334652</v>
      </c>
    </row>
    <row r="1997">
      <c r="A1997" t="s">
        <v>31</v>
      </c>
      <c r="B1997" t="s">
        <v>615</v>
      </c>
      <c r="C1997" t="s">
        <v>617</v>
      </c>
      <c r="D1997" t="s">
        <v>1461</v>
      </c>
      <c r="E1997" s="14" t="n">
        <v>0.25</v>
      </c>
      <c r="F1997" s="17" t="n">
        <v>172</v>
      </c>
      <c r="G1997" s="15" t="n">
        <v>0.24031542398458</v>
      </c>
      <c r="H1997" s="16" t="n">
        <v>-0.0689093389542497</v>
      </c>
    </row>
    <row r="1998">
      <c r="A1998" t="s">
        <v>32</v>
      </c>
      <c r="B1998" t="s">
        <v>618</v>
      </c>
      <c r="C1998" t="s">
        <v>619</v>
      </c>
      <c r="D1998" t="s">
        <v>1461</v>
      </c>
      <c r="E1998" s="14" t="n">
        <v>0.25</v>
      </c>
      <c r="F1998" s="17" t="n">
        <v>147</v>
      </c>
      <c r="G1998" s="15" t="n">
        <v>0.10168416076895</v>
      </c>
      <c r="H1998" s="16" t="n">
        <v>-0.22838636441065</v>
      </c>
    </row>
    <row r="1999">
      <c r="A1999" t="s">
        <v>30</v>
      </c>
      <c r="B1999" t="s">
        <v>620</v>
      </c>
      <c r="C1999" t="s">
        <v>621</v>
      </c>
      <c r="D1999" t="s">
        <v>1461</v>
      </c>
      <c r="E1999" s="14" t="n">
        <v>0.5</v>
      </c>
      <c r="F1999" s="17" t="n">
        <v>179</v>
      </c>
      <c r="G1999" s="15" t="n">
        <v>0.499695413509548</v>
      </c>
      <c r="H1999" s="16" t="n">
        <v>-0.0174497483512504</v>
      </c>
    </row>
    <row r="2000">
      <c r="A2000" t="s">
        <v>30</v>
      </c>
      <c r="B2000" t="s">
        <v>620</v>
      </c>
      <c r="C2000" t="s">
        <v>622</v>
      </c>
      <c r="D2000" t="s">
        <v>1461</v>
      </c>
      <c r="E2000" s="14" t="n">
        <v>1</v>
      </c>
      <c r="F2000" s="17" t="n">
        <v>170</v>
      </c>
      <c r="G2000" s="15" t="n">
        <v>0.939692620785908</v>
      </c>
      <c r="H2000" s="16" t="n">
        <v>-0.342020143325669</v>
      </c>
    </row>
    <row r="2001">
      <c r="A2001" t="s">
        <v>31</v>
      </c>
      <c r="B2001" t="s">
        <v>623</v>
      </c>
      <c r="C2001" t="s">
        <v>624</v>
      </c>
      <c r="D2001" t="s">
        <v>1461</v>
      </c>
      <c r="E2001" s="14" t="n">
        <v>0.25</v>
      </c>
      <c r="F2001" s="17" t="n">
        <v>9</v>
      </c>
      <c r="G2001" s="15" t="n">
        <v>0.237764129073788</v>
      </c>
      <c r="H2001" s="16" t="n">
        <v>0.0772542485937368</v>
      </c>
    </row>
    <row r="2002">
      <c r="A2002" t="s">
        <v>30</v>
      </c>
      <c r="B2002" t="s">
        <v>625</v>
      </c>
      <c r="C2002" t="s">
        <v>626</v>
      </c>
      <c r="D2002" t="s">
        <v>1461</v>
      </c>
      <c r="E2002" s="14" t="n">
        <v>0.75</v>
      </c>
      <c r="F2002" s="17" t="n">
        <v>95</v>
      </c>
      <c r="G2002" s="15" t="n">
        <v>-0.738605814759156</v>
      </c>
      <c r="H2002" s="16" t="n">
        <v>-0.130236133250198</v>
      </c>
    </row>
    <row r="2003">
      <c r="A2003" t="s">
        <v>30</v>
      </c>
      <c r="B2003" t="s">
        <v>625</v>
      </c>
      <c r="C2003" t="s">
        <v>627</v>
      </c>
      <c r="D2003" t="s">
        <v>1461</v>
      </c>
      <c r="E2003" s="14" t="n">
        <v>0.5</v>
      </c>
      <c r="F2003" s="17" t="n">
        <v>106</v>
      </c>
      <c r="G2003" s="15" t="n">
        <v>-0.424024048078213</v>
      </c>
      <c r="H2003" s="16" t="n">
        <v>-0.264959632116602</v>
      </c>
    </row>
    <row r="2004">
      <c r="A2004" t="s">
        <v>30</v>
      </c>
      <c r="B2004" t="s">
        <v>628</v>
      </c>
      <c r="C2004" t="s">
        <v>629</v>
      </c>
      <c r="D2004" t="s">
        <v>1461</v>
      </c>
      <c r="E2004" s="14" t="n">
        <v>0.75</v>
      </c>
      <c r="F2004" s="17" t="n">
        <v>4</v>
      </c>
      <c r="G2004" s="15" t="n">
        <v>0.742701051556178</v>
      </c>
      <c r="H2004" s="16" t="n">
        <v>0.104379825720049</v>
      </c>
    </row>
    <row r="2005">
      <c r="A2005" t="s">
        <v>30</v>
      </c>
      <c r="B2005" t="s">
        <v>630</v>
      </c>
      <c r="C2005" t="s">
        <v>631</v>
      </c>
      <c r="D2005" t="s">
        <v>1461</v>
      </c>
      <c r="E2005" s="14" t="n">
        <v>1.75</v>
      </c>
      <c r="F2005" s="17" t="n">
        <v>23</v>
      </c>
      <c r="G2005" s="15" t="n">
        <v>1.21565214830325</v>
      </c>
      <c r="H2005" s="16" t="n">
        <v>1.25884465059264</v>
      </c>
    </row>
    <row r="2006">
      <c r="A2006" t="s">
        <v>30</v>
      </c>
      <c r="B2006" t="s">
        <v>630</v>
      </c>
      <c r="C2006" t="s">
        <v>632</v>
      </c>
      <c r="D2006" t="s">
        <v>1461</v>
      </c>
      <c r="E2006" s="14" t="n">
        <v>1.5</v>
      </c>
      <c r="F2006" s="17" t="n">
        <v>172</v>
      </c>
      <c r="G2006" s="15" t="n">
        <v>1.44189254390748</v>
      </c>
      <c r="H2006" s="16" t="n">
        <v>-0.413456033725498</v>
      </c>
    </row>
    <row r="2007">
      <c r="A2007" t="s">
        <v>30</v>
      </c>
      <c r="B2007" t="s">
        <v>633</v>
      </c>
      <c r="C2007" t="s">
        <v>634</v>
      </c>
      <c r="D2007" t="s">
        <v>1461</v>
      </c>
      <c r="E2007" s="14" t="n">
        <v>1.25</v>
      </c>
      <c r="F2007" s="17" t="n">
        <v>171</v>
      </c>
      <c r="G2007" s="15" t="n">
        <v>1.18882064536894</v>
      </c>
      <c r="H2007" s="16" t="n">
        <v>-0.386271242968685</v>
      </c>
    </row>
    <row r="2008">
      <c r="A2008" t="s">
        <v>30</v>
      </c>
      <c r="B2008" t="s">
        <v>633</v>
      </c>
      <c r="C2008" t="s">
        <v>635</v>
      </c>
      <c r="D2008" t="s">
        <v>1461</v>
      </c>
      <c r="E2008" s="14" t="n">
        <v>0.5</v>
      </c>
      <c r="F2008" s="17" t="n">
        <v>22</v>
      </c>
      <c r="G2008" s="15" t="n">
        <v>0.359669900169326</v>
      </c>
      <c r="H2008" s="16" t="n">
        <v>0.347329185229499</v>
      </c>
    </row>
    <row r="2009">
      <c r="A2009" t="s">
        <v>30</v>
      </c>
      <c r="B2009" t="s">
        <v>636</v>
      </c>
      <c r="C2009" t="s">
        <v>637</v>
      </c>
      <c r="D2009" t="s">
        <v>1461</v>
      </c>
      <c r="E2009" s="14" t="n">
        <v>0.25</v>
      </c>
      <c r="F2009" s="17" t="n">
        <v>165</v>
      </c>
      <c r="G2009" s="15" t="n">
        <v>0.21650635094611</v>
      </c>
      <c r="H2009" s="16" t="n">
        <v>-0.125</v>
      </c>
    </row>
    <row r="2010">
      <c r="A2010" t="s">
        <v>31</v>
      </c>
      <c r="B2010" t="s">
        <v>638</v>
      </c>
      <c r="C2010" t="s">
        <v>639</v>
      </c>
      <c r="D2010" t="s">
        <v>1461</v>
      </c>
      <c r="E2010" s="14" t="n">
        <v>0.75</v>
      </c>
      <c r="F2010" s="17" t="n">
        <v>177</v>
      </c>
      <c r="G2010" s="15" t="n">
        <v>0.745891421526205</v>
      </c>
      <c r="H2010" s="16" t="n">
        <v>-0.0783963474507403</v>
      </c>
    </row>
    <row r="2011">
      <c r="A2011" t="s">
        <v>31</v>
      </c>
      <c r="B2011" t="s">
        <v>638</v>
      </c>
      <c r="C2011" t="s">
        <v>640</v>
      </c>
      <c r="D2011" t="s">
        <v>1461</v>
      </c>
      <c r="E2011" s="14" t="n">
        <v>0.25</v>
      </c>
      <c r="F2011" s="17" t="n">
        <v>14</v>
      </c>
      <c r="G2011" s="15" t="n">
        <v>0.220736898214732</v>
      </c>
      <c r="H2011" s="16" t="n">
        <v>0.117367890696473</v>
      </c>
    </row>
    <row r="2012">
      <c r="A2012" t="s">
        <v>31</v>
      </c>
      <c r="B2012" t="s">
        <v>641</v>
      </c>
      <c r="C2012" t="s">
        <v>642</v>
      </c>
      <c r="D2012" t="s">
        <v>1461</v>
      </c>
      <c r="E2012" s="14" t="n">
        <v>0.5</v>
      </c>
      <c r="F2012" s="17" t="n">
        <v>124</v>
      </c>
      <c r="G2012" s="15" t="n">
        <v>-0.187303296707956</v>
      </c>
      <c r="H2012" s="16" t="n">
        <v>-0.463591927283394</v>
      </c>
    </row>
    <row r="2013">
      <c r="A2013" t="s">
        <v>31</v>
      </c>
      <c r="B2013" t="s">
        <v>641</v>
      </c>
      <c r="C2013" t="s">
        <v>643</v>
      </c>
      <c r="D2013" t="s">
        <v>1461</v>
      </c>
      <c r="E2013" s="14" t="n">
        <v>0.25</v>
      </c>
      <c r="F2013" s="17" t="n">
        <v>59</v>
      </c>
      <c r="G2013" s="15" t="n">
        <v>-0.117367890696473</v>
      </c>
      <c r="H2013" s="16" t="n">
        <v>0.220736898214732</v>
      </c>
    </row>
    <row r="2014">
      <c r="A2014" t="s">
        <v>30</v>
      </c>
      <c r="B2014" t="s">
        <v>644</v>
      </c>
      <c r="C2014" t="s">
        <v>645</v>
      </c>
      <c r="D2014" t="s">
        <v>1461</v>
      </c>
      <c r="E2014" s="14" t="n">
        <v>0.75</v>
      </c>
      <c r="F2014" s="17" t="n">
        <v>50</v>
      </c>
      <c r="G2014" s="15" t="n">
        <v>-0.130236133250198</v>
      </c>
      <c r="H2014" s="16" t="n">
        <v>0.738605814759156</v>
      </c>
    </row>
    <row r="2015">
      <c r="A2015" t="s">
        <v>30</v>
      </c>
      <c r="B2015" t="s">
        <v>646</v>
      </c>
      <c r="C2015" t="s">
        <v>647</v>
      </c>
      <c r="D2015" t="s">
        <v>1461</v>
      </c>
      <c r="E2015" s="14" t="n">
        <v>0.5</v>
      </c>
      <c r="F2015" s="17" t="n">
        <v>85</v>
      </c>
      <c r="G2015" s="15" t="n">
        <v>-0.492403876506104</v>
      </c>
      <c r="H2015" s="16" t="n">
        <v>0.0868240888334653</v>
      </c>
    </row>
    <row r="2016">
      <c r="A2016" t="s">
        <v>31</v>
      </c>
      <c r="B2016" t="s">
        <v>648</v>
      </c>
      <c r="C2016" t="s">
        <v>649</v>
      </c>
      <c r="D2016" t="s">
        <v>1461</v>
      </c>
      <c r="E2016" s="14" t="n">
        <v>0.75</v>
      </c>
      <c r="F2016" s="17" t="n">
        <v>89</v>
      </c>
      <c r="G2016" s="15" t="n">
        <v>-0.749543120264322</v>
      </c>
      <c r="H2016" s="16" t="n">
        <v>0.0261746225268759</v>
      </c>
    </row>
    <row r="2017">
      <c r="A2017" t="s">
        <v>31</v>
      </c>
      <c r="B2017" t="s">
        <v>648</v>
      </c>
      <c r="C2017" t="s">
        <v>650</v>
      </c>
      <c r="D2017" t="s">
        <v>1461</v>
      </c>
      <c r="E2017" s="14" t="n">
        <v>1.5</v>
      </c>
      <c r="F2017" s="17" t="n">
        <v>98</v>
      </c>
      <c r="G2017" s="15" t="n">
        <v>-1.44189254390748</v>
      </c>
      <c r="H2017" s="16" t="n">
        <v>-0.413456033725498</v>
      </c>
    </row>
    <row r="2018">
      <c r="A2018" t="s">
        <v>30</v>
      </c>
      <c r="B2018" t="s">
        <v>651</v>
      </c>
      <c r="C2018" t="s">
        <v>652</v>
      </c>
      <c r="D2018" t="s">
        <v>1461</v>
      </c>
      <c r="E2018" s="14" t="n">
        <v>1.5</v>
      </c>
      <c r="F2018" s="17" t="n">
        <v>57</v>
      </c>
      <c r="G2018" s="15" t="n">
        <v>-0.6101049646137</v>
      </c>
      <c r="H2018" s="16" t="n">
        <v>1.3703181864639</v>
      </c>
    </row>
    <row r="2019">
      <c r="A2019" t="s">
        <v>30</v>
      </c>
      <c r="B2019" t="s">
        <v>651</v>
      </c>
      <c r="C2019" t="s">
        <v>653</v>
      </c>
      <c r="D2019" t="s">
        <v>1461</v>
      </c>
      <c r="E2019" s="14" t="n">
        <v>1</v>
      </c>
      <c r="F2019" s="17" t="n">
        <v>128</v>
      </c>
      <c r="G2019" s="15" t="n">
        <v>-0.241921895599668</v>
      </c>
      <c r="H2019" s="16" t="n">
        <v>-0.970295726275996</v>
      </c>
    </row>
    <row r="2020">
      <c r="A2020" t="s">
        <v>30</v>
      </c>
      <c r="B2020" t="s">
        <v>654</v>
      </c>
      <c r="C2020" t="s">
        <v>655</v>
      </c>
      <c r="D2020" t="s">
        <v>1461</v>
      </c>
      <c r="E2020" s="14" t="n">
        <v>1.25</v>
      </c>
      <c r="F2020" s="17" t="n">
        <v>15</v>
      </c>
      <c r="G2020" s="15" t="n">
        <v>1.08253175473055</v>
      </c>
      <c r="H2020" s="16" t="n">
        <v>0.625</v>
      </c>
    </row>
    <row r="2021">
      <c r="A2021" t="s">
        <v>30</v>
      </c>
      <c r="B2021" t="s">
        <v>654</v>
      </c>
      <c r="C2021" t="s">
        <v>656</v>
      </c>
      <c r="D2021" t="s">
        <v>1461</v>
      </c>
      <c r="E2021" s="14" t="n">
        <v>0.5</v>
      </c>
      <c r="F2021" s="17" t="n">
        <v>6</v>
      </c>
      <c r="G2021" s="15" t="n">
        <v>0.489073800366903</v>
      </c>
      <c r="H2021" s="16" t="n">
        <v>0.10395584540888</v>
      </c>
    </row>
    <row r="2022">
      <c r="A2022" t="s">
        <v>30</v>
      </c>
      <c r="B2022" t="s">
        <v>657</v>
      </c>
      <c r="C2022" t="s">
        <v>658</v>
      </c>
      <c r="D2022" t="s">
        <v>1461</v>
      </c>
      <c r="E2022" s="14" t="n">
        <v>1.75</v>
      </c>
      <c r="F2022" s="17" t="n">
        <v>23</v>
      </c>
      <c r="G2022" s="15" t="n">
        <v>1.21565214830325</v>
      </c>
      <c r="H2022" s="16" t="n">
        <v>1.25884465059264</v>
      </c>
    </row>
    <row r="2023">
      <c r="A2023" t="s">
        <v>30</v>
      </c>
      <c r="B2023" t="s">
        <v>657</v>
      </c>
      <c r="C2023" t="s">
        <v>659</v>
      </c>
      <c r="D2023" t="s">
        <v>1461</v>
      </c>
      <c r="E2023" s="14" t="n">
        <v>0.75</v>
      </c>
      <c r="F2023" s="17" t="n">
        <v>149</v>
      </c>
      <c r="G2023" s="15" t="n">
        <v>0.352103672089418</v>
      </c>
      <c r="H2023" s="16" t="n">
        <v>-0.662210694644195</v>
      </c>
    </row>
    <row r="2024">
      <c r="A2024" t="s">
        <v>32</v>
      </c>
      <c r="B2024" t="s">
        <v>660</v>
      </c>
      <c r="C2024" t="s">
        <v>661</v>
      </c>
      <c r="D2024" t="s">
        <v>1461</v>
      </c>
      <c r="E2024" s="14" t="n">
        <v>0.25</v>
      </c>
      <c r="F2024" s="17" t="n">
        <v>14</v>
      </c>
      <c r="G2024" s="15" t="n">
        <v>0.220736898214732</v>
      </c>
      <c r="H2024" s="16" t="n">
        <v>0.117367890696473</v>
      </c>
    </row>
    <row r="2025">
      <c r="A2025" t="s">
        <v>30</v>
      </c>
      <c r="B2025" t="s">
        <v>662</v>
      </c>
      <c r="C2025" t="s">
        <v>663</v>
      </c>
      <c r="D2025" t="s">
        <v>1461</v>
      </c>
      <c r="E2025" s="14" t="n">
        <v>1.75</v>
      </c>
      <c r="F2025" s="17" t="n">
        <v>108</v>
      </c>
      <c r="G2025" s="15" t="n">
        <v>-1.41577974015616</v>
      </c>
      <c r="H2025" s="16" t="n">
        <v>-1.02862419151183</v>
      </c>
    </row>
    <row r="2026">
      <c r="A2026" t="s">
        <v>30</v>
      </c>
      <c r="B2026" t="s">
        <v>662</v>
      </c>
      <c r="C2026" t="s">
        <v>664</v>
      </c>
      <c r="D2026" t="s">
        <v>1461</v>
      </c>
      <c r="E2026" s="14" t="n">
        <v>1</v>
      </c>
      <c r="F2026" s="17" t="n">
        <v>67</v>
      </c>
      <c r="G2026" s="15" t="n">
        <v>-0.694658370458997</v>
      </c>
      <c r="H2026" s="16" t="n">
        <v>0.719339800338651</v>
      </c>
    </row>
    <row r="2027">
      <c r="A2027" t="s">
        <v>31</v>
      </c>
      <c r="B2027" t="s">
        <v>665</v>
      </c>
      <c r="C2027" t="s">
        <v>666</v>
      </c>
      <c r="D2027" t="s">
        <v>1461</v>
      </c>
      <c r="E2027" s="14" t="n">
        <v>1.5</v>
      </c>
      <c r="F2027" s="17" t="n">
        <v>171</v>
      </c>
      <c r="G2027" s="15" t="n">
        <v>1.42658477444273</v>
      </c>
      <c r="H2027" s="16" t="n">
        <v>-0.463525491562422</v>
      </c>
    </row>
    <row r="2028">
      <c r="A2028" t="s">
        <v>30</v>
      </c>
      <c r="B2028" t="s">
        <v>667</v>
      </c>
      <c r="C2028" t="s">
        <v>668</v>
      </c>
      <c r="D2028" t="s">
        <v>1461</v>
      </c>
      <c r="E2028" s="14" t="n">
        <v>1</v>
      </c>
      <c r="F2028" s="17" t="n">
        <v>109</v>
      </c>
      <c r="G2028" s="15" t="n">
        <v>-0.788010753606722</v>
      </c>
      <c r="H2028" s="16" t="n">
        <v>-0.615661475325658</v>
      </c>
    </row>
    <row r="2029">
      <c r="A2029" t="s">
        <v>32</v>
      </c>
      <c r="B2029" t="s">
        <v>669</v>
      </c>
      <c r="C2029" t="s">
        <v>670</v>
      </c>
      <c r="D2029" t="s">
        <v>1461</v>
      </c>
      <c r="E2029" s="14" t="n">
        <v>0.75</v>
      </c>
      <c r="F2029" s="17" t="n">
        <v>156</v>
      </c>
      <c r="G2029" s="15" t="n">
        <v>0.501847954769144</v>
      </c>
      <c r="H2029" s="16" t="n">
        <v>-0.557358619108046</v>
      </c>
    </row>
    <row r="2030">
      <c r="A2030" t="s">
        <v>32</v>
      </c>
      <c r="B2030" t="s">
        <v>669</v>
      </c>
      <c r="C2030" t="s">
        <v>671</v>
      </c>
      <c r="D2030" t="s">
        <v>1461</v>
      </c>
      <c r="E2030" s="14" t="n">
        <v>1</v>
      </c>
      <c r="F2030" s="17" t="n">
        <v>26</v>
      </c>
      <c r="G2030" s="15" t="n">
        <v>0.615661475325658</v>
      </c>
      <c r="H2030" s="16" t="n">
        <v>0.788010753606722</v>
      </c>
    </row>
    <row r="2031">
      <c r="A2031" t="s">
        <v>32</v>
      </c>
      <c r="B2031" t="s">
        <v>672</v>
      </c>
      <c r="C2031" t="s">
        <v>673</v>
      </c>
      <c r="D2031" t="s">
        <v>1461</v>
      </c>
      <c r="E2031" s="14" t="n">
        <v>0.75</v>
      </c>
      <c r="F2031" s="17" t="n">
        <v>2</v>
      </c>
      <c r="G2031" s="15" t="n">
        <v>0.748173037694868</v>
      </c>
      <c r="H2031" s="16" t="n">
        <v>0.052317355308094</v>
      </c>
    </row>
    <row r="2032">
      <c r="A2032" t="s">
        <v>32</v>
      </c>
      <c r="B2032" t="s">
        <v>672</v>
      </c>
      <c r="C2032" t="s">
        <v>674</v>
      </c>
      <c r="D2032" t="s">
        <v>1461</v>
      </c>
      <c r="E2032" s="14" t="n">
        <v>1.75</v>
      </c>
      <c r="F2032" s="17" t="n">
        <v>176</v>
      </c>
      <c r="G2032" s="15" t="n">
        <v>1.73296912029775</v>
      </c>
      <c r="H2032" s="16" t="n">
        <v>-0.243552926680115</v>
      </c>
    </row>
    <row r="2033">
      <c r="A2033" t="s">
        <v>32</v>
      </c>
      <c r="B2033" t="s">
        <v>675</v>
      </c>
      <c r="C2033" t="s">
        <v>676</v>
      </c>
      <c r="D2033" t="s">
        <v>1461</v>
      </c>
      <c r="E2033" s="14" t="n">
        <v>0.75</v>
      </c>
      <c r="F2033" s="17" t="n">
        <v>165</v>
      </c>
      <c r="G2033" s="15" t="n">
        <v>0.649519052838329</v>
      </c>
      <c r="H2033" s="16" t="n">
        <v>-0.375</v>
      </c>
    </row>
    <row r="2034">
      <c r="A2034" t="s">
        <v>32</v>
      </c>
      <c r="B2034" t="s">
        <v>675</v>
      </c>
      <c r="C2034" t="s">
        <v>677</v>
      </c>
      <c r="D2034" t="s">
        <v>1461</v>
      </c>
      <c r="E2034" s="14" t="n">
        <v>1</v>
      </c>
      <c r="F2034" s="17" t="n">
        <v>18</v>
      </c>
      <c r="G2034" s="15" t="n">
        <v>0.809016994374947</v>
      </c>
      <c r="H2034" s="16" t="n">
        <v>0.587785252292473</v>
      </c>
    </row>
    <row r="2035">
      <c r="A2035" t="s">
        <v>31</v>
      </c>
      <c r="B2035" t="s">
        <v>678</v>
      </c>
      <c r="C2035" t="s">
        <v>679</v>
      </c>
      <c r="D2035" t="s">
        <v>1461</v>
      </c>
      <c r="E2035" s="14" t="n">
        <v>1.75</v>
      </c>
      <c r="F2035" s="17" t="n">
        <v>4</v>
      </c>
      <c r="G2035" s="15" t="n">
        <v>1.73296912029775</v>
      </c>
      <c r="H2035" s="16" t="n">
        <v>0.243552926680115</v>
      </c>
    </row>
    <row r="2036">
      <c r="A2036" t="s">
        <v>31</v>
      </c>
      <c r="B2036" t="s">
        <v>678</v>
      </c>
      <c r="C2036" t="s">
        <v>680</v>
      </c>
      <c r="D2036" t="s">
        <v>1461</v>
      </c>
      <c r="E2036" s="14" t="n">
        <v>1</v>
      </c>
      <c r="F2036" s="17" t="n">
        <v>2</v>
      </c>
      <c r="G2036" s="15" t="n">
        <v>0.997564050259824</v>
      </c>
      <c r="H2036" s="16" t="n">
        <v>0.0697564737441253</v>
      </c>
    </row>
    <row r="2037">
      <c r="A2037" t="s">
        <v>31</v>
      </c>
      <c r="B2037" t="s">
        <v>1392</v>
      </c>
      <c r="C2037" t="s">
        <v>1393</v>
      </c>
      <c r="D2037" t="s">
        <v>1461</v>
      </c>
      <c r="E2037" s="14" t="n">
        <v>1</v>
      </c>
      <c r="F2037" s="17" t="n">
        <v>177</v>
      </c>
      <c r="G2037" s="15" t="n">
        <v>0.994521895368273</v>
      </c>
      <c r="H2037" s="16" t="n">
        <v>-0.104528463267654</v>
      </c>
    </row>
    <row r="2038">
      <c r="A2038" t="s">
        <v>31</v>
      </c>
      <c r="B2038" t="s">
        <v>1392</v>
      </c>
      <c r="C2038" t="s">
        <v>1394</v>
      </c>
      <c r="D2038" t="s">
        <v>1461</v>
      </c>
      <c r="E2038" s="14" t="n">
        <v>2.25</v>
      </c>
      <c r="F2038" s="17" t="n">
        <v>7</v>
      </c>
      <c r="G2038" s="15" t="n">
        <v>2.18316538412099</v>
      </c>
      <c r="H2038" s="16" t="n">
        <v>0.544324265099252</v>
      </c>
    </row>
    <row r="2039">
      <c r="A2039" t="s">
        <v>30</v>
      </c>
      <c r="B2039" t="s">
        <v>681</v>
      </c>
      <c r="C2039" t="s">
        <v>682</v>
      </c>
      <c r="D2039" t="s">
        <v>1461</v>
      </c>
      <c r="E2039" s="14" t="n">
        <v>0.25</v>
      </c>
      <c r="F2039" s="17" t="n">
        <v>14</v>
      </c>
      <c r="G2039" s="15" t="n">
        <v>0.220736898214732</v>
      </c>
      <c r="H2039" s="16" t="n">
        <v>0.117367890696473</v>
      </c>
    </row>
    <row r="2040">
      <c r="A2040" t="s">
        <v>30</v>
      </c>
      <c r="B2040" t="s">
        <v>1395</v>
      </c>
      <c r="C2040" t="s">
        <v>1396</v>
      </c>
      <c r="D2040" t="s">
        <v>1461</v>
      </c>
      <c r="E2040" s="14" t="n">
        <v>0.5</v>
      </c>
      <c r="F2040" s="17" t="n">
        <v>179</v>
      </c>
      <c r="G2040" s="15" t="n">
        <v>0.499695413509548</v>
      </c>
      <c r="H2040" s="16" t="n">
        <v>-0.0174497483512504</v>
      </c>
    </row>
    <row r="2041">
      <c r="A2041" t="s">
        <v>30</v>
      </c>
      <c r="B2041" t="s">
        <v>1395</v>
      </c>
      <c r="C2041" t="s">
        <v>1397</v>
      </c>
      <c r="D2041" t="s">
        <v>1461</v>
      </c>
      <c r="E2041" s="14" t="n">
        <v>0.5</v>
      </c>
      <c r="F2041" s="17" t="n">
        <v>176</v>
      </c>
      <c r="G2041" s="15" t="n">
        <v>0.495134034370785</v>
      </c>
      <c r="H2041" s="16" t="n">
        <v>-0.0695865504800328</v>
      </c>
    </row>
    <row r="2042">
      <c r="A2042" t="s">
        <v>32</v>
      </c>
      <c r="B2042" t="s">
        <v>1398</v>
      </c>
      <c r="C2042" t="s">
        <v>1399</v>
      </c>
      <c r="D2042" t="s">
        <v>1461</v>
      </c>
      <c r="E2042" s="14" t="n">
        <v>2.75</v>
      </c>
      <c r="F2042" s="17" t="n">
        <v>146</v>
      </c>
      <c r="G2042" s="15" t="n">
        <v>1.03016813189376</v>
      </c>
      <c r="H2042" s="16" t="n">
        <v>-2.54975560005867</v>
      </c>
    </row>
    <row r="2043">
      <c r="A2043" t="s">
        <v>32</v>
      </c>
      <c r="B2043" t="s">
        <v>1398</v>
      </c>
      <c r="C2043" t="s">
        <v>1400</v>
      </c>
      <c r="D2043" t="s">
        <v>1461</v>
      </c>
      <c r="E2043" s="14" t="n">
        <v>2.25</v>
      </c>
      <c r="F2043" s="17" t="n">
        <v>30</v>
      </c>
      <c r="G2043" s="15" t="n">
        <v>1.125</v>
      </c>
      <c r="H2043" s="16" t="n">
        <v>1.94855715851499</v>
      </c>
    </row>
    <row r="2044">
      <c r="A2044" t="s">
        <v>30</v>
      </c>
      <c r="B2044" t="s">
        <v>683</v>
      </c>
      <c r="C2044" t="s">
        <v>684</v>
      </c>
      <c r="D2044" t="s">
        <v>1461</v>
      </c>
      <c r="E2044" s="14" t="n">
        <v>1.25</v>
      </c>
      <c r="F2044" s="17" t="n">
        <v>2</v>
      </c>
      <c r="G2044" s="15" t="n">
        <v>1.24695506282478</v>
      </c>
      <c r="H2044" s="16" t="n">
        <v>0.0871955921801566</v>
      </c>
    </row>
    <row r="2045">
      <c r="A2045" t="s">
        <v>32</v>
      </c>
      <c r="B2045" t="s">
        <v>1401</v>
      </c>
      <c r="C2045" t="s">
        <v>1402</v>
      </c>
      <c r="D2045" t="s">
        <v>1461</v>
      </c>
      <c r="E2045" s="14" t="n">
        <v>0.75</v>
      </c>
      <c r="F2045" s="17" t="n">
        <v>112</v>
      </c>
      <c r="G2045" s="15" t="n">
        <v>-0.539504850253988</v>
      </c>
      <c r="H2045" s="16" t="n">
        <v>-0.520993777844248</v>
      </c>
    </row>
    <row r="2046">
      <c r="A2046" t="s">
        <v>32</v>
      </c>
      <c r="B2046" t="s">
        <v>1401</v>
      </c>
      <c r="C2046" t="s">
        <v>1403</v>
      </c>
      <c r="D2046" t="s">
        <v>1461</v>
      </c>
      <c r="E2046" s="14" t="n">
        <v>1.25</v>
      </c>
      <c r="F2046" s="17" t="n">
        <v>75</v>
      </c>
      <c r="G2046" s="15" t="n">
        <v>-1.08253175473055</v>
      </c>
      <c r="H2046" s="16" t="n">
        <v>0.625</v>
      </c>
    </row>
    <row r="2047">
      <c r="A2047" t="s">
        <v>31</v>
      </c>
      <c r="B2047" t="s">
        <v>685</v>
      </c>
      <c r="C2047" t="s">
        <v>686</v>
      </c>
      <c r="D2047" t="s">
        <v>1461</v>
      </c>
      <c r="E2047" s="14" t="n">
        <v>0.75</v>
      </c>
      <c r="F2047" s="17" t="n">
        <v>82</v>
      </c>
      <c r="G2047" s="15" t="n">
        <v>-0.720946271953739</v>
      </c>
      <c r="H2047" s="16" t="n">
        <v>0.206728016862749</v>
      </c>
    </row>
    <row r="2048">
      <c r="A2048" t="s">
        <v>32</v>
      </c>
      <c r="B2048" t="s">
        <v>687</v>
      </c>
      <c r="C2048" t="s">
        <v>688</v>
      </c>
      <c r="D2048" t="s">
        <v>1461</v>
      </c>
      <c r="E2048" s="14" t="n">
        <v>1</v>
      </c>
      <c r="F2048" s="17" t="n">
        <v>147</v>
      </c>
      <c r="G2048" s="15" t="n">
        <v>0.4067366430758</v>
      </c>
      <c r="H2048" s="16" t="n">
        <v>-0.913545457642601</v>
      </c>
    </row>
    <row r="2049">
      <c r="A2049" t="s">
        <v>32</v>
      </c>
      <c r="B2049" t="s">
        <v>687</v>
      </c>
      <c r="C2049" t="s">
        <v>689</v>
      </c>
      <c r="D2049" t="s">
        <v>1461</v>
      </c>
      <c r="E2049" s="14" t="n">
        <v>1.75</v>
      </c>
      <c r="F2049" s="17" t="n">
        <v>36</v>
      </c>
      <c r="G2049" s="15" t="n">
        <v>0.540779740156158</v>
      </c>
      <c r="H2049" s="16" t="n">
        <v>1.66434890351652</v>
      </c>
    </row>
    <row r="2050">
      <c r="A2050" t="s">
        <v>31</v>
      </c>
      <c r="B2050" t="s">
        <v>690</v>
      </c>
      <c r="C2050" t="s">
        <v>691</v>
      </c>
      <c r="D2050" t="s">
        <v>1461</v>
      </c>
      <c r="E2050" s="14" t="n">
        <v>1.5</v>
      </c>
      <c r="F2050" s="17" t="n">
        <v>38</v>
      </c>
      <c r="G2050" s="15" t="n">
        <v>0.362882843399501</v>
      </c>
      <c r="H2050" s="16" t="n">
        <v>1.45544358941399</v>
      </c>
    </row>
    <row r="2051">
      <c r="A2051" t="s">
        <v>31</v>
      </c>
      <c r="B2051" t="s">
        <v>690</v>
      </c>
      <c r="C2051" t="s">
        <v>692</v>
      </c>
      <c r="D2051" t="s">
        <v>1461</v>
      </c>
      <c r="E2051" s="14" t="n">
        <v>1.5</v>
      </c>
      <c r="F2051" s="17" t="n">
        <v>132</v>
      </c>
      <c r="G2051" s="15" t="n">
        <v>-0.156792694901481</v>
      </c>
      <c r="H2051" s="16" t="n">
        <v>-1.49178284305241</v>
      </c>
    </row>
    <row r="2052">
      <c r="A2052" t="s">
        <v>32</v>
      </c>
      <c r="B2052" t="s">
        <v>1404</v>
      </c>
      <c r="C2052" t="s">
        <v>1405</v>
      </c>
      <c r="D2052" t="s">
        <v>1461</v>
      </c>
      <c r="E2052" s="14" t="n">
        <v>1</v>
      </c>
      <c r="F2052" s="17" t="n">
        <v>171</v>
      </c>
      <c r="G2052" s="15" t="n">
        <v>0.951056516295154</v>
      </c>
      <c r="H2052" s="16" t="n">
        <v>-0.309016994374948</v>
      </c>
    </row>
    <row r="2053">
      <c r="A2053" t="s">
        <v>32</v>
      </c>
      <c r="B2053" t="s">
        <v>1404</v>
      </c>
      <c r="C2053" t="s">
        <v>1406</v>
      </c>
      <c r="D2053" t="s">
        <v>1461</v>
      </c>
      <c r="E2053" s="14" t="n">
        <v>0.25</v>
      </c>
      <c r="F2053" s="17" t="n">
        <v>14</v>
      </c>
      <c r="G2053" s="15" t="n">
        <v>0.220736898214732</v>
      </c>
      <c r="H2053" s="16" t="n">
        <v>0.117367890696473</v>
      </c>
    </row>
    <row r="2054">
      <c r="A2054" t="s">
        <v>31</v>
      </c>
      <c r="B2054" t="s">
        <v>693</v>
      </c>
      <c r="C2054" t="s">
        <v>694</v>
      </c>
      <c r="D2054" t="s">
        <v>1461</v>
      </c>
      <c r="E2054" s="14" t="n">
        <v>0.5</v>
      </c>
      <c r="F2054" s="17" t="n">
        <v>169</v>
      </c>
      <c r="G2054" s="15" t="n">
        <v>0.463591927283394</v>
      </c>
      <c r="H2054" s="16" t="n">
        <v>-0.187303296707956</v>
      </c>
    </row>
    <row r="2055">
      <c r="A2055" t="s">
        <v>31</v>
      </c>
      <c r="B2055" t="s">
        <v>693</v>
      </c>
      <c r="C2055" t="s">
        <v>695</v>
      </c>
      <c r="D2055" t="s">
        <v>1461</v>
      </c>
      <c r="E2055" s="14" t="n">
        <v>0.5</v>
      </c>
      <c r="F2055" s="17" t="n">
        <v>9</v>
      </c>
      <c r="G2055" s="15" t="n">
        <v>0.475528258147577</v>
      </c>
      <c r="H2055" s="16" t="n">
        <v>0.154508497187474</v>
      </c>
    </row>
    <row r="2056">
      <c r="A2056" t="s">
        <v>30</v>
      </c>
      <c r="B2056" t="s">
        <v>696</v>
      </c>
      <c r="C2056" t="s">
        <v>697</v>
      </c>
      <c r="D2056" t="s">
        <v>1461</v>
      </c>
      <c r="E2056" s="14" t="n">
        <v>1.5</v>
      </c>
      <c r="F2056" s="17" t="n">
        <v>176</v>
      </c>
      <c r="G2056" s="15" t="n">
        <v>1.48540210311236</v>
      </c>
      <c r="H2056" s="16" t="n">
        <v>-0.208759651440098</v>
      </c>
    </row>
    <row r="2057">
      <c r="A2057" t="s">
        <v>30</v>
      </c>
      <c r="B2057" t="s">
        <v>696</v>
      </c>
      <c r="C2057" t="s">
        <v>698</v>
      </c>
      <c r="D2057" t="s">
        <v>1461</v>
      </c>
      <c r="E2057" s="14" t="n">
        <v>1</v>
      </c>
      <c r="F2057" s="17" t="n">
        <v>21</v>
      </c>
      <c r="G2057" s="15" t="n">
        <v>0.743144825477394</v>
      </c>
      <c r="H2057" s="16" t="n">
        <v>0.669130606358858</v>
      </c>
    </row>
    <row r="2058">
      <c r="A2058" t="s">
        <v>32</v>
      </c>
      <c r="B2058" t="s">
        <v>699</v>
      </c>
      <c r="C2058" t="s">
        <v>700</v>
      </c>
      <c r="D2058" t="s">
        <v>1461</v>
      </c>
      <c r="E2058" s="14" t="n">
        <v>0.5</v>
      </c>
      <c r="F2058" s="17" t="n">
        <v>112</v>
      </c>
      <c r="G2058" s="15" t="n">
        <v>-0.359669900169326</v>
      </c>
      <c r="H2058" s="16" t="n">
        <v>-0.347329185229499</v>
      </c>
    </row>
    <row r="2059">
      <c r="A2059" t="s">
        <v>32</v>
      </c>
      <c r="B2059" t="s">
        <v>699</v>
      </c>
      <c r="C2059" t="s">
        <v>701</v>
      </c>
      <c r="D2059" t="s">
        <v>1461</v>
      </c>
      <c r="E2059" s="14" t="n">
        <v>0.25</v>
      </c>
      <c r="F2059" s="17" t="n">
        <v>64</v>
      </c>
      <c r="G2059" s="15" t="n">
        <v>-0.153915368831415</v>
      </c>
      <c r="H2059" s="16" t="n">
        <v>0.197002688401681</v>
      </c>
    </row>
    <row r="2060">
      <c r="A2060" t="s">
        <v>32</v>
      </c>
      <c r="B2060" t="s">
        <v>702</v>
      </c>
      <c r="C2060" t="s">
        <v>703</v>
      </c>
      <c r="D2060" t="s">
        <v>1461</v>
      </c>
      <c r="E2060" s="14" t="n">
        <v>3.25</v>
      </c>
      <c r="F2060" s="17" t="n">
        <v>178</v>
      </c>
      <c r="G2060" s="15" t="n">
        <v>3.24208316334443</v>
      </c>
      <c r="H2060" s="16" t="n">
        <v>-0.226708539668406</v>
      </c>
    </row>
    <row r="2061">
      <c r="A2061" t="s">
        <v>32</v>
      </c>
      <c r="B2061" t="s">
        <v>702</v>
      </c>
      <c r="C2061" t="s">
        <v>704</v>
      </c>
      <c r="D2061" t="s">
        <v>1461</v>
      </c>
      <c r="E2061" s="14" t="n">
        <v>2.25</v>
      </c>
      <c r="F2061" s="17" t="n">
        <v>173</v>
      </c>
      <c r="G2061" s="15" t="n">
        <v>2.18316538412099</v>
      </c>
      <c r="H2061" s="16" t="n">
        <v>-0.544324265099252</v>
      </c>
    </row>
    <row r="2062">
      <c r="A2062" t="s">
        <v>30</v>
      </c>
      <c r="B2062" t="s">
        <v>705</v>
      </c>
      <c r="C2062" t="s">
        <v>706</v>
      </c>
      <c r="D2062" t="s">
        <v>1461</v>
      </c>
      <c r="E2062" s="14" t="n">
        <v>1</v>
      </c>
      <c r="F2062" s="17" t="n">
        <v>167</v>
      </c>
      <c r="G2062" s="15" t="n">
        <v>0.898794046299167</v>
      </c>
      <c r="H2062" s="16" t="n">
        <v>-0.438371146789077</v>
      </c>
    </row>
    <row r="2063">
      <c r="A2063" t="s">
        <v>31</v>
      </c>
      <c r="B2063" t="s">
        <v>707</v>
      </c>
      <c r="C2063" t="s">
        <v>708</v>
      </c>
      <c r="D2063" t="s">
        <v>1461</v>
      </c>
      <c r="E2063" s="14" t="n">
        <v>1.5</v>
      </c>
      <c r="F2063" s="17" t="n">
        <v>179</v>
      </c>
      <c r="G2063" s="15" t="n">
        <v>1.49908624052864</v>
      </c>
      <c r="H2063" s="16" t="n">
        <v>-0.0523492450537513</v>
      </c>
    </row>
    <row r="2064">
      <c r="A2064" t="s">
        <v>32</v>
      </c>
      <c r="B2064" t="s">
        <v>709</v>
      </c>
      <c r="C2064" t="s">
        <v>710</v>
      </c>
      <c r="D2064" t="s">
        <v>1461</v>
      </c>
      <c r="E2064" s="14" t="n">
        <v>0.5</v>
      </c>
      <c r="F2064" s="17" t="n">
        <v>63</v>
      </c>
      <c r="G2064" s="15" t="n">
        <v>-0.293892626146237</v>
      </c>
      <c r="H2064" s="16" t="n">
        <v>0.404508497187474</v>
      </c>
    </row>
    <row r="2065">
      <c r="A2065" t="s">
        <v>32</v>
      </c>
      <c r="B2065" t="s">
        <v>711</v>
      </c>
      <c r="C2065" t="s">
        <v>712</v>
      </c>
      <c r="D2065" t="s">
        <v>1461</v>
      </c>
      <c r="E2065" s="14" t="n">
        <v>0.5</v>
      </c>
      <c r="F2065" s="17" t="n">
        <v>55</v>
      </c>
      <c r="G2065" s="15" t="n">
        <v>-0.171010071662834</v>
      </c>
      <c r="H2065" s="16" t="n">
        <v>0.469846310392954</v>
      </c>
    </row>
    <row r="2066">
      <c r="A2066" t="s">
        <v>32</v>
      </c>
      <c r="B2066" t="s">
        <v>711</v>
      </c>
      <c r="C2066" t="s">
        <v>713</v>
      </c>
      <c r="D2066" t="s">
        <v>1461</v>
      </c>
      <c r="E2066" s="14" t="n">
        <v>2</v>
      </c>
      <c r="F2066" s="17" t="n">
        <v>124</v>
      </c>
      <c r="G2066" s="15" t="n">
        <v>-0.749213186831825</v>
      </c>
      <c r="H2066" s="16" t="n">
        <v>-1.85436770913357</v>
      </c>
    </row>
    <row r="2067">
      <c r="A2067" t="s">
        <v>32</v>
      </c>
      <c r="B2067" t="s">
        <v>714</v>
      </c>
      <c r="C2067" t="s">
        <v>715</v>
      </c>
      <c r="D2067" t="s">
        <v>1461</v>
      </c>
      <c r="E2067" s="14" t="n">
        <v>0.5</v>
      </c>
      <c r="F2067" s="17" t="n">
        <v>19</v>
      </c>
      <c r="G2067" s="15" t="n">
        <v>0.394005376803361</v>
      </c>
      <c r="H2067" s="16" t="n">
        <v>0.307830737662829</v>
      </c>
    </row>
    <row r="2068">
      <c r="A2068" t="s">
        <v>32</v>
      </c>
      <c r="B2068" t="s">
        <v>714</v>
      </c>
      <c r="C2068" t="s">
        <v>716</v>
      </c>
      <c r="D2068" t="s">
        <v>1461</v>
      </c>
      <c r="E2068" s="14" t="n">
        <v>0.5</v>
      </c>
      <c r="F2068" s="17" t="n">
        <v>167</v>
      </c>
      <c r="G2068" s="15" t="n">
        <v>0.449397023149583</v>
      </c>
      <c r="H2068" s="16" t="n">
        <v>-0.219185573394539</v>
      </c>
    </row>
    <row r="2069">
      <c r="A2069" t="s">
        <v>30</v>
      </c>
      <c r="B2069" t="s">
        <v>1407</v>
      </c>
      <c r="C2069" t="s">
        <v>1408</v>
      </c>
      <c r="D2069" t="s">
        <v>1461</v>
      </c>
      <c r="E2069" s="14" t="n">
        <v>0.75</v>
      </c>
      <c r="F2069" s="17" t="n">
        <v>116</v>
      </c>
      <c r="G2069" s="15" t="n">
        <v>-0.461746106494244</v>
      </c>
      <c r="H2069" s="16" t="n">
        <v>-0.591008065205042</v>
      </c>
    </row>
    <row r="2070">
      <c r="A2070" t="s">
        <v>30</v>
      </c>
      <c r="B2070" t="s">
        <v>1407</v>
      </c>
      <c r="C2070" t="s">
        <v>1409</v>
      </c>
      <c r="D2070" t="s">
        <v>1461</v>
      </c>
      <c r="E2070" s="14" t="n">
        <v>1</v>
      </c>
      <c r="F2070" s="17" t="n">
        <v>59</v>
      </c>
      <c r="G2070" s="15" t="n">
        <v>-0.469471562785891</v>
      </c>
      <c r="H2070" s="16" t="n">
        <v>0.882947592858927</v>
      </c>
    </row>
    <row r="2071">
      <c r="A2071" t="s">
        <v>31</v>
      </c>
      <c r="B2071" t="s">
        <v>717</v>
      </c>
      <c r="C2071" t="s">
        <v>718</v>
      </c>
      <c r="D2071" t="s">
        <v>1461</v>
      </c>
      <c r="E2071" s="14" t="n">
        <v>0.25</v>
      </c>
      <c r="F2071" s="17" t="n">
        <v>167</v>
      </c>
      <c r="G2071" s="15" t="n">
        <v>0.224698511574792</v>
      </c>
      <c r="H2071" s="16" t="n">
        <v>-0.109592786697269</v>
      </c>
    </row>
    <row r="2072">
      <c r="A2072" t="s">
        <v>30</v>
      </c>
      <c r="B2072" t="s">
        <v>719</v>
      </c>
      <c r="C2072" t="s">
        <v>720</v>
      </c>
      <c r="D2072" t="s">
        <v>1461</v>
      </c>
      <c r="E2072" s="14" t="n">
        <v>1</v>
      </c>
      <c r="F2072" s="17" t="n">
        <v>101</v>
      </c>
      <c r="G2072" s="15" t="n">
        <v>-0.927183854566787</v>
      </c>
      <c r="H2072" s="16" t="n">
        <v>-0.374606593415912</v>
      </c>
    </row>
    <row r="2073">
      <c r="A2073" t="s">
        <v>30</v>
      </c>
      <c r="B2073" t="s">
        <v>719</v>
      </c>
      <c r="C2073" t="s">
        <v>721</v>
      </c>
      <c r="D2073" t="s">
        <v>1461</v>
      </c>
      <c r="E2073" s="14" t="n">
        <v>1</v>
      </c>
      <c r="F2073" s="17" t="n">
        <v>83</v>
      </c>
      <c r="G2073" s="15" t="n">
        <v>-0.970295726275996</v>
      </c>
      <c r="H2073" s="16" t="n">
        <v>0.241921895599668</v>
      </c>
    </row>
    <row r="2074">
      <c r="A2074" t="s">
        <v>30</v>
      </c>
      <c r="B2074" t="s">
        <v>722</v>
      </c>
      <c r="C2074" t="s">
        <v>723</v>
      </c>
      <c r="D2074" t="s">
        <v>1461</v>
      </c>
      <c r="E2074" s="14" t="n">
        <v>1</v>
      </c>
      <c r="F2074" s="17" t="n">
        <v>170</v>
      </c>
      <c r="G2074" s="15" t="n">
        <v>0.939692620785908</v>
      </c>
      <c r="H2074" s="16" t="n">
        <v>-0.342020143325669</v>
      </c>
    </row>
    <row r="2075">
      <c r="A2075" t="s">
        <v>30</v>
      </c>
      <c r="B2075" t="s">
        <v>722</v>
      </c>
      <c r="C2075" t="s">
        <v>724</v>
      </c>
      <c r="D2075" t="s">
        <v>1461</v>
      </c>
      <c r="E2075" s="14" t="n">
        <v>1.25</v>
      </c>
      <c r="F2075" s="17" t="n">
        <v>170</v>
      </c>
      <c r="G2075" s="15" t="n">
        <v>1.17461577598239</v>
      </c>
      <c r="H2075" s="16" t="n">
        <v>-0.427525179157086</v>
      </c>
    </row>
    <row r="2076">
      <c r="A2076" t="s">
        <v>32</v>
      </c>
      <c r="B2076" t="s">
        <v>725</v>
      </c>
      <c r="C2076" t="s">
        <v>726</v>
      </c>
      <c r="D2076" t="s">
        <v>1461</v>
      </c>
      <c r="E2076" s="14" t="n">
        <v>1.75</v>
      </c>
      <c r="F2076" s="17" t="n">
        <v>18</v>
      </c>
      <c r="G2076" s="15" t="n">
        <v>1.41577974015616</v>
      </c>
      <c r="H2076" s="16" t="n">
        <v>1.02862419151183</v>
      </c>
    </row>
    <row r="2077">
      <c r="A2077" t="s">
        <v>32</v>
      </c>
      <c r="B2077" t="s">
        <v>725</v>
      </c>
      <c r="C2077" t="s">
        <v>727</v>
      </c>
      <c r="D2077" t="s">
        <v>1461</v>
      </c>
      <c r="E2077" s="14" t="n">
        <v>1.25</v>
      </c>
      <c r="F2077" s="17" t="n">
        <v>171</v>
      </c>
      <c r="G2077" s="15" t="n">
        <v>1.18882064536894</v>
      </c>
      <c r="H2077" s="16" t="n">
        <v>-0.386271242968685</v>
      </c>
    </row>
    <row r="2078">
      <c r="A2078" t="s">
        <v>30</v>
      </c>
      <c r="B2078" t="s">
        <v>728</v>
      </c>
      <c r="C2078" t="s">
        <v>729</v>
      </c>
      <c r="D2078" t="s">
        <v>1461</v>
      </c>
      <c r="E2078" s="14" t="n">
        <v>1.5</v>
      </c>
      <c r="F2078" s="17" t="n">
        <v>160</v>
      </c>
      <c r="G2078" s="15" t="n">
        <v>1.14906666467847</v>
      </c>
      <c r="H2078" s="16" t="n">
        <v>-0.964181414529809</v>
      </c>
    </row>
    <row r="2079">
      <c r="A2079" t="s">
        <v>30</v>
      </c>
      <c r="B2079" t="s">
        <v>728</v>
      </c>
      <c r="C2079" t="s">
        <v>730</v>
      </c>
      <c r="D2079" t="s">
        <v>1461</v>
      </c>
      <c r="E2079" s="14" t="n">
        <v>0.5</v>
      </c>
      <c r="F2079" s="17" t="n">
        <v>11</v>
      </c>
      <c r="G2079" s="15" t="n">
        <v>0.463591927283394</v>
      </c>
      <c r="H2079" s="16" t="n">
        <v>0.187303296707956</v>
      </c>
    </row>
    <row r="2080">
      <c r="A2080" t="s">
        <v>30</v>
      </c>
      <c r="B2080" t="s">
        <v>731</v>
      </c>
      <c r="C2080" t="s">
        <v>732</v>
      </c>
      <c r="D2080" t="s">
        <v>1461</v>
      </c>
      <c r="E2080" s="14" t="n">
        <v>0.75</v>
      </c>
      <c r="F2080" s="17" t="n">
        <v>19</v>
      </c>
      <c r="G2080" s="15" t="n">
        <v>0.591008065205041</v>
      </c>
      <c r="H2080" s="16" t="n">
        <v>0.461746106494244</v>
      </c>
    </row>
    <row r="2081">
      <c r="A2081" t="s">
        <v>30</v>
      </c>
      <c r="B2081" t="s">
        <v>731</v>
      </c>
      <c r="C2081" t="s">
        <v>733</v>
      </c>
      <c r="D2081" t="s">
        <v>1461</v>
      </c>
      <c r="E2081" s="14" t="n">
        <v>0.5</v>
      </c>
      <c r="F2081" s="17" t="n">
        <v>150</v>
      </c>
      <c r="G2081" s="15" t="n">
        <v>0.25</v>
      </c>
      <c r="H2081" s="16" t="n">
        <v>-0.433012701892219</v>
      </c>
    </row>
    <row r="2082">
      <c r="A2082" t="s">
        <v>30</v>
      </c>
      <c r="B2082" t="s">
        <v>734</v>
      </c>
      <c r="C2082" t="s">
        <v>735</v>
      </c>
      <c r="D2082" t="s">
        <v>1461</v>
      </c>
      <c r="E2082" s="14" t="n">
        <v>2.5</v>
      </c>
      <c r="F2082" s="17" t="n">
        <v>173</v>
      </c>
      <c r="G2082" s="15" t="n">
        <v>2.42573931568999</v>
      </c>
      <c r="H2082" s="16" t="n">
        <v>-0.604804738999169</v>
      </c>
    </row>
    <row r="2083">
      <c r="A2083" t="s">
        <v>30</v>
      </c>
      <c r="B2083" t="s">
        <v>734</v>
      </c>
      <c r="C2083" t="s">
        <v>736</v>
      </c>
      <c r="D2083" t="s">
        <v>1461</v>
      </c>
      <c r="E2083" s="14" t="n">
        <v>1.5</v>
      </c>
      <c r="F2083" s="17" t="n">
        <v>4</v>
      </c>
      <c r="G2083" s="15" t="n">
        <v>1.48540210311236</v>
      </c>
      <c r="H2083" s="16" t="n">
        <v>0.208759651440098</v>
      </c>
    </row>
    <row r="2084">
      <c r="A2084" t="s">
        <v>30</v>
      </c>
      <c r="B2084" t="s">
        <v>737</v>
      </c>
      <c r="C2084" t="s">
        <v>738</v>
      </c>
      <c r="D2084" t="s">
        <v>1461</v>
      </c>
      <c r="E2084" s="14" t="n">
        <v>1.25</v>
      </c>
      <c r="F2084" s="17" t="n">
        <v>44</v>
      </c>
      <c r="G2084" s="15" t="n">
        <v>0.0436243708781264</v>
      </c>
      <c r="H2084" s="16" t="n">
        <v>1.24923853377387</v>
      </c>
    </row>
    <row r="2085">
      <c r="A2085" t="s">
        <v>30</v>
      </c>
      <c r="B2085" t="s">
        <v>737</v>
      </c>
      <c r="C2085" t="s">
        <v>739</v>
      </c>
      <c r="D2085" t="s">
        <v>1461</v>
      </c>
      <c r="E2085" s="14" t="n">
        <v>0.5</v>
      </c>
      <c r="F2085" s="17" t="n">
        <v>142</v>
      </c>
      <c r="G2085" s="15" t="n">
        <v>0.120960947799834</v>
      </c>
      <c r="H2085" s="16" t="n">
        <v>-0.485147863137998</v>
      </c>
    </row>
    <row r="2086">
      <c r="A2086" t="s">
        <v>31</v>
      </c>
      <c r="B2086" t="s">
        <v>740</v>
      </c>
      <c r="C2086" t="s">
        <v>741</v>
      </c>
      <c r="D2086" t="s">
        <v>1461</v>
      </c>
      <c r="E2086" s="14" t="n">
        <v>0.5</v>
      </c>
      <c r="F2086" s="17" t="n">
        <v>13</v>
      </c>
      <c r="G2086" s="15" t="n">
        <v>0.449397023149584</v>
      </c>
      <c r="H2086" s="16" t="n">
        <v>0.219185573394539</v>
      </c>
    </row>
    <row r="2087">
      <c r="A2087" t="s">
        <v>31</v>
      </c>
      <c r="B2087" t="s">
        <v>740</v>
      </c>
      <c r="C2087" t="s">
        <v>742</v>
      </c>
      <c r="D2087" t="s">
        <v>1461</v>
      </c>
      <c r="E2087" s="14" t="n">
        <v>0.5</v>
      </c>
      <c r="F2087" s="17" t="n">
        <v>166</v>
      </c>
      <c r="G2087" s="15" t="n">
        <v>0.441473796429463</v>
      </c>
      <c r="H2087" s="16" t="n">
        <v>-0.234735781392945</v>
      </c>
    </row>
    <row r="2088">
      <c r="A2088" t="s">
        <v>32</v>
      </c>
      <c r="B2088" t="s">
        <v>743</v>
      </c>
      <c r="C2088" t="s">
        <v>744</v>
      </c>
      <c r="D2088" t="s">
        <v>1461</v>
      </c>
      <c r="E2088" s="14" t="n">
        <v>0.5</v>
      </c>
      <c r="F2088" s="17" t="n">
        <v>11</v>
      </c>
      <c r="G2088" s="15" t="n">
        <v>0.463591927283394</v>
      </c>
      <c r="H2088" s="16" t="n">
        <v>0.187303296707956</v>
      </c>
    </row>
    <row r="2089">
      <c r="A2089" t="s">
        <v>32</v>
      </c>
      <c r="B2089" t="s">
        <v>743</v>
      </c>
      <c r="C2089" t="s">
        <v>745</v>
      </c>
      <c r="D2089" t="s">
        <v>1461</v>
      </c>
      <c r="E2089" s="14" t="n">
        <v>1</v>
      </c>
      <c r="F2089" s="17" t="n">
        <v>159</v>
      </c>
      <c r="G2089" s="15" t="n">
        <v>0.743144825477394</v>
      </c>
      <c r="H2089" s="16" t="n">
        <v>-0.669130606358858</v>
      </c>
    </row>
    <row r="2090">
      <c r="A2090" t="s">
        <v>30</v>
      </c>
      <c r="B2090" t="s">
        <v>746</v>
      </c>
      <c r="C2090" t="s">
        <v>747</v>
      </c>
      <c r="D2090" t="s">
        <v>1461</v>
      </c>
      <c r="E2090" s="14" t="n">
        <v>0.5</v>
      </c>
      <c r="F2090" s="17" t="n">
        <v>122</v>
      </c>
      <c r="G2090" s="15" t="n">
        <v>-0.219185573394539</v>
      </c>
      <c r="H2090" s="16" t="n">
        <v>-0.449397023149584</v>
      </c>
    </row>
    <row r="2091">
      <c r="A2091" t="s">
        <v>32</v>
      </c>
      <c r="B2091" t="s">
        <v>748</v>
      </c>
      <c r="C2091" t="s">
        <v>749</v>
      </c>
      <c r="D2091" t="s">
        <v>1461</v>
      </c>
      <c r="E2091" s="14" t="n">
        <v>0.25</v>
      </c>
      <c r="F2091" s="17" t="n">
        <v>55</v>
      </c>
      <c r="G2091" s="15" t="n">
        <v>-0.0855050358314172</v>
      </c>
      <c r="H2091" s="16" t="n">
        <v>0.234923155196477</v>
      </c>
    </row>
    <row r="2092">
      <c r="A2092" t="s">
        <v>32</v>
      </c>
      <c r="B2092" t="s">
        <v>750</v>
      </c>
      <c r="C2092" t="s">
        <v>751</v>
      </c>
      <c r="D2092" t="s">
        <v>1461</v>
      </c>
      <c r="E2092" s="14" t="n">
        <v>1.5</v>
      </c>
      <c r="F2092" s="17" t="n">
        <v>30</v>
      </c>
      <c r="G2092" s="15" t="n">
        <v>0.75</v>
      </c>
      <c r="H2092" s="16" t="n">
        <v>1.29903810567666</v>
      </c>
    </row>
    <row r="2093">
      <c r="A2093" t="s">
        <v>32</v>
      </c>
      <c r="B2093" t="s">
        <v>750</v>
      </c>
      <c r="C2093" t="s">
        <v>752</v>
      </c>
      <c r="D2093" t="s">
        <v>1461</v>
      </c>
      <c r="E2093" s="14" t="n">
        <v>1.25</v>
      </c>
      <c r="F2093" s="17" t="n">
        <v>136</v>
      </c>
      <c r="G2093" s="15" t="n">
        <v>0.0436243708781255</v>
      </c>
      <c r="H2093" s="16" t="n">
        <v>-1.24923853377387</v>
      </c>
    </row>
    <row r="2094">
      <c r="A2094" t="s">
        <v>30</v>
      </c>
      <c r="B2094" t="s">
        <v>753</v>
      </c>
      <c r="C2094" t="s">
        <v>754</v>
      </c>
      <c r="D2094" t="s">
        <v>1461</v>
      </c>
      <c r="E2094" s="14" t="n">
        <v>0.5</v>
      </c>
      <c r="F2094" s="17" t="n">
        <v>11</v>
      </c>
      <c r="G2094" s="15" t="n">
        <v>0.463591927283394</v>
      </c>
      <c r="H2094" s="16" t="n">
        <v>0.187303296707956</v>
      </c>
    </row>
    <row r="2095">
      <c r="A2095" t="s">
        <v>30</v>
      </c>
      <c r="B2095" t="s">
        <v>753</v>
      </c>
      <c r="C2095" t="s">
        <v>755</v>
      </c>
      <c r="D2095" t="s">
        <v>1461</v>
      </c>
      <c r="E2095" s="14" t="n">
        <v>0.75</v>
      </c>
      <c r="F2095" s="17" t="n">
        <v>153</v>
      </c>
      <c r="G2095" s="15" t="n">
        <v>0.440838939219355</v>
      </c>
      <c r="H2095" s="16" t="n">
        <v>-0.606762745781211</v>
      </c>
    </row>
    <row r="2096">
      <c r="A2096" t="s">
        <v>30</v>
      </c>
      <c r="B2096" t="s">
        <v>756</v>
      </c>
      <c r="C2096" t="s">
        <v>757</v>
      </c>
      <c r="D2096" t="s">
        <v>1461</v>
      </c>
      <c r="E2096" s="14" t="n">
        <v>2.25</v>
      </c>
      <c r="F2096" s="17" t="n">
        <v>27</v>
      </c>
      <c r="G2096" s="15" t="n">
        <v>1.32251681765806</v>
      </c>
      <c r="H2096" s="16" t="n">
        <v>1.82028823734363</v>
      </c>
    </row>
    <row r="2097">
      <c r="A2097" t="s">
        <v>30</v>
      </c>
      <c r="B2097" t="s">
        <v>756</v>
      </c>
      <c r="C2097" t="s">
        <v>758</v>
      </c>
      <c r="D2097" t="s">
        <v>1461</v>
      </c>
      <c r="E2097" s="14" t="n">
        <v>2.25</v>
      </c>
      <c r="F2097" s="17" t="n">
        <v>152</v>
      </c>
      <c r="G2097" s="15" t="n">
        <v>1.25818403280918</v>
      </c>
      <c r="H2097" s="16" t="n">
        <v>-1.86533453824884</v>
      </c>
    </row>
    <row r="2098">
      <c r="A2098" t="s">
        <v>31</v>
      </c>
      <c r="B2098" t="s">
        <v>759</v>
      </c>
      <c r="C2098" t="s">
        <v>760</v>
      </c>
      <c r="D2098" t="s">
        <v>1461</v>
      </c>
      <c r="E2098" s="14" t="n">
        <v>0.5</v>
      </c>
      <c r="F2098" s="17" t="n">
        <v>128</v>
      </c>
      <c r="G2098" s="15" t="n">
        <v>-0.120960947799834</v>
      </c>
      <c r="H2098" s="16" t="n">
        <v>-0.485147863137998</v>
      </c>
    </row>
    <row r="2099">
      <c r="A2099" t="s">
        <v>31</v>
      </c>
      <c r="B2099" t="s">
        <v>759</v>
      </c>
      <c r="C2099" t="s">
        <v>761</v>
      </c>
      <c r="D2099" t="s">
        <v>1461</v>
      </c>
      <c r="E2099" s="14" t="n">
        <v>0.75</v>
      </c>
      <c r="F2099" s="17" t="n">
        <v>49</v>
      </c>
      <c r="G2099" s="15" t="n">
        <v>-0.104379825720049</v>
      </c>
      <c r="H2099" s="16" t="n">
        <v>0.742701051556178</v>
      </c>
    </row>
    <row r="2100">
      <c r="A2100" t="s">
        <v>32</v>
      </c>
      <c r="B2100" t="s">
        <v>762</v>
      </c>
      <c r="C2100" t="s">
        <v>763</v>
      </c>
      <c r="D2100" t="s">
        <v>1461</v>
      </c>
      <c r="E2100" s="14" t="n">
        <v>0.5</v>
      </c>
      <c r="F2100" s="17" t="n">
        <v>8</v>
      </c>
      <c r="G2100" s="15" t="n">
        <v>0.480630847969159</v>
      </c>
      <c r="H2100" s="16" t="n">
        <v>0.1378186779085</v>
      </c>
    </row>
    <row r="2101">
      <c r="A2101" t="s">
        <v>32</v>
      </c>
      <c r="B2101" t="s">
        <v>762</v>
      </c>
      <c r="C2101" t="s">
        <v>764</v>
      </c>
      <c r="D2101" t="s">
        <v>1461</v>
      </c>
      <c r="E2101" s="14" t="n">
        <v>0.5</v>
      </c>
      <c r="F2101" s="17" t="n">
        <v>163</v>
      </c>
      <c r="G2101" s="15" t="n">
        <v>0.414518786277521</v>
      </c>
      <c r="H2101" s="16" t="n">
        <v>-0.279596451735373</v>
      </c>
    </row>
    <row r="2102">
      <c r="A2102" t="s">
        <v>32</v>
      </c>
      <c r="B2102" t="s">
        <v>765</v>
      </c>
      <c r="C2102" t="s">
        <v>766</v>
      </c>
      <c r="D2102" t="s">
        <v>1461</v>
      </c>
      <c r="E2102" s="14" t="n">
        <v>1</v>
      </c>
      <c r="F2102" s="17" t="n">
        <v>70</v>
      </c>
      <c r="G2102" s="15" t="n">
        <v>-0.766044443118978</v>
      </c>
      <c r="H2102" s="16" t="n">
        <v>0.642787609686539</v>
      </c>
    </row>
    <row r="2103">
      <c r="A2103" t="s">
        <v>32</v>
      </c>
      <c r="B2103" t="s">
        <v>765</v>
      </c>
      <c r="C2103" t="s">
        <v>767</v>
      </c>
      <c r="D2103" t="s">
        <v>1461</v>
      </c>
      <c r="E2103" s="14" t="n">
        <v>1</v>
      </c>
      <c r="F2103" s="17" t="n">
        <v>107</v>
      </c>
      <c r="G2103" s="15" t="n">
        <v>-0.829037572555042</v>
      </c>
      <c r="H2103" s="16" t="n">
        <v>-0.559192903470747</v>
      </c>
    </row>
    <row r="2104">
      <c r="A2104" t="s">
        <v>30</v>
      </c>
      <c r="B2104" t="s">
        <v>768</v>
      </c>
      <c r="C2104" t="s">
        <v>769</v>
      </c>
      <c r="D2104" t="s">
        <v>1461</v>
      </c>
      <c r="E2104" s="14" t="n">
        <v>0.75</v>
      </c>
      <c r="F2104" s="17" t="n">
        <v>165</v>
      </c>
      <c r="G2104" s="15" t="n">
        <v>0.649519052838329</v>
      </c>
      <c r="H2104" s="16" t="n">
        <v>-0.375</v>
      </c>
    </row>
    <row r="2105">
      <c r="A2105" t="s">
        <v>30</v>
      </c>
      <c r="B2105" t="s">
        <v>768</v>
      </c>
      <c r="C2105" t="s">
        <v>770</v>
      </c>
      <c r="D2105" t="s">
        <v>1461</v>
      </c>
      <c r="E2105" s="14" t="n">
        <v>2</v>
      </c>
      <c r="F2105" s="17" t="n">
        <v>24</v>
      </c>
      <c r="G2105" s="15" t="n">
        <v>1.33826121271772</v>
      </c>
      <c r="H2105" s="16" t="n">
        <v>1.48628965095479</v>
      </c>
    </row>
    <row r="2106">
      <c r="A2106" t="s">
        <v>32</v>
      </c>
      <c r="B2106" t="s">
        <v>1410</v>
      </c>
      <c r="C2106" t="s">
        <v>1411</v>
      </c>
      <c r="D2106" t="s">
        <v>1461</v>
      </c>
      <c r="E2106" s="14" t="n">
        <v>1.5</v>
      </c>
      <c r="F2106" s="17" t="n">
        <v>42</v>
      </c>
      <c r="G2106" s="15" t="n">
        <v>0.15679269490148</v>
      </c>
      <c r="H2106" s="16" t="n">
        <v>1.49178284305241</v>
      </c>
    </row>
    <row r="2107">
      <c r="A2107" t="s">
        <v>31</v>
      </c>
      <c r="B2107" t="s">
        <v>771</v>
      </c>
      <c r="C2107" t="s">
        <v>772</v>
      </c>
      <c r="D2107" t="s">
        <v>1461</v>
      </c>
      <c r="E2107" s="14" t="n">
        <v>0.5</v>
      </c>
      <c r="F2107" s="17" t="n">
        <v>151</v>
      </c>
      <c r="G2107" s="15" t="n">
        <v>0.264959632116602</v>
      </c>
      <c r="H2107" s="16" t="n">
        <v>-0.424024048078213</v>
      </c>
    </row>
    <row r="2108">
      <c r="A2108" t="s">
        <v>31</v>
      </c>
      <c r="B2108" t="s">
        <v>771</v>
      </c>
      <c r="C2108" t="s">
        <v>773</v>
      </c>
      <c r="D2108" t="s">
        <v>1461</v>
      </c>
      <c r="E2108" s="14" t="n">
        <v>0.5</v>
      </c>
      <c r="F2108" s="17" t="n">
        <v>6</v>
      </c>
      <c r="G2108" s="15" t="n">
        <v>0.489073800366903</v>
      </c>
      <c r="H2108" s="16" t="n">
        <v>0.10395584540888</v>
      </c>
    </row>
    <row r="2109">
      <c r="A2109" t="s">
        <v>30</v>
      </c>
      <c r="B2109" t="s">
        <v>774</v>
      </c>
      <c r="C2109" t="s">
        <v>775</v>
      </c>
      <c r="D2109" t="s">
        <v>1461</v>
      </c>
      <c r="E2109" s="14" t="n">
        <v>1</v>
      </c>
      <c r="F2109" s="17" t="n">
        <v>21</v>
      </c>
      <c r="G2109" s="15" t="n">
        <v>0.743144825477394</v>
      </c>
      <c r="H2109" s="16" t="n">
        <v>0.669130606358858</v>
      </c>
    </row>
    <row r="2110">
      <c r="A2110" t="s">
        <v>30</v>
      </c>
      <c r="B2110" t="s">
        <v>774</v>
      </c>
      <c r="C2110" t="s">
        <v>776</v>
      </c>
      <c r="D2110" t="s">
        <v>1461</v>
      </c>
      <c r="E2110" s="14" t="n">
        <v>1.75</v>
      </c>
      <c r="F2110" s="17" t="n">
        <v>164</v>
      </c>
      <c r="G2110" s="15" t="n">
        <v>1.48408416827375</v>
      </c>
      <c r="H2110" s="16" t="n">
        <v>-0.927358712408109</v>
      </c>
    </row>
    <row r="2111">
      <c r="A2111" t="s">
        <v>32</v>
      </c>
      <c r="B2111" t="s">
        <v>777</v>
      </c>
      <c r="C2111" t="s">
        <v>778</v>
      </c>
      <c r="D2111" t="s">
        <v>1461</v>
      </c>
      <c r="E2111" s="14" t="n">
        <v>0.25</v>
      </c>
      <c r="F2111" s="17" t="n">
        <v>148</v>
      </c>
      <c r="G2111" s="15" t="n">
        <v>0.109592786697269</v>
      </c>
      <c r="H2111" s="16" t="n">
        <v>-0.224698511574792</v>
      </c>
    </row>
    <row r="2112">
      <c r="A2112" t="s">
        <v>32</v>
      </c>
      <c r="B2112" t="s">
        <v>777</v>
      </c>
      <c r="C2112" t="s">
        <v>779</v>
      </c>
      <c r="D2112" t="s">
        <v>1461</v>
      </c>
      <c r="E2112" s="14" t="n">
        <v>0.5</v>
      </c>
      <c r="F2112" s="17" t="n">
        <v>43</v>
      </c>
      <c r="G2112" s="15" t="n">
        <v>0.0348782368720626</v>
      </c>
      <c r="H2112" s="16" t="n">
        <v>0.498782025129912</v>
      </c>
    </row>
    <row r="2113">
      <c r="A2113" t="s">
        <v>30</v>
      </c>
      <c r="B2113" t="s">
        <v>1412</v>
      </c>
      <c r="C2113" t="s">
        <v>1413</v>
      </c>
      <c r="D2113" t="s">
        <v>1461</v>
      </c>
      <c r="E2113" s="14" t="n">
        <v>0.75</v>
      </c>
      <c r="F2113" s="17" t="n">
        <v>9</v>
      </c>
      <c r="G2113" s="15" t="n">
        <v>0.713292387221365</v>
      </c>
      <c r="H2113" s="16" t="n">
        <v>0.231762745781211</v>
      </c>
    </row>
    <row r="2114">
      <c r="A2114" t="s">
        <v>30</v>
      </c>
      <c r="B2114" t="s">
        <v>780</v>
      </c>
      <c r="C2114" t="s">
        <v>781</v>
      </c>
      <c r="D2114" t="s">
        <v>1461</v>
      </c>
      <c r="E2114" s="14" t="n">
        <v>0.5</v>
      </c>
      <c r="F2114" s="17" t="n">
        <v>174</v>
      </c>
      <c r="G2114" s="15" t="n">
        <v>0.489073800366903</v>
      </c>
      <c r="H2114" s="16" t="n">
        <v>-0.10395584540888</v>
      </c>
    </row>
    <row r="2115">
      <c r="A2115" t="s">
        <v>30</v>
      </c>
      <c r="B2115" t="s">
        <v>780</v>
      </c>
      <c r="C2115" t="s">
        <v>782</v>
      </c>
      <c r="D2115" t="s">
        <v>1461</v>
      </c>
      <c r="E2115" s="14" t="n">
        <v>0.5</v>
      </c>
      <c r="F2115" s="17" t="n">
        <v>2</v>
      </c>
      <c r="G2115" s="15" t="n">
        <v>0.498782025129912</v>
      </c>
      <c r="H2115" s="16" t="n">
        <v>0.0348782368720627</v>
      </c>
    </row>
    <row r="2116">
      <c r="A2116" t="s">
        <v>30</v>
      </c>
      <c r="B2116" t="s">
        <v>783</v>
      </c>
      <c r="C2116" t="s">
        <v>784</v>
      </c>
      <c r="D2116" t="s">
        <v>1461</v>
      </c>
      <c r="E2116" s="14" t="n">
        <v>0.5</v>
      </c>
      <c r="F2116" s="17" t="n">
        <v>18</v>
      </c>
      <c r="G2116" s="15" t="n">
        <v>0.404508497187474</v>
      </c>
      <c r="H2116" s="16" t="n">
        <v>0.293892626146237</v>
      </c>
    </row>
    <row r="2117">
      <c r="A2117" t="s">
        <v>30</v>
      </c>
      <c r="B2117" t="s">
        <v>783</v>
      </c>
      <c r="C2117" t="s">
        <v>785</v>
      </c>
      <c r="D2117" t="s">
        <v>1461</v>
      </c>
      <c r="E2117" s="14" t="n">
        <v>0.75</v>
      </c>
      <c r="F2117" s="17" t="n">
        <v>171</v>
      </c>
      <c r="G2117" s="15" t="n">
        <v>0.713292387221365</v>
      </c>
      <c r="H2117" s="16" t="n">
        <v>-0.231762745781211</v>
      </c>
    </row>
    <row r="2118">
      <c r="A2118" t="s">
        <v>31</v>
      </c>
      <c r="B2118" t="s">
        <v>786</v>
      </c>
      <c r="C2118" t="s">
        <v>787</v>
      </c>
      <c r="D2118" t="s">
        <v>1461</v>
      </c>
      <c r="E2118" s="14" t="n">
        <v>1</v>
      </c>
      <c r="F2118" s="17" t="n">
        <v>1</v>
      </c>
      <c r="G2118" s="15" t="n">
        <v>0.999390827019096</v>
      </c>
      <c r="H2118" s="16" t="n">
        <v>0.034899496702501</v>
      </c>
    </row>
    <row r="2119">
      <c r="A2119" t="s">
        <v>31</v>
      </c>
      <c r="B2119" t="s">
        <v>786</v>
      </c>
      <c r="C2119" t="s">
        <v>788</v>
      </c>
      <c r="D2119" t="s">
        <v>1461</v>
      </c>
      <c r="E2119" s="14" t="n">
        <v>1</v>
      </c>
      <c r="F2119" s="17" t="n">
        <v>166</v>
      </c>
      <c r="G2119" s="15" t="n">
        <v>0.882947592858927</v>
      </c>
      <c r="H2119" s="16" t="n">
        <v>-0.46947156278589</v>
      </c>
    </row>
    <row r="2120">
      <c r="A2120" t="s">
        <v>31</v>
      </c>
      <c r="B2120" t="s">
        <v>789</v>
      </c>
      <c r="C2120" t="s">
        <v>790</v>
      </c>
      <c r="D2120" t="s">
        <v>1461</v>
      </c>
      <c r="E2120" s="14" t="n">
        <v>0.75</v>
      </c>
      <c r="F2120" s="17" t="n">
        <v>166</v>
      </c>
      <c r="G2120" s="15" t="n">
        <v>0.662210694644195</v>
      </c>
      <c r="H2120" s="16" t="n">
        <v>-0.352103672089418</v>
      </c>
    </row>
    <row r="2121">
      <c r="A2121" t="s">
        <v>31</v>
      </c>
      <c r="B2121" t="s">
        <v>789</v>
      </c>
      <c r="C2121" t="s">
        <v>791</v>
      </c>
      <c r="D2121" t="s">
        <v>1461</v>
      </c>
      <c r="E2121" s="14" t="n">
        <v>1</v>
      </c>
      <c r="F2121" s="17" t="n">
        <v>14</v>
      </c>
      <c r="G2121" s="15" t="n">
        <v>0.882947592858927</v>
      </c>
      <c r="H2121" s="16" t="n">
        <v>0.469471562785891</v>
      </c>
    </row>
    <row r="2122">
      <c r="A2122" t="s">
        <v>32</v>
      </c>
      <c r="B2122" t="s">
        <v>792</v>
      </c>
      <c r="C2122" t="s">
        <v>793</v>
      </c>
      <c r="D2122" t="s">
        <v>1461</v>
      </c>
      <c r="E2122" s="14" t="n">
        <v>1.5</v>
      </c>
      <c r="F2122" s="17" t="n">
        <v>86</v>
      </c>
      <c r="G2122" s="15" t="n">
        <v>-1.48540210311236</v>
      </c>
      <c r="H2122" s="16" t="n">
        <v>0.208759651440098</v>
      </c>
    </row>
    <row r="2123">
      <c r="A2123" t="s">
        <v>32</v>
      </c>
      <c r="B2123" t="s">
        <v>792</v>
      </c>
      <c r="C2123" t="s">
        <v>794</v>
      </c>
      <c r="D2123" t="s">
        <v>1461</v>
      </c>
      <c r="E2123" s="14" t="n">
        <v>2</v>
      </c>
      <c r="F2123" s="17" t="n">
        <v>84</v>
      </c>
      <c r="G2123" s="15" t="n">
        <v>-1.95629520146761</v>
      </c>
      <c r="H2123" s="16" t="n">
        <v>0.415823381635519</v>
      </c>
    </row>
    <row r="2124">
      <c r="A2124" t="s">
        <v>32</v>
      </c>
      <c r="B2124" t="s">
        <v>795</v>
      </c>
      <c r="C2124" t="s">
        <v>796</v>
      </c>
      <c r="D2124" t="s">
        <v>1461</v>
      </c>
      <c r="E2124" s="14" t="n">
        <v>0.25</v>
      </c>
      <c r="F2124" s="17" t="n">
        <v>6</v>
      </c>
      <c r="G2124" s="15" t="n">
        <v>0.244536900183451</v>
      </c>
      <c r="H2124" s="16" t="n">
        <v>0.0519779227044398</v>
      </c>
    </row>
    <row r="2125">
      <c r="A2125" t="s">
        <v>32</v>
      </c>
      <c r="B2125" t="s">
        <v>795</v>
      </c>
      <c r="C2125" t="s">
        <v>797</v>
      </c>
      <c r="D2125" t="s">
        <v>1461</v>
      </c>
      <c r="E2125" s="14" t="n">
        <v>0.75</v>
      </c>
      <c r="F2125" s="17" t="n">
        <v>167</v>
      </c>
      <c r="G2125" s="15" t="n">
        <v>0.674095534724375</v>
      </c>
      <c r="H2125" s="16" t="n">
        <v>-0.328778360091808</v>
      </c>
    </row>
    <row r="2126">
      <c r="A2126" t="s">
        <v>31</v>
      </c>
      <c r="B2126" t="s">
        <v>798</v>
      </c>
      <c r="C2126" t="s">
        <v>799</v>
      </c>
      <c r="D2126" t="s">
        <v>1461</v>
      </c>
      <c r="E2126" s="14" t="n">
        <v>1.25</v>
      </c>
      <c r="F2126" s="17" t="n">
        <v>157</v>
      </c>
      <c r="G2126" s="15" t="n">
        <v>0.868322963073747</v>
      </c>
      <c r="H2126" s="16" t="n">
        <v>-0.899174750423314</v>
      </c>
    </row>
    <row r="2127">
      <c r="A2127" t="s">
        <v>31</v>
      </c>
      <c r="B2127" t="s">
        <v>798</v>
      </c>
      <c r="C2127" t="s">
        <v>800</v>
      </c>
      <c r="D2127" t="s">
        <v>1461</v>
      </c>
      <c r="E2127" s="14" t="n">
        <v>0.25</v>
      </c>
      <c r="F2127" s="17" t="n">
        <v>13</v>
      </c>
      <c r="G2127" s="15" t="n">
        <v>0.224698511574792</v>
      </c>
      <c r="H2127" s="16" t="n">
        <v>0.109592786697269</v>
      </c>
    </row>
    <row r="2128">
      <c r="A2128" t="s">
        <v>31</v>
      </c>
      <c r="B2128" t="s">
        <v>801</v>
      </c>
      <c r="C2128" t="s">
        <v>802</v>
      </c>
      <c r="D2128" t="s">
        <v>1461</v>
      </c>
      <c r="E2128" s="14" t="n">
        <v>1.75</v>
      </c>
      <c r="F2128" s="17" t="n">
        <v>7</v>
      </c>
      <c r="G2128" s="15" t="n">
        <v>1.69801752098299</v>
      </c>
      <c r="H2128" s="16" t="n">
        <v>0.423363317299419</v>
      </c>
    </row>
    <row r="2129">
      <c r="A2129" t="s">
        <v>31</v>
      </c>
      <c r="B2129" t="s">
        <v>801</v>
      </c>
      <c r="C2129" t="s">
        <v>803</v>
      </c>
      <c r="D2129" t="s">
        <v>1461</v>
      </c>
      <c r="E2129" s="14" t="n">
        <v>1</v>
      </c>
      <c r="F2129" s="17" t="n">
        <v>0</v>
      </c>
      <c r="G2129" s="15" t="n">
        <v>1</v>
      </c>
      <c r="H2129" s="16" t="n">
        <v>0</v>
      </c>
    </row>
    <row r="2130">
      <c r="A2130" t="s">
        <v>31</v>
      </c>
      <c r="B2130" t="s">
        <v>804</v>
      </c>
      <c r="C2130" t="s">
        <v>805</v>
      </c>
      <c r="D2130" t="s">
        <v>1461</v>
      </c>
      <c r="E2130" s="14" t="n">
        <v>0.5</v>
      </c>
      <c r="F2130" s="17" t="n">
        <v>17</v>
      </c>
      <c r="G2130" s="15" t="n">
        <v>0.414518786277521</v>
      </c>
      <c r="H2130" s="16" t="n">
        <v>0.279596451735373</v>
      </c>
    </row>
    <row r="2131">
      <c r="A2131" t="s">
        <v>31</v>
      </c>
      <c r="B2131" t="s">
        <v>806</v>
      </c>
      <c r="C2131" t="s">
        <v>807</v>
      </c>
      <c r="D2131" t="s">
        <v>1461</v>
      </c>
      <c r="E2131" s="14" t="n">
        <v>0.25</v>
      </c>
      <c r="F2131" s="17" t="n">
        <v>94</v>
      </c>
      <c r="G2131" s="15" t="n">
        <v>-0.247567017185393</v>
      </c>
      <c r="H2131" s="16" t="n">
        <v>-0.0347932752400164</v>
      </c>
    </row>
    <row r="2132">
      <c r="A2132" t="s">
        <v>31</v>
      </c>
      <c r="B2132" t="s">
        <v>806</v>
      </c>
      <c r="C2132" t="s">
        <v>808</v>
      </c>
      <c r="D2132" t="s">
        <v>1461</v>
      </c>
      <c r="E2132" s="14" t="n">
        <v>0.25</v>
      </c>
      <c r="F2132" s="17" t="n">
        <v>89</v>
      </c>
      <c r="G2132" s="15" t="n">
        <v>-0.249847706754774</v>
      </c>
      <c r="H2132" s="16" t="n">
        <v>0.00872487417562529</v>
      </c>
    </row>
    <row r="2133">
      <c r="A2133" t="s">
        <v>32</v>
      </c>
      <c r="B2133" t="s">
        <v>809</v>
      </c>
      <c r="C2133" t="s">
        <v>810</v>
      </c>
      <c r="D2133" t="s">
        <v>1461</v>
      </c>
      <c r="E2133" s="14" t="n">
        <v>1.5</v>
      </c>
      <c r="F2133" s="17" t="n">
        <v>34</v>
      </c>
      <c r="G2133" s="15" t="n">
        <v>0.561909890123868</v>
      </c>
      <c r="H2133" s="16" t="n">
        <v>1.39077578185018</v>
      </c>
    </row>
    <row r="2134">
      <c r="A2134" t="s">
        <v>32</v>
      </c>
      <c r="B2134" t="s">
        <v>809</v>
      </c>
      <c r="C2134" t="s">
        <v>811</v>
      </c>
      <c r="D2134" t="s">
        <v>1461</v>
      </c>
      <c r="E2134" s="14" t="n">
        <v>0.5</v>
      </c>
      <c r="F2134" s="17" t="n">
        <v>145</v>
      </c>
      <c r="G2134" s="15" t="n">
        <v>0.171010071662834</v>
      </c>
      <c r="H2134" s="16" t="n">
        <v>-0.469846310392954</v>
      </c>
    </row>
    <row r="2135">
      <c r="A2135" t="s">
        <v>30</v>
      </c>
      <c r="B2135" t="s">
        <v>812</v>
      </c>
      <c r="C2135" t="s">
        <v>813</v>
      </c>
      <c r="D2135" t="s">
        <v>1461</v>
      </c>
      <c r="E2135" s="14" t="n">
        <v>1</v>
      </c>
      <c r="F2135" s="17" t="n">
        <v>156</v>
      </c>
      <c r="G2135" s="15" t="n">
        <v>0.669130606358858</v>
      </c>
      <c r="H2135" s="16" t="n">
        <v>-0.743144825477394</v>
      </c>
    </row>
    <row r="2136">
      <c r="A2136" t="s">
        <v>30</v>
      </c>
      <c r="B2136" t="s">
        <v>812</v>
      </c>
      <c r="C2136" t="s">
        <v>814</v>
      </c>
      <c r="D2136" t="s">
        <v>1461</v>
      </c>
      <c r="E2136" s="14" t="n">
        <v>1.25</v>
      </c>
      <c r="F2136" s="17" t="n">
        <v>7</v>
      </c>
      <c r="G2136" s="15" t="n">
        <v>1.212869657845</v>
      </c>
      <c r="H2136" s="16" t="n">
        <v>0.302402369499585</v>
      </c>
    </row>
    <row r="2137">
      <c r="A2137" t="s">
        <v>30</v>
      </c>
      <c r="B2137" t="s">
        <v>815</v>
      </c>
      <c r="C2137" t="s">
        <v>816</v>
      </c>
      <c r="D2137" t="s">
        <v>1461</v>
      </c>
      <c r="E2137" s="14" t="n">
        <v>0.25</v>
      </c>
      <c r="F2137" s="17" t="n">
        <v>52</v>
      </c>
      <c r="G2137" s="15" t="n">
        <v>-0.0604804738999169</v>
      </c>
      <c r="H2137" s="16" t="n">
        <v>0.242573931568999</v>
      </c>
    </row>
    <row r="2138">
      <c r="A2138" t="s">
        <v>30</v>
      </c>
      <c r="B2138" t="s">
        <v>815</v>
      </c>
      <c r="C2138" t="s">
        <v>817</v>
      </c>
      <c r="D2138" t="s">
        <v>1461</v>
      </c>
      <c r="E2138" s="14" t="n">
        <v>0.25</v>
      </c>
      <c r="F2138" s="17" t="n">
        <v>133</v>
      </c>
      <c r="G2138" s="15" t="n">
        <v>-0.0174391184360314</v>
      </c>
      <c r="H2138" s="16" t="n">
        <v>-0.249391012564956</v>
      </c>
    </row>
    <row r="2139">
      <c r="A2139" t="s">
        <v>32</v>
      </c>
      <c r="B2139" t="s">
        <v>818</v>
      </c>
      <c r="C2139" t="s">
        <v>819</v>
      </c>
      <c r="D2139" t="s">
        <v>1461</v>
      </c>
      <c r="E2139" s="14" t="n">
        <v>1.25</v>
      </c>
      <c r="F2139" s="17" t="n">
        <v>2</v>
      </c>
      <c r="G2139" s="15" t="n">
        <v>1.24695506282478</v>
      </c>
      <c r="H2139" s="16" t="n">
        <v>0.0871955921801566</v>
      </c>
    </row>
    <row r="2140">
      <c r="A2140" t="s">
        <v>31</v>
      </c>
      <c r="B2140" t="s">
        <v>1414</v>
      </c>
      <c r="C2140" t="s">
        <v>1415</v>
      </c>
      <c r="D2140" t="s">
        <v>1461</v>
      </c>
      <c r="E2140" s="14" t="n">
        <v>0.75</v>
      </c>
      <c r="F2140" s="17" t="n">
        <v>171</v>
      </c>
      <c r="G2140" s="15" t="n">
        <v>0.713292387221365</v>
      </c>
      <c r="H2140" s="16" t="n">
        <v>-0.231762745781211</v>
      </c>
    </row>
    <row r="2141">
      <c r="A2141" t="s">
        <v>31</v>
      </c>
      <c r="B2141" t="s">
        <v>1414</v>
      </c>
      <c r="C2141" t="s">
        <v>1416</v>
      </c>
      <c r="D2141" t="s">
        <v>1461</v>
      </c>
      <c r="E2141" s="14" t="n">
        <v>1</v>
      </c>
      <c r="F2141" s="17" t="n">
        <v>178</v>
      </c>
      <c r="G2141" s="15" t="n">
        <v>0.997564050259824</v>
      </c>
      <c r="H2141" s="16" t="n">
        <v>-0.0697564737441251</v>
      </c>
    </row>
    <row r="2142">
      <c r="A2142" t="s">
        <v>31</v>
      </c>
      <c r="B2142" t="s">
        <v>820</v>
      </c>
      <c r="C2142" t="s">
        <v>821</v>
      </c>
      <c r="D2142" t="s">
        <v>1461</v>
      </c>
      <c r="E2142" s="14" t="n">
        <v>0.5</v>
      </c>
      <c r="F2142" s="17" t="n">
        <v>152</v>
      </c>
      <c r="G2142" s="15" t="n">
        <v>0.279596451735374</v>
      </c>
      <c r="H2142" s="16" t="n">
        <v>-0.414518786277521</v>
      </c>
    </row>
    <row r="2143">
      <c r="A2143" t="s">
        <v>31</v>
      </c>
      <c r="B2143" t="s">
        <v>820</v>
      </c>
      <c r="C2143" t="s">
        <v>822</v>
      </c>
      <c r="D2143" t="s">
        <v>1461</v>
      </c>
      <c r="E2143" s="14" t="n">
        <v>0.5</v>
      </c>
      <c r="F2143" s="17" t="n">
        <v>43</v>
      </c>
      <c r="G2143" s="15" t="n">
        <v>0.0348782368720626</v>
      </c>
      <c r="H2143" s="16" t="n">
        <v>0.498782025129912</v>
      </c>
    </row>
    <row r="2144">
      <c r="A2144" t="s">
        <v>30</v>
      </c>
      <c r="B2144" t="s">
        <v>823</v>
      </c>
      <c r="C2144" t="s">
        <v>824</v>
      </c>
      <c r="D2144" t="s">
        <v>1461</v>
      </c>
      <c r="E2144" s="14" t="n">
        <v>0.5</v>
      </c>
      <c r="F2144" s="17" t="n">
        <v>176</v>
      </c>
      <c r="G2144" s="15" t="n">
        <v>0.495134034370785</v>
      </c>
      <c r="H2144" s="16" t="n">
        <v>-0.0695865504800328</v>
      </c>
    </row>
    <row r="2145">
      <c r="A2145" t="s">
        <v>30</v>
      </c>
      <c r="B2145" t="s">
        <v>823</v>
      </c>
      <c r="C2145" t="s">
        <v>825</v>
      </c>
      <c r="D2145" t="s">
        <v>1461</v>
      </c>
      <c r="E2145" s="14" t="n">
        <v>0.5</v>
      </c>
      <c r="F2145" s="17" t="n">
        <v>11</v>
      </c>
      <c r="G2145" s="15" t="n">
        <v>0.463591927283394</v>
      </c>
      <c r="H2145" s="16" t="n">
        <v>0.187303296707956</v>
      </c>
    </row>
    <row r="2146">
      <c r="A2146" t="s">
        <v>31</v>
      </c>
      <c r="B2146" t="s">
        <v>826</v>
      </c>
      <c r="C2146" t="s">
        <v>827</v>
      </c>
      <c r="D2146" t="s">
        <v>1461</v>
      </c>
      <c r="E2146" s="14" t="n">
        <v>0.25</v>
      </c>
      <c r="F2146" s="17" t="n">
        <v>4</v>
      </c>
      <c r="G2146" s="15" t="n">
        <v>0.247567017185393</v>
      </c>
      <c r="H2146" s="16" t="n">
        <v>0.0347932752400164</v>
      </c>
    </row>
    <row r="2147">
      <c r="A2147" t="s">
        <v>31</v>
      </c>
      <c r="B2147" t="s">
        <v>828</v>
      </c>
      <c r="C2147" t="s">
        <v>829</v>
      </c>
      <c r="D2147" t="s">
        <v>1461</v>
      </c>
      <c r="E2147" s="14" t="n">
        <v>0.5</v>
      </c>
      <c r="F2147" s="17" t="n">
        <v>141</v>
      </c>
      <c r="G2147" s="15" t="n">
        <v>0.10395584540888</v>
      </c>
      <c r="H2147" s="16" t="n">
        <v>-0.489073800366903</v>
      </c>
    </row>
    <row r="2148">
      <c r="A2148" t="s">
        <v>30</v>
      </c>
      <c r="B2148" t="s">
        <v>830</v>
      </c>
      <c r="C2148" t="s">
        <v>831</v>
      </c>
      <c r="D2148" t="s">
        <v>1461</v>
      </c>
      <c r="E2148" s="14" t="n">
        <v>1</v>
      </c>
      <c r="F2148" s="17" t="n">
        <v>100</v>
      </c>
      <c r="G2148" s="15" t="n">
        <v>-0.939692620785908</v>
      </c>
      <c r="H2148" s="16" t="n">
        <v>-0.342020143325669</v>
      </c>
    </row>
    <row r="2149">
      <c r="A2149" t="s">
        <v>30</v>
      </c>
      <c r="B2149" t="s">
        <v>830</v>
      </c>
      <c r="C2149" t="s">
        <v>832</v>
      </c>
      <c r="D2149" t="s">
        <v>1461</v>
      </c>
      <c r="E2149" s="14" t="n">
        <v>0.75</v>
      </c>
      <c r="F2149" s="17" t="n">
        <v>86</v>
      </c>
      <c r="G2149" s="15" t="n">
        <v>-0.742701051556178</v>
      </c>
      <c r="H2149" s="16" t="n">
        <v>0.104379825720049</v>
      </c>
    </row>
    <row r="2150">
      <c r="A2150" t="s">
        <v>30</v>
      </c>
      <c r="B2150" t="s">
        <v>1417</v>
      </c>
      <c r="C2150" t="s">
        <v>1418</v>
      </c>
      <c r="D2150" t="s">
        <v>1461</v>
      </c>
      <c r="E2150" s="14" t="n">
        <v>0.75</v>
      </c>
      <c r="F2150" s="17" t="n">
        <v>177</v>
      </c>
      <c r="G2150" s="15" t="n">
        <v>0.745891421526205</v>
      </c>
      <c r="H2150" s="16" t="n">
        <v>-0.0783963474507403</v>
      </c>
    </row>
    <row r="2151">
      <c r="A2151" t="s">
        <v>30</v>
      </c>
      <c r="B2151" t="s">
        <v>1417</v>
      </c>
      <c r="C2151" t="s">
        <v>1419</v>
      </c>
      <c r="D2151" t="s">
        <v>1461</v>
      </c>
      <c r="E2151" s="14" t="n">
        <v>0.5</v>
      </c>
      <c r="F2151" s="17" t="n">
        <v>19</v>
      </c>
      <c r="G2151" s="15" t="n">
        <v>0.394005376803361</v>
      </c>
      <c r="H2151" s="16" t="n">
        <v>0.307830737662829</v>
      </c>
    </row>
    <row r="2152">
      <c r="A2152" t="s">
        <v>32</v>
      </c>
      <c r="B2152" t="s">
        <v>833</v>
      </c>
      <c r="C2152" t="s">
        <v>834</v>
      </c>
      <c r="D2152" t="s">
        <v>1461</v>
      </c>
      <c r="E2152" s="14" t="n">
        <v>2.25</v>
      </c>
      <c r="F2152" s="17" t="n">
        <v>3</v>
      </c>
      <c r="G2152" s="15" t="n">
        <v>2.23767426457861</v>
      </c>
      <c r="H2152" s="16" t="n">
        <v>0.23518904235222</v>
      </c>
    </row>
    <row r="2153">
      <c r="A2153" t="s">
        <v>30</v>
      </c>
      <c r="B2153" t="s">
        <v>835</v>
      </c>
      <c r="C2153" t="s">
        <v>836</v>
      </c>
      <c r="D2153" t="s">
        <v>1461</v>
      </c>
      <c r="E2153" s="14" t="n">
        <v>3</v>
      </c>
      <c r="F2153" s="17" t="n">
        <v>158</v>
      </c>
      <c r="G2153" s="15" t="n">
        <v>2.15801940101595</v>
      </c>
      <c r="H2153" s="16" t="n">
        <v>-2.08397511137699</v>
      </c>
    </row>
    <row r="2154">
      <c r="A2154" t="s">
        <v>30</v>
      </c>
      <c r="B2154" t="s">
        <v>835</v>
      </c>
      <c r="C2154" t="s">
        <v>837</v>
      </c>
      <c r="D2154" t="s">
        <v>1461</v>
      </c>
      <c r="E2154" s="14" t="n">
        <v>1.75</v>
      </c>
      <c r="F2154" s="17" t="n">
        <v>24</v>
      </c>
      <c r="G2154" s="15" t="n">
        <v>1.170978561128</v>
      </c>
      <c r="H2154" s="16" t="n">
        <v>1.30050344458544</v>
      </c>
    </row>
    <row r="2155">
      <c r="A2155" t="s">
        <v>30</v>
      </c>
      <c r="B2155" t="s">
        <v>838</v>
      </c>
      <c r="C2155" t="s">
        <v>839</v>
      </c>
      <c r="D2155" t="s">
        <v>1461</v>
      </c>
      <c r="E2155" s="14" t="n">
        <v>1.25</v>
      </c>
      <c r="F2155" s="17" t="n">
        <v>179</v>
      </c>
      <c r="G2155" s="15" t="n">
        <v>1.24923853377387</v>
      </c>
      <c r="H2155" s="16" t="n">
        <v>-0.0436243708781261</v>
      </c>
    </row>
    <row r="2156">
      <c r="A2156" t="s">
        <v>31</v>
      </c>
      <c r="B2156" t="s">
        <v>840</v>
      </c>
      <c r="C2156" t="s">
        <v>841</v>
      </c>
      <c r="D2156" t="s">
        <v>1461</v>
      </c>
      <c r="E2156" s="14" t="n">
        <v>0.75</v>
      </c>
      <c r="F2156" s="17" t="n">
        <v>4</v>
      </c>
      <c r="G2156" s="15" t="n">
        <v>0.742701051556178</v>
      </c>
      <c r="H2156" s="16" t="n">
        <v>0.104379825720049</v>
      </c>
    </row>
    <row r="2157">
      <c r="A2157" t="s">
        <v>30</v>
      </c>
      <c r="B2157" t="s">
        <v>842</v>
      </c>
      <c r="C2157" t="s">
        <v>843</v>
      </c>
      <c r="D2157" t="s">
        <v>1461</v>
      </c>
      <c r="E2157" s="14" t="n">
        <v>0.5</v>
      </c>
      <c r="F2157" s="17" t="n">
        <v>18</v>
      </c>
      <c r="G2157" s="15" t="n">
        <v>0.404508497187474</v>
      </c>
      <c r="H2157" s="16" t="n">
        <v>0.293892626146237</v>
      </c>
    </row>
    <row r="2158">
      <c r="A2158" t="s">
        <v>30</v>
      </c>
      <c r="B2158" t="s">
        <v>842</v>
      </c>
      <c r="C2158" t="s">
        <v>844</v>
      </c>
      <c r="D2158" t="s">
        <v>1461</v>
      </c>
      <c r="E2158" s="14" t="n">
        <v>1</v>
      </c>
      <c r="F2158" s="17" t="n">
        <v>162</v>
      </c>
      <c r="G2158" s="15" t="n">
        <v>0.809016994374947</v>
      </c>
      <c r="H2158" s="16" t="n">
        <v>-0.587785252292473</v>
      </c>
    </row>
    <row r="2159">
      <c r="A2159" t="s">
        <v>32</v>
      </c>
      <c r="B2159" t="s">
        <v>845</v>
      </c>
      <c r="C2159" t="s">
        <v>846</v>
      </c>
      <c r="D2159" t="s">
        <v>1461</v>
      </c>
      <c r="E2159" s="14" t="n">
        <v>2</v>
      </c>
      <c r="F2159" s="17" t="n">
        <v>178</v>
      </c>
      <c r="G2159" s="15" t="n">
        <v>1.99512810051965</v>
      </c>
      <c r="H2159" s="16" t="n">
        <v>-0.13951294748825</v>
      </c>
    </row>
    <row r="2160">
      <c r="A2160" t="s">
        <v>32</v>
      </c>
      <c r="B2160" t="s">
        <v>845</v>
      </c>
      <c r="C2160" t="s">
        <v>847</v>
      </c>
      <c r="D2160" t="s">
        <v>1461</v>
      </c>
      <c r="E2160" s="14" t="n">
        <v>1.25</v>
      </c>
      <c r="F2160" s="17" t="n">
        <v>171</v>
      </c>
      <c r="G2160" s="15" t="n">
        <v>1.18882064536894</v>
      </c>
      <c r="H2160" s="16" t="n">
        <v>-0.386271242968685</v>
      </c>
    </row>
    <row r="2161">
      <c r="A2161" t="s">
        <v>31</v>
      </c>
      <c r="B2161" t="s">
        <v>1420</v>
      </c>
      <c r="C2161" t="s">
        <v>1421</v>
      </c>
      <c r="D2161" t="s">
        <v>1461</v>
      </c>
      <c r="E2161" s="14" t="n">
        <v>0.5</v>
      </c>
      <c r="F2161" s="17" t="n">
        <v>130</v>
      </c>
      <c r="G2161" s="15" t="n">
        <v>-0.0868240888334652</v>
      </c>
      <c r="H2161" s="16" t="n">
        <v>-0.492403876506104</v>
      </c>
    </row>
    <row r="2162">
      <c r="A2162" t="s">
        <v>31</v>
      </c>
      <c r="B2162" t="s">
        <v>1420</v>
      </c>
      <c r="C2162" t="s">
        <v>1422</v>
      </c>
      <c r="D2162" t="s">
        <v>1461</v>
      </c>
      <c r="E2162" s="14" t="n">
        <v>1</v>
      </c>
      <c r="F2162" s="17" t="n">
        <v>44</v>
      </c>
      <c r="G2162" s="15" t="n">
        <v>0.0348994967025011</v>
      </c>
      <c r="H2162" s="16" t="n">
        <v>0.999390827019096</v>
      </c>
    </row>
    <row r="2163">
      <c r="A2163" t="s">
        <v>31</v>
      </c>
      <c r="B2163" t="s">
        <v>848</v>
      </c>
      <c r="C2163" t="s">
        <v>849</v>
      </c>
      <c r="D2163" t="s">
        <v>1461</v>
      </c>
      <c r="E2163" s="14" t="n">
        <v>0.25</v>
      </c>
      <c r="F2163" s="17" t="n">
        <v>177</v>
      </c>
      <c r="G2163" s="15" t="n">
        <v>0.248630473842068</v>
      </c>
      <c r="H2163" s="16" t="n">
        <v>-0.0261321158169134</v>
      </c>
    </row>
    <row r="2164">
      <c r="A2164" t="s">
        <v>31</v>
      </c>
      <c r="B2164" t="s">
        <v>848</v>
      </c>
      <c r="C2164" t="s">
        <v>850</v>
      </c>
      <c r="D2164" t="s">
        <v>1461</v>
      </c>
      <c r="E2164" s="14" t="n">
        <v>1</v>
      </c>
      <c r="F2164" s="17" t="n">
        <v>6</v>
      </c>
      <c r="G2164" s="15" t="n">
        <v>0.978147600733806</v>
      </c>
      <c r="H2164" s="16" t="n">
        <v>0.207911690817759</v>
      </c>
    </row>
    <row r="2165">
      <c r="A2165" t="s">
        <v>31</v>
      </c>
      <c r="B2165" t="s">
        <v>851</v>
      </c>
      <c r="C2165" t="s">
        <v>852</v>
      </c>
      <c r="D2165" t="s">
        <v>1461</v>
      </c>
      <c r="E2165" s="14" t="n">
        <v>0.75</v>
      </c>
      <c r="F2165" s="17" t="n">
        <v>178</v>
      </c>
      <c r="G2165" s="15" t="n">
        <v>0.748173037694868</v>
      </c>
      <c r="H2165" s="16" t="n">
        <v>-0.0523173553080938</v>
      </c>
    </row>
    <row r="2166">
      <c r="A2166" t="s">
        <v>31</v>
      </c>
      <c r="B2166" t="s">
        <v>851</v>
      </c>
      <c r="C2166" t="s">
        <v>853</v>
      </c>
      <c r="D2166" t="s">
        <v>1461</v>
      </c>
      <c r="E2166" s="14" t="n">
        <v>0.5</v>
      </c>
      <c r="F2166" s="17" t="n">
        <v>5</v>
      </c>
      <c r="G2166" s="15" t="n">
        <v>0.492403876506104</v>
      </c>
      <c r="H2166" s="16" t="n">
        <v>0.0868240888334652</v>
      </c>
    </row>
    <row r="2167">
      <c r="A2167" t="s">
        <v>30</v>
      </c>
      <c r="B2167" t="s">
        <v>1423</v>
      </c>
      <c r="C2167" t="s">
        <v>1424</v>
      </c>
      <c r="D2167" t="s">
        <v>1461</v>
      </c>
      <c r="E2167" s="14" t="n">
        <v>0.25</v>
      </c>
      <c r="F2167" s="17" t="n">
        <v>36</v>
      </c>
      <c r="G2167" s="15" t="n">
        <v>0.0772542485937369</v>
      </c>
      <c r="H2167" s="16" t="n">
        <v>0.237764129073788</v>
      </c>
    </row>
    <row r="2168">
      <c r="A2168" t="s">
        <v>30</v>
      </c>
      <c r="B2168" t="s">
        <v>1423</v>
      </c>
      <c r="C2168" t="s">
        <v>1425</v>
      </c>
      <c r="D2168" t="s">
        <v>1461</v>
      </c>
      <c r="E2168" s="14" t="n">
        <v>0.5</v>
      </c>
      <c r="F2168" s="17" t="n">
        <v>145</v>
      </c>
      <c r="G2168" s="15" t="n">
        <v>0.171010071662834</v>
      </c>
      <c r="H2168" s="16" t="n">
        <v>-0.469846310392954</v>
      </c>
    </row>
    <row r="2169">
      <c r="A2169" t="s">
        <v>32</v>
      </c>
      <c r="B2169" t="s">
        <v>854</v>
      </c>
      <c r="C2169" t="s">
        <v>855</v>
      </c>
      <c r="D2169" t="s">
        <v>1461</v>
      </c>
      <c r="E2169" s="14" t="n">
        <v>0.25</v>
      </c>
      <c r="F2169" s="17" t="n">
        <v>29</v>
      </c>
      <c r="G2169" s="15" t="n">
        <v>0.132479816058301</v>
      </c>
      <c r="H2169" s="16" t="n">
        <v>0.212012024039106</v>
      </c>
    </row>
    <row r="2170">
      <c r="A2170" t="s">
        <v>32</v>
      </c>
      <c r="B2170" t="s">
        <v>854</v>
      </c>
      <c r="C2170" t="s">
        <v>856</v>
      </c>
      <c r="D2170" t="s">
        <v>1461</v>
      </c>
      <c r="E2170" s="14" t="n">
        <v>0.5</v>
      </c>
      <c r="F2170" s="17" t="n">
        <v>150</v>
      </c>
      <c r="G2170" s="15" t="n">
        <v>0.25</v>
      </c>
      <c r="H2170" s="16" t="n">
        <v>-0.433012701892219</v>
      </c>
    </row>
    <row r="2171">
      <c r="A2171" t="s">
        <v>30</v>
      </c>
      <c r="B2171" t="s">
        <v>857</v>
      </c>
      <c r="C2171" t="s">
        <v>858</v>
      </c>
      <c r="D2171" t="s">
        <v>1461</v>
      </c>
      <c r="E2171" s="14" t="n">
        <v>1.75</v>
      </c>
      <c r="F2171" s="17" t="n">
        <v>179</v>
      </c>
      <c r="G2171" s="15" t="n">
        <v>1.74893394728342</v>
      </c>
      <c r="H2171" s="16" t="n">
        <v>-0.0610741192293765</v>
      </c>
    </row>
    <row r="2172">
      <c r="A2172" t="s">
        <v>30</v>
      </c>
      <c r="B2172" t="s">
        <v>857</v>
      </c>
      <c r="C2172" t="s">
        <v>859</v>
      </c>
      <c r="D2172" t="s">
        <v>1461</v>
      </c>
      <c r="E2172" s="14" t="n">
        <v>2</v>
      </c>
      <c r="F2172" s="17" t="n">
        <v>1</v>
      </c>
      <c r="G2172" s="15" t="n">
        <v>1.99878165403819</v>
      </c>
      <c r="H2172" s="16" t="n">
        <v>0.0697989934050019</v>
      </c>
    </row>
    <row r="2173">
      <c r="A2173" t="s">
        <v>30</v>
      </c>
      <c r="B2173" t="s">
        <v>860</v>
      </c>
      <c r="C2173" t="s">
        <v>861</v>
      </c>
      <c r="D2173" t="s">
        <v>1461</v>
      </c>
      <c r="E2173" s="14" t="n">
        <v>1</v>
      </c>
      <c r="F2173" s="17" t="n">
        <v>12</v>
      </c>
      <c r="G2173" s="15" t="n">
        <v>0.913545457642601</v>
      </c>
      <c r="H2173" s="16" t="n">
        <v>0.4067366430758</v>
      </c>
    </row>
    <row r="2174">
      <c r="A2174" t="s">
        <v>30</v>
      </c>
      <c r="B2174" t="s">
        <v>860</v>
      </c>
      <c r="C2174" t="s">
        <v>862</v>
      </c>
      <c r="D2174" t="s">
        <v>1461</v>
      </c>
      <c r="E2174" s="14" t="n">
        <v>1</v>
      </c>
      <c r="F2174" s="17" t="n">
        <v>174</v>
      </c>
      <c r="G2174" s="15" t="n">
        <v>0.978147600733806</v>
      </c>
      <c r="H2174" s="16" t="n">
        <v>-0.207911690817759</v>
      </c>
    </row>
    <row r="2175">
      <c r="A2175" t="s">
        <v>31</v>
      </c>
      <c r="B2175" t="s">
        <v>863</v>
      </c>
      <c r="C2175" t="s">
        <v>864</v>
      </c>
      <c r="D2175" t="s">
        <v>1461</v>
      </c>
      <c r="E2175" s="14" t="n">
        <v>0.25</v>
      </c>
      <c r="F2175" s="17" t="n">
        <v>175</v>
      </c>
      <c r="G2175" s="15" t="n">
        <v>0.246201938253052</v>
      </c>
      <c r="H2175" s="16" t="n">
        <v>-0.0434120444167326</v>
      </c>
    </row>
    <row r="2176">
      <c r="A2176" t="s">
        <v>31</v>
      </c>
      <c r="B2176" t="s">
        <v>863</v>
      </c>
      <c r="C2176" t="s">
        <v>865</v>
      </c>
      <c r="D2176" t="s">
        <v>1461</v>
      </c>
      <c r="E2176" s="14" t="n">
        <v>0.25</v>
      </c>
      <c r="F2176" s="17" t="n">
        <v>15</v>
      </c>
      <c r="G2176" s="15" t="n">
        <v>0.21650635094611</v>
      </c>
      <c r="H2176" s="16" t="n">
        <v>0.125</v>
      </c>
    </row>
    <row r="2177">
      <c r="A2177" t="s">
        <v>30</v>
      </c>
      <c r="B2177" t="s">
        <v>866</v>
      </c>
      <c r="C2177" t="s">
        <v>867</v>
      </c>
      <c r="D2177" t="s">
        <v>1461</v>
      </c>
      <c r="E2177" s="14" t="n">
        <v>1</v>
      </c>
      <c r="F2177" s="17" t="n">
        <v>174</v>
      </c>
      <c r="G2177" s="15" t="n">
        <v>0.978147600733806</v>
      </c>
      <c r="H2177" s="16" t="n">
        <v>-0.207911690817759</v>
      </c>
    </row>
    <row r="2178">
      <c r="A2178" t="s">
        <v>32</v>
      </c>
      <c r="B2178" t="s">
        <v>868</v>
      </c>
      <c r="C2178" t="s">
        <v>869</v>
      </c>
      <c r="D2178" t="s">
        <v>1461</v>
      </c>
      <c r="E2178" s="14" t="n">
        <v>0.5</v>
      </c>
      <c r="F2178" s="17" t="n">
        <v>72</v>
      </c>
      <c r="G2178" s="15" t="n">
        <v>-0.404508497187474</v>
      </c>
      <c r="H2178" s="16" t="n">
        <v>0.293892626146237</v>
      </c>
    </row>
    <row r="2179">
      <c r="A2179" t="s">
        <v>31</v>
      </c>
      <c r="B2179" t="s">
        <v>870</v>
      </c>
      <c r="C2179" t="s">
        <v>871</v>
      </c>
      <c r="D2179" t="s">
        <v>1461</v>
      </c>
      <c r="E2179" s="14" t="n">
        <v>0.5</v>
      </c>
      <c r="F2179" s="17" t="n">
        <v>82</v>
      </c>
      <c r="G2179" s="15" t="n">
        <v>-0.480630847969159</v>
      </c>
      <c r="H2179" s="16" t="n">
        <v>0.1378186779085</v>
      </c>
    </row>
    <row r="2180">
      <c r="A2180" t="s">
        <v>31</v>
      </c>
      <c r="B2180" t="s">
        <v>872</v>
      </c>
      <c r="C2180" t="s">
        <v>873</v>
      </c>
      <c r="D2180" t="s">
        <v>1461</v>
      </c>
      <c r="E2180" s="14" t="n">
        <v>0.75</v>
      </c>
      <c r="F2180" s="17" t="n">
        <v>168</v>
      </c>
      <c r="G2180" s="15" t="n">
        <v>0.685159093231951</v>
      </c>
      <c r="H2180" s="16" t="n">
        <v>-0.30505248230685</v>
      </c>
    </row>
    <row r="2181">
      <c r="A2181" t="s">
        <v>31</v>
      </c>
      <c r="B2181" t="s">
        <v>872</v>
      </c>
      <c r="C2181" t="s">
        <v>874</v>
      </c>
      <c r="D2181" t="s">
        <v>1461</v>
      </c>
      <c r="E2181" s="14" t="n">
        <v>0.75</v>
      </c>
      <c r="F2181" s="17" t="n">
        <v>16</v>
      </c>
      <c r="G2181" s="15" t="n">
        <v>0.636036072117319</v>
      </c>
      <c r="H2181" s="16" t="n">
        <v>0.397439448174904</v>
      </c>
    </row>
    <row r="2182">
      <c r="A2182" t="s">
        <v>32</v>
      </c>
      <c r="B2182" t="s">
        <v>875</v>
      </c>
      <c r="C2182" t="s">
        <v>876</v>
      </c>
      <c r="D2182" t="s">
        <v>1461</v>
      </c>
      <c r="E2182" s="14" t="n">
        <v>0.75</v>
      </c>
      <c r="F2182" s="17" t="n">
        <v>163</v>
      </c>
      <c r="G2182" s="15" t="n">
        <v>0.621778179416281</v>
      </c>
      <c r="H2182" s="16" t="n">
        <v>-0.41939467760306</v>
      </c>
    </row>
    <row r="2183">
      <c r="A2183" t="s">
        <v>32</v>
      </c>
      <c r="B2183" t="s">
        <v>875</v>
      </c>
      <c r="C2183" t="s">
        <v>877</v>
      </c>
      <c r="D2183" t="s">
        <v>1461</v>
      </c>
      <c r="E2183" s="14" t="n">
        <v>0.25</v>
      </c>
      <c r="F2183" s="17" t="n">
        <v>15</v>
      </c>
      <c r="G2183" s="15" t="n">
        <v>0.21650635094611</v>
      </c>
      <c r="H2183" s="16" t="n">
        <v>0.125</v>
      </c>
    </row>
    <row r="2184">
      <c r="A2184" t="s">
        <v>31</v>
      </c>
      <c r="B2184" t="s">
        <v>878</v>
      </c>
      <c r="C2184" t="s">
        <v>879</v>
      </c>
      <c r="D2184" t="s">
        <v>1461</v>
      </c>
      <c r="E2184" s="14" t="n">
        <v>0.75</v>
      </c>
      <c r="F2184" s="17" t="n">
        <v>9</v>
      </c>
      <c r="G2184" s="15" t="n">
        <v>0.713292387221365</v>
      </c>
      <c r="H2184" s="16" t="n">
        <v>0.231762745781211</v>
      </c>
    </row>
    <row r="2185">
      <c r="A2185" t="s">
        <v>31</v>
      </c>
      <c r="B2185" t="s">
        <v>878</v>
      </c>
      <c r="C2185" t="s">
        <v>880</v>
      </c>
      <c r="D2185" t="s">
        <v>1461</v>
      </c>
      <c r="E2185" s="14" t="n">
        <v>0.5</v>
      </c>
      <c r="F2185" s="17" t="n">
        <v>164</v>
      </c>
      <c r="G2185" s="15" t="n">
        <v>0.424024048078213</v>
      </c>
      <c r="H2185" s="16" t="n">
        <v>-0.264959632116603</v>
      </c>
    </row>
    <row r="2186">
      <c r="A2186" t="s">
        <v>30</v>
      </c>
      <c r="B2186" t="s">
        <v>1426</v>
      </c>
      <c r="C2186" t="s">
        <v>1427</v>
      </c>
      <c r="D2186" t="s">
        <v>1461</v>
      </c>
      <c r="E2186" s="14" t="n">
        <v>0.75</v>
      </c>
      <c r="F2186" s="17" t="n">
        <v>172</v>
      </c>
      <c r="G2186" s="15" t="n">
        <v>0.720946271953739</v>
      </c>
      <c r="H2186" s="16" t="n">
        <v>-0.206728016862749</v>
      </c>
    </row>
    <row r="2187">
      <c r="A2187" t="s">
        <v>31</v>
      </c>
      <c r="B2187" t="s">
        <v>1428</v>
      </c>
      <c r="C2187" t="s">
        <v>1429</v>
      </c>
      <c r="D2187" t="s">
        <v>1461</v>
      </c>
      <c r="E2187" s="14" t="n">
        <v>1.25</v>
      </c>
      <c r="F2187" s="17" t="n">
        <v>158</v>
      </c>
      <c r="G2187" s="15" t="n">
        <v>0.899174750423314</v>
      </c>
      <c r="H2187" s="16" t="n">
        <v>-0.868322963073747</v>
      </c>
    </row>
    <row r="2188">
      <c r="A2188" t="s">
        <v>32</v>
      </c>
      <c r="B2188" t="s">
        <v>881</v>
      </c>
      <c r="C2188" t="s">
        <v>882</v>
      </c>
      <c r="D2188" t="s">
        <v>1461</v>
      </c>
      <c r="E2188" s="14" t="n">
        <v>0.25</v>
      </c>
      <c r="F2188" s="17" t="n">
        <v>97</v>
      </c>
      <c r="G2188" s="15" t="n">
        <v>-0.242573931568999</v>
      </c>
      <c r="H2188" s="16" t="n">
        <v>-0.0604804738999169</v>
      </c>
    </row>
    <row r="2189">
      <c r="A2189" t="s">
        <v>30</v>
      </c>
      <c r="B2189" t="s">
        <v>883</v>
      </c>
      <c r="C2189" t="s">
        <v>884</v>
      </c>
      <c r="D2189" t="s">
        <v>1461</v>
      </c>
      <c r="E2189" s="14" t="n">
        <v>1.25</v>
      </c>
      <c r="F2189" s="17" t="n">
        <v>13</v>
      </c>
      <c r="G2189" s="15" t="n">
        <v>1.12349255787396</v>
      </c>
      <c r="H2189" s="16" t="n">
        <v>0.547963933486347</v>
      </c>
    </row>
    <row r="2190">
      <c r="A2190" t="s">
        <v>30</v>
      </c>
      <c r="B2190" t="s">
        <v>883</v>
      </c>
      <c r="C2190" t="s">
        <v>885</v>
      </c>
      <c r="D2190" t="s">
        <v>1461</v>
      </c>
      <c r="E2190" s="14" t="n">
        <v>1</v>
      </c>
      <c r="F2190" s="17" t="n">
        <v>178</v>
      </c>
      <c r="G2190" s="15" t="n">
        <v>0.997564050259824</v>
      </c>
      <c r="H2190" s="16" t="n">
        <v>-0.0697564737441251</v>
      </c>
    </row>
    <row r="2191">
      <c r="A2191" t="s">
        <v>30</v>
      </c>
      <c r="B2191" t="s">
        <v>886</v>
      </c>
      <c r="C2191" t="s">
        <v>887</v>
      </c>
      <c r="D2191" t="s">
        <v>1461</v>
      </c>
      <c r="E2191" s="14" t="n">
        <v>3.5</v>
      </c>
      <c r="F2191" s="17" t="n">
        <v>156</v>
      </c>
      <c r="G2191" s="15" t="n">
        <v>2.341957122256</v>
      </c>
      <c r="H2191" s="16" t="n">
        <v>-2.60100688917088</v>
      </c>
    </row>
    <row r="2192">
      <c r="A2192" t="s">
        <v>30</v>
      </c>
      <c r="B2192" t="s">
        <v>886</v>
      </c>
      <c r="C2192" t="s">
        <v>888</v>
      </c>
      <c r="D2192" t="s">
        <v>1461</v>
      </c>
      <c r="E2192" s="14" t="n">
        <v>3</v>
      </c>
      <c r="F2192" s="17" t="n">
        <v>19</v>
      </c>
      <c r="G2192" s="15" t="n">
        <v>2.36403226082017</v>
      </c>
      <c r="H2192" s="16" t="n">
        <v>1.84698442597697</v>
      </c>
    </row>
    <row r="2193">
      <c r="A2193" t="s">
        <v>31</v>
      </c>
      <c r="B2193" t="s">
        <v>889</v>
      </c>
      <c r="C2193" t="s">
        <v>890</v>
      </c>
      <c r="D2193" t="s">
        <v>1461</v>
      </c>
      <c r="E2193" s="14" t="n">
        <v>0.5</v>
      </c>
      <c r="F2193" s="17" t="n">
        <v>10</v>
      </c>
      <c r="G2193" s="15" t="n">
        <v>0.469846310392954</v>
      </c>
      <c r="H2193" s="16" t="n">
        <v>0.171010071662834</v>
      </c>
    </row>
    <row r="2194">
      <c r="A2194" t="s">
        <v>31</v>
      </c>
      <c r="B2194" t="s">
        <v>889</v>
      </c>
      <c r="C2194" t="s">
        <v>891</v>
      </c>
      <c r="D2194" t="s">
        <v>1461</v>
      </c>
      <c r="E2194" s="14" t="n">
        <v>0.5</v>
      </c>
      <c r="F2194" s="17" t="n">
        <v>154</v>
      </c>
      <c r="G2194" s="15" t="n">
        <v>0.307830737662829</v>
      </c>
      <c r="H2194" s="16" t="n">
        <v>-0.394005376803361</v>
      </c>
    </row>
    <row r="2195">
      <c r="A2195" t="s">
        <v>32</v>
      </c>
      <c r="B2195" t="s">
        <v>892</v>
      </c>
      <c r="C2195" t="s">
        <v>893</v>
      </c>
      <c r="D2195" t="s">
        <v>1461</v>
      </c>
      <c r="E2195" s="14" t="n">
        <v>1.75</v>
      </c>
      <c r="F2195" s="17" t="n">
        <v>0</v>
      </c>
      <c r="G2195" s="15" t="n">
        <v>1.75</v>
      </c>
      <c r="H2195" s="16" t="n">
        <v>0</v>
      </c>
    </row>
    <row r="2196">
      <c r="A2196" t="s">
        <v>32</v>
      </c>
      <c r="B2196" t="s">
        <v>892</v>
      </c>
      <c r="C2196" t="s">
        <v>894</v>
      </c>
      <c r="D2196" t="s">
        <v>1461</v>
      </c>
      <c r="E2196" s="14" t="n">
        <v>0.75</v>
      </c>
      <c r="F2196" s="17" t="n">
        <v>174</v>
      </c>
      <c r="G2196" s="15" t="n">
        <v>0.733610700550354</v>
      </c>
      <c r="H2196" s="16" t="n">
        <v>-0.155933768113319</v>
      </c>
    </row>
    <row r="2197">
      <c r="A2197" t="s">
        <v>32</v>
      </c>
      <c r="B2197" t="s">
        <v>895</v>
      </c>
      <c r="C2197" t="s">
        <v>896</v>
      </c>
      <c r="D2197" t="s">
        <v>1461</v>
      </c>
      <c r="E2197" s="14" t="n">
        <v>1.25</v>
      </c>
      <c r="F2197" s="17" t="n">
        <v>105</v>
      </c>
      <c r="G2197" s="15" t="n">
        <v>-1.08253175473055</v>
      </c>
      <c r="H2197" s="16" t="n">
        <v>-0.625</v>
      </c>
    </row>
    <row r="2198">
      <c r="A2198" t="s">
        <v>32</v>
      </c>
      <c r="B2198" t="s">
        <v>895</v>
      </c>
      <c r="C2198" t="s">
        <v>897</v>
      </c>
      <c r="D2198" t="s">
        <v>1461</v>
      </c>
      <c r="E2198" s="14" t="n">
        <v>2.25</v>
      </c>
      <c r="F2198" s="17" t="n">
        <v>82</v>
      </c>
      <c r="G2198" s="15" t="n">
        <v>-2.16283881586122</v>
      </c>
      <c r="H2198" s="16" t="n">
        <v>0.620184050588248</v>
      </c>
    </row>
    <row r="2199">
      <c r="A2199" t="s">
        <v>30</v>
      </c>
      <c r="B2199" t="s">
        <v>898</v>
      </c>
      <c r="C2199" t="s">
        <v>899</v>
      </c>
      <c r="D2199" t="s">
        <v>1461</v>
      </c>
      <c r="E2199" s="14" t="n">
        <v>0.5</v>
      </c>
      <c r="F2199" s="17" t="n">
        <v>156</v>
      </c>
      <c r="G2199" s="15" t="n">
        <v>0.334565303179429</v>
      </c>
      <c r="H2199" s="16" t="n">
        <v>-0.371572412738697</v>
      </c>
    </row>
    <row r="2200">
      <c r="A2200" t="s">
        <v>30</v>
      </c>
      <c r="B2200" t="s">
        <v>898</v>
      </c>
      <c r="C2200" t="s">
        <v>900</v>
      </c>
      <c r="D2200" t="s">
        <v>1461</v>
      </c>
      <c r="E2200" s="14" t="n">
        <v>0.5</v>
      </c>
      <c r="F2200" s="17" t="n">
        <v>11</v>
      </c>
      <c r="G2200" s="15" t="n">
        <v>0.463591927283394</v>
      </c>
      <c r="H2200" s="16" t="n">
        <v>0.187303296707956</v>
      </c>
    </row>
    <row r="2201">
      <c r="A2201" t="s">
        <v>31</v>
      </c>
      <c r="B2201" t="s">
        <v>1430</v>
      </c>
      <c r="C2201" t="s">
        <v>1431</v>
      </c>
      <c r="D2201" t="s">
        <v>1461</v>
      </c>
      <c r="E2201" s="14" t="n">
        <v>0.75</v>
      </c>
      <c r="F2201" s="17" t="n">
        <v>157</v>
      </c>
      <c r="G2201" s="15" t="n">
        <v>0.520993777844248</v>
      </c>
      <c r="H2201" s="16" t="n">
        <v>-0.539504850253988</v>
      </c>
    </row>
    <row r="2202">
      <c r="A2202" t="s">
        <v>31</v>
      </c>
      <c r="B2202" t="s">
        <v>1430</v>
      </c>
      <c r="C2202" t="s">
        <v>1432</v>
      </c>
      <c r="D2202" t="s">
        <v>1461</v>
      </c>
      <c r="E2202" s="14" t="n">
        <v>0.5</v>
      </c>
      <c r="F2202" s="17" t="n">
        <v>20</v>
      </c>
      <c r="G2202" s="15" t="n">
        <v>0.383022221559489</v>
      </c>
      <c r="H2202" s="16" t="n">
        <v>0.32139380484327</v>
      </c>
    </row>
    <row r="2203">
      <c r="A2203" t="s">
        <v>32</v>
      </c>
      <c r="B2203" t="s">
        <v>901</v>
      </c>
      <c r="C2203" t="s">
        <v>902</v>
      </c>
      <c r="D2203" t="s">
        <v>1461</v>
      </c>
      <c r="E2203" s="14" t="n">
        <v>1.25</v>
      </c>
      <c r="F2203" s="17" t="n">
        <v>42</v>
      </c>
      <c r="G2203" s="15" t="n">
        <v>0.130660579084567</v>
      </c>
      <c r="H2203" s="16" t="n">
        <v>1.24315236921034</v>
      </c>
    </row>
    <row r="2204">
      <c r="A2204" t="s">
        <v>31</v>
      </c>
      <c r="B2204" t="s">
        <v>903</v>
      </c>
      <c r="C2204" t="s">
        <v>904</v>
      </c>
      <c r="D2204" t="s">
        <v>1461</v>
      </c>
      <c r="E2204" s="14" t="n">
        <v>0.75</v>
      </c>
      <c r="F2204" s="17" t="n">
        <v>170</v>
      </c>
      <c r="G2204" s="15" t="n">
        <v>0.704769465589431</v>
      </c>
      <c r="H2204" s="16" t="n">
        <v>-0.256515107494252</v>
      </c>
    </row>
    <row r="2205">
      <c r="A2205" t="s">
        <v>31</v>
      </c>
      <c r="B2205" t="s">
        <v>903</v>
      </c>
      <c r="C2205" t="s">
        <v>905</v>
      </c>
      <c r="D2205" t="s">
        <v>1461</v>
      </c>
      <c r="E2205" s="14" t="n">
        <v>0.75</v>
      </c>
      <c r="F2205" s="17" t="n">
        <v>6</v>
      </c>
      <c r="G2205" s="15" t="n">
        <v>0.733610700550354</v>
      </c>
      <c r="H2205" s="16" t="n">
        <v>0.155933768113319</v>
      </c>
    </row>
    <row r="2206">
      <c r="A2206" t="s">
        <v>32</v>
      </c>
      <c r="B2206" t="s">
        <v>906</v>
      </c>
      <c r="C2206" t="s">
        <v>907</v>
      </c>
      <c r="D2206" t="s">
        <v>1461</v>
      </c>
      <c r="E2206" s="14" t="n">
        <v>0.5</v>
      </c>
      <c r="F2206" s="17" t="n">
        <v>45</v>
      </c>
      <c r="G2206" s="15" t="n">
        <v>0</v>
      </c>
      <c r="H2206" s="16" t="n">
        <v>0.5</v>
      </c>
    </row>
    <row r="2207">
      <c r="A2207" t="s">
        <v>32</v>
      </c>
      <c r="B2207" t="s">
        <v>906</v>
      </c>
      <c r="C2207" t="s">
        <v>908</v>
      </c>
      <c r="D2207" t="s">
        <v>1461</v>
      </c>
      <c r="E2207" s="14" t="n">
        <v>0.5</v>
      </c>
      <c r="F2207" s="17" t="n">
        <v>139</v>
      </c>
      <c r="G2207" s="15" t="n">
        <v>0.0695865504800327</v>
      </c>
      <c r="H2207" s="16" t="n">
        <v>-0.495134034370785</v>
      </c>
    </row>
    <row r="2208">
      <c r="A2208" t="s">
        <v>30</v>
      </c>
      <c r="B2208" t="s">
        <v>909</v>
      </c>
      <c r="C2208" t="s">
        <v>910</v>
      </c>
      <c r="D2208" t="s">
        <v>1461</v>
      </c>
      <c r="E2208" s="14" t="n">
        <v>0.5</v>
      </c>
      <c r="F2208" s="17" t="n">
        <v>41</v>
      </c>
      <c r="G2208" s="15" t="n">
        <v>0.0695865504800327</v>
      </c>
      <c r="H2208" s="16" t="n">
        <v>0.495134034370785</v>
      </c>
    </row>
    <row r="2209">
      <c r="A2209" t="s">
        <v>32</v>
      </c>
      <c r="B2209" t="s">
        <v>911</v>
      </c>
      <c r="C2209" t="s">
        <v>912</v>
      </c>
      <c r="D2209" t="s">
        <v>1461</v>
      </c>
      <c r="E2209" s="14" t="n">
        <v>0.25</v>
      </c>
      <c r="F2209" s="17" t="n">
        <v>176</v>
      </c>
      <c r="G2209" s="15" t="n">
        <v>0.247567017185393</v>
      </c>
      <c r="H2209" s="16" t="n">
        <v>-0.0347932752400164</v>
      </c>
    </row>
    <row r="2210">
      <c r="A2210" t="s">
        <v>30</v>
      </c>
      <c r="B2210" t="s">
        <v>913</v>
      </c>
      <c r="C2210" t="s">
        <v>914</v>
      </c>
      <c r="D2210" t="s">
        <v>1461</v>
      </c>
      <c r="E2210" s="14" t="n">
        <v>0.75</v>
      </c>
      <c r="F2210" s="17" t="n">
        <v>100</v>
      </c>
      <c r="G2210" s="15" t="n">
        <v>-0.704769465589431</v>
      </c>
      <c r="H2210" s="16" t="n">
        <v>-0.256515107494252</v>
      </c>
    </row>
    <row r="2211">
      <c r="A2211" t="s">
        <v>30</v>
      </c>
      <c r="B2211" t="s">
        <v>913</v>
      </c>
      <c r="C2211" t="s">
        <v>915</v>
      </c>
      <c r="D2211" t="s">
        <v>1461</v>
      </c>
      <c r="E2211" s="14" t="n">
        <v>0.5</v>
      </c>
      <c r="F2211" s="17" t="n">
        <v>96</v>
      </c>
      <c r="G2211" s="15" t="n">
        <v>-0.489073800366903</v>
      </c>
      <c r="H2211" s="16" t="n">
        <v>-0.10395584540888</v>
      </c>
    </row>
    <row r="2212">
      <c r="A2212" t="s">
        <v>30</v>
      </c>
      <c r="B2212" t="s">
        <v>916</v>
      </c>
      <c r="C2212" t="s">
        <v>917</v>
      </c>
      <c r="D2212" t="s">
        <v>1461</v>
      </c>
      <c r="E2212" s="14" t="n">
        <v>0.75</v>
      </c>
      <c r="F2212" s="17" t="n">
        <v>31</v>
      </c>
      <c r="G2212" s="15" t="n">
        <v>0.352103672089418</v>
      </c>
      <c r="H2212" s="16" t="n">
        <v>0.662210694644195</v>
      </c>
    </row>
    <row r="2213">
      <c r="A2213" t="s">
        <v>30</v>
      </c>
      <c r="B2213" t="s">
        <v>916</v>
      </c>
      <c r="C2213" t="s">
        <v>918</v>
      </c>
      <c r="D2213" t="s">
        <v>1461</v>
      </c>
      <c r="E2213" s="14" t="n">
        <v>0.25</v>
      </c>
      <c r="F2213" s="17" t="n">
        <v>156</v>
      </c>
      <c r="G2213" s="15" t="n">
        <v>0.167282651589715</v>
      </c>
      <c r="H2213" s="16" t="n">
        <v>-0.185786206369349</v>
      </c>
    </row>
    <row r="2214">
      <c r="A2214" t="s">
        <v>30</v>
      </c>
      <c r="B2214" t="s">
        <v>919</v>
      </c>
      <c r="C2214" t="s">
        <v>920</v>
      </c>
      <c r="D2214" t="s">
        <v>1461</v>
      </c>
      <c r="E2214" s="14" t="n">
        <v>2</v>
      </c>
      <c r="F2214" s="17" t="n">
        <v>23</v>
      </c>
      <c r="G2214" s="15" t="n">
        <v>1.38931674091799</v>
      </c>
      <c r="H2214" s="16" t="n">
        <v>1.4386796006773</v>
      </c>
    </row>
    <row r="2215">
      <c r="A2215" t="s">
        <v>30</v>
      </c>
      <c r="B2215" t="s">
        <v>921</v>
      </c>
      <c r="C2215" t="s">
        <v>922</v>
      </c>
      <c r="D2215" t="s">
        <v>1461</v>
      </c>
      <c r="E2215" s="14" t="n">
        <v>0.5</v>
      </c>
      <c r="F2215" s="17" t="n">
        <v>140</v>
      </c>
      <c r="G2215" s="15" t="n">
        <v>0.086824088833465</v>
      </c>
      <c r="H2215" s="16" t="n">
        <v>-0.492403876506104</v>
      </c>
    </row>
    <row r="2216">
      <c r="A2216" t="s">
        <v>30</v>
      </c>
      <c r="B2216" t="s">
        <v>921</v>
      </c>
      <c r="C2216" t="s">
        <v>923</v>
      </c>
      <c r="D2216" t="s">
        <v>1461</v>
      </c>
      <c r="E2216" s="14" t="n">
        <v>0.25</v>
      </c>
      <c r="F2216" s="17" t="n">
        <v>42</v>
      </c>
      <c r="G2216" s="15" t="n">
        <v>0.0261321158169134</v>
      </c>
      <c r="H2216" s="16" t="n">
        <v>0.248630473842068</v>
      </c>
    </row>
    <row r="2217">
      <c r="A2217" t="s">
        <v>30</v>
      </c>
      <c r="B2217" t="s">
        <v>924</v>
      </c>
      <c r="C2217" t="s">
        <v>925</v>
      </c>
      <c r="D2217" t="s">
        <v>1461</v>
      </c>
      <c r="E2217" s="14" t="n">
        <v>0.75</v>
      </c>
      <c r="F2217" s="17" t="n">
        <v>4</v>
      </c>
      <c r="G2217" s="15" t="n">
        <v>0.742701051556178</v>
      </c>
      <c r="H2217" s="16" t="n">
        <v>0.104379825720049</v>
      </c>
    </row>
    <row r="2218">
      <c r="A2218" t="s">
        <v>30</v>
      </c>
      <c r="B2218" t="s">
        <v>924</v>
      </c>
      <c r="C2218" t="s">
        <v>926</v>
      </c>
      <c r="D2218" t="s">
        <v>1461</v>
      </c>
      <c r="E2218" s="14" t="n">
        <v>1.25</v>
      </c>
      <c r="F2218" s="17" t="n">
        <v>2</v>
      </c>
      <c r="G2218" s="15" t="n">
        <v>1.24695506282478</v>
      </c>
      <c r="H2218" s="16" t="n">
        <v>0.0871955921801566</v>
      </c>
    </row>
    <row r="2219">
      <c r="A2219" t="s">
        <v>30</v>
      </c>
      <c r="B2219" t="s">
        <v>927</v>
      </c>
      <c r="C2219" t="s">
        <v>928</v>
      </c>
      <c r="D2219" t="s">
        <v>1461</v>
      </c>
      <c r="E2219" s="14" t="n">
        <v>0.5</v>
      </c>
      <c r="F2219" s="17" t="n">
        <v>107</v>
      </c>
      <c r="G2219" s="15" t="n">
        <v>-0.414518786277521</v>
      </c>
      <c r="H2219" s="16" t="n">
        <v>-0.279596451735373</v>
      </c>
    </row>
    <row r="2220">
      <c r="A2220" t="s">
        <v>30</v>
      </c>
      <c r="B2220" t="s">
        <v>929</v>
      </c>
      <c r="C2220" t="s">
        <v>930</v>
      </c>
      <c r="D2220" t="s">
        <v>1461</v>
      </c>
      <c r="E2220" s="14" t="n">
        <v>0.25</v>
      </c>
      <c r="F2220" s="17" t="n">
        <v>170</v>
      </c>
      <c r="G2220" s="15" t="n">
        <v>0.234923155196477</v>
      </c>
      <c r="H2220" s="16" t="n">
        <v>-0.0855050358314172</v>
      </c>
    </row>
    <row r="2221">
      <c r="A2221" t="s">
        <v>30</v>
      </c>
      <c r="B2221" t="s">
        <v>929</v>
      </c>
      <c r="C2221" t="s">
        <v>931</v>
      </c>
      <c r="D2221" t="s">
        <v>1461</v>
      </c>
      <c r="E2221" s="14" t="n">
        <v>0.25</v>
      </c>
      <c r="F2221" s="17" t="n">
        <v>179</v>
      </c>
      <c r="G2221" s="15" t="n">
        <v>0.249847706754774</v>
      </c>
      <c r="H2221" s="16" t="n">
        <v>-0.00872487417562521</v>
      </c>
    </row>
    <row r="2222">
      <c r="A2222" t="s">
        <v>30</v>
      </c>
      <c r="B2222" t="s">
        <v>932</v>
      </c>
      <c r="C2222" t="s">
        <v>933</v>
      </c>
      <c r="D2222" t="s">
        <v>1461</v>
      </c>
      <c r="E2222" s="14" t="n">
        <v>1.25</v>
      </c>
      <c r="F2222" s="17" t="n">
        <v>156</v>
      </c>
      <c r="G2222" s="15" t="n">
        <v>0.836413257948573</v>
      </c>
      <c r="H2222" s="16" t="n">
        <v>-0.928931031846743</v>
      </c>
    </row>
    <row r="2223">
      <c r="A2223" t="s">
        <v>30</v>
      </c>
      <c r="B2223" t="s">
        <v>932</v>
      </c>
      <c r="C2223" t="s">
        <v>934</v>
      </c>
      <c r="D2223" t="s">
        <v>1461</v>
      </c>
      <c r="E2223" s="14" t="n">
        <v>2</v>
      </c>
      <c r="F2223" s="17" t="n">
        <v>36</v>
      </c>
      <c r="G2223" s="15" t="n">
        <v>0.618033988749895</v>
      </c>
      <c r="H2223" s="16" t="n">
        <v>1.90211303259031</v>
      </c>
    </row>
    <row r="2224">
      <c r="A2224" t="s">
        <v>31</v>
      </c>
      <c r="B2224" t="s">
        <v>935</v>
      </c>
      <c r="C2224" t="s">
        <v>936</v>
      </c>
      <c r="D2224" t="s">
        <v>1461</v>
      </c>
      <c r="E2224" s="14" t="n">
        <v>0.5</v>
      </c>
      <c r="F2224" s="17" t="n">
        <v>8</v>
      </c>
      <c r="G2224" s="15" t="n">
        <v>0.480630847969159</v>
      </c>
      <c r="H2224" s="16" t="n">
        <v>0.1378186779085</v>
      </c>
    </row>
    <row r="2225">
      <c r="A2225" t="s">
        <v>31</v>
      </c>
      <c r="B2225" t="s">
        <v>937</v>
      </c>
      <c r="C2225" t="s">
        <v>938</v>
      </c>
      <c r="D2225" t="s">
        <v>1461</v>
      </c>
      <c r="E2225" s="14" t="n">
        <v>0.25</v>
      </c>
      <c r="F2225" s="17" t="n">
        <v>175</v>
      </c>
      <c r="G2225" s="15" t="n">
        <v>0.246201938253052</v>
      </c>
      <c r="H2225" s="16" t="n">
        <v>-0.0434120444167326</v>
      </c>
    </row>
    <row r="2226">
      <c r="A2226" t="s">
        <v>31</v>
      </c>
      <c r="B2226" t="s">
        <v>939</v>
      </c>
      <c r="C2226" t="s">
        <v>940</v>
      </c>
      <c r="D2226" t="s">
        <v>1461</v>
      </c>
      <c r="E2226" s="14" t="n">
        <v>1.25</v>
      </c>
      <c r="F2226" s="17" t="n">
        <v>6</v>
      </c>
      <c r="G2226" s="15" t="n">
        <v>1.22268450091726</v>
      </c>
      <c r="H2226" s="16" t="n">
        <v>0.259889613522199</v>
      </c>
    </row>
    <row r="2227">
      <c r="A2227" t="s">
        <v>30</v>
      </c>
      <c r="B2227" t="s">
        <v>941</v>
      </c>
      <c r="C2227" t="s">
        <v>942</v>
      </c>
      <c r="D2227" t="s">
        <v>1461</v>
      </c>
      <c r="E2227" s="14" t="n">
        <v>0.75</v>
      </c>
      <c r="F2227" s="17" t="n">
        <v>35</v>
      </c>
      <c r="G2227" s="15" t="n">
        <v>0.256515107494252</v>
      </c>
      <c r="H2227" s="16" t="n">
        <v>0.704769465589431</v>
      </c>
    </row>
    <row r="2228">
      <c r="A2228" t="s">
        <v>30</v>
      </c>
      <c r="B2228" t="s">
        <v>941</v>
      </c>
      <c r="C2228" t="s">
        <v>943</v>
      </c>
      <c r="D2228" t="s">
        <v>1461</v>
      </c>
      <c r="E2228" s="14" t="n">
        <v>0.5</v>
      </c>
      <c r="F2228" s="17" t="n">
        <v>143</v>
      </c>
      <c r="G2228" s="15" t="n">
        <v>0.137818677908499</v>
      </c>
      <c r="H2228" s="16" t="n">
        <v>-0.480630847969159</v>
      </c>
    </row>
    <row r="2229">
      <c r="A2229" t="s">
        <v>30</v>
      </c>
      <c r="B2229" t="s">
        <v>944</v>
      </c>
      <c r="C2229" t="s">
        <v>945</v>
      </c>
      <c r="D2229" t="s">
        <v>1461</v>
      </c>
      <c r="E2229" s="14" t="n">
        <v>0.5</v>
      </c>
      <c r="F2229" s="17" t="n">
        <v>68</v>
      </c>
      <c r="G2229" s="15" t="n">
        <v>-0.359669900169325</v>
      </c>
      <c r="H2229" s="16" t="n">
        <v>0.347329185229499</v>
      </c>
    </row>
    <row r="2230">
      <c r="A2230" t="s">
        <v>31</v>
      </c>
      <c r="B2230" t="s">
        <v>946</v>
      </c>
      <c r="C2230" t="s">
        <v>947</v>
      </c>
      <c r="D2230" t="s">
        <v>1461</v>
      </c>
      <c r="E2230" s="14" t="n">
        <v>1.25</v>
      </c>
      <c r="F2230" s="17" t="n">
        <v>78</v>
      </c>
      <c r="G2230" s="15" t="n">
        <v>-1.14193182205325</v>
      </c>
      <c r="H2230" s="16" t="n">
        <v>0.50842080384475</v>
      </c>
    </row>
    <row r="2231">
      <c r="A2231" t="s">
        <v>31</v>
      </c>
      <c r="B2231" t="s">
        <v>946</v>
      </c>
      <c r="C2231" t="s">
        <v>948</v>
      </c>
      <c r="D2231" t="s">
        <v>1461</v>
      </c>
      <c r="E2231" s="14" t="n">
        <v>0.75</v>
      </c>
      <c r="F2231" s="17" t="n">
        <v>93</v>
      </c>
      <c r="G2231" s="15" t="n">
        <v>-0.745891421526205</v>
      </c>
      <c r="H2231" s="16" t="n">
        <v>-0.0783963474507403</v>
      </c>
    </row>
    <row r="2232">
      <c r="A2232" t="s">
        <v>32</v>
      </c>
      <c r="B2232" t="s">
        <v>949</v>
      </c>
      <c r="C2232" t="s">
        <v>950</v>
      </c>
      <c r="D2232" t="s">
        <v>1461</v>
      </c>
      <c r="E2232" s="14" t="n">
        <v>0.25</v>
      </c>
      <c r="F2232" s="17" t="n">
        <v>129</v>
      </c>
      <c r="G2232" s="15" t="n">
        <v>-0.0519779227044399</v>
      </c>
      <c r="H2232" s="16" t="n">
        <v>-0.244536900183451</v>
      </c>
    </row>
    <row r="2233">
      <c r="A2233" t="s">
        <v>32</v>
      </c>
      <c r="B2233" t="s">
        <v>949</v>
      </c>
      <c r="C2233" t="s">
        <v>951</v>
      </c>
      <c r="D2233" t="s">
        <v>1461</v>
      </c>
      <c r="E2233" s="14" t="n">
        <v>0.75</v>
      </c>
      <c r="F2233" s="17" t="n">
        <v>49</v>
      </c>
      <c r="G2233" s="15" t="n">
        <v>-0.104379825720049</v>
      </c>
      <c r="H2233" s="16" t="n">
        <v>0.742701051556178</v>
      </c>
    </row>
    <row r="2234">
      <c r="A2234" t="s">
        <v>32</v>
      </c>
      <c r="B2234" t="s">
        <v>952</v>
      </c>
      <c r="C2234" t="s">
        <v>953</v>
      </c>
      <c r="D2234" t="s">
        <v>1461</v>
      </c>
      <c r="E2234" s="14" t="n">
        <v>1</v>
      </c>
      <c r="F2234" s="17" t="n">
        <v>9</v>
      </c>
      <c r="G2234" s="15" t="n">
        <v>0.951056516295154</v>
      </c>
      <c r="H2234" s="16" t="n">
        <v>0.309016994374947</v>
      </c>
    </row>
    <row r="2235">
      <c r="A2235" t="s">
        <v>32</v>
      </c>
      <c r="B2235" t="s">
        <v>952</v>
      </c>
      <c r="C2235" t="s">
        <v>954</v>
      </c>
      <c r="D2235" t="s">
        <v>1461</v>
      </c>
      <c r="E2235" s="14" t="n">
        <v>1</v>
      </c>
      <c r="F2235" s="17" t="n">
        <v>176</v>
      </c>
      <c r="G2235" s="15" t="n">
        <v>0.99026806874157</v>
      </c>
      <c r="H2235" s="16" t="n">
        <v>-0.139173100960066</v>
      </c>
    </row>
    <row r="2236">
      <c r="A2236" t="s">
        <v>31</v>
      </c>
      <c r="B2236" t="s">
        <v>1433</v>
      </c>
      <c r="C2236" t="s">
        <v>1434</v>
      </c>
      <c r="D2236" t="s">
        <v>1461</v>
      </c>
      <c r="E2236" s="14" t="n">
        <v>0.5</v>
      </c>
      <c r="F2236" s="17" t="n">
        <v>170</v>
      </c>
      <c r="G2236" s="15" t="n">
        <v>0.469846310392954</v>
      </c>
      <c r="H2236" s="16" t="n">
        <v>-0.171010071662834</v>
      </c>
    </row>
    <row r="2237">
      <c r="A2237" t="s">
        <v>31</v>
      </c>
      <c r="B2237" t="s">
        <v>1433</v>
      </c>
      <c r="C2237" t="s">
        <v>1435</v>
      </c>
      <c r="D2237" t="s">
        <v>1461</v>
      </c>
      <c r="E2237" s="14" t="n">
        <v>0.25</v>
      </c>
      <c r="F2237" s="17" t="n">
        <v>14</v>
      </c>
      <c r="G2237" s="15" t="n">
        <v>0.220736898214732</v>
      </c>
      <c r="H2237" s="16" t="n">
        <v>0.117367890696473</v>
      </c>
    </row>
    <row r="2238">
      <c r="A2238" t="s">
        <v>30</v>
      </c>
      <c r="B2238" t="s">
        <v>1436</v>
      </c>
      <c r="C2238" t="s">
        <v>1437</v>
      </c>
      <c r="D2238" t="s">
        <v>1461</v>
      </c>
      <c r="E2238" s="14" t="n">
        <v>1.25</v>
      </c>
      <c r="F2238" s="17" t="n">
        <v>118</v>
      </c>
      <c r="G2238" s="15" t="n">
        <v>-0.698991129338434</v>
      </c>
      <c r="H2238" s="16" t="n">
        <v>-1.0362969656938</v>
      </c>
    </row>
    <row r="2239">
      <c r="A2239" t="s">
        <v>30</v>
      </c>
      <c r="B2239" t="s">
        <v>1436</v>
      </c>
      <c r="C2239" t="s">
        <v>1438</v>
      </c>
      <c r="D2239" t="s">
        <v>1461</v>
      </c>
      <c r="E2239" s="14" t="n">
        <v>0.75</v>
      </c>
      <c r="F2239" s="17" t="n">
        <v>45</v>
      </c>
      <c r="G2239" s="15" t="n">
        <v>0</v>
      </c>
      <c r="H2239" s="16" t="n">
        <v>0.75</v>
      </c>
    </row>
    <row r="2240">
      <c r="A2240" t="s">
        <v>32</v>
      </c>
      <c r="B2240" t="s">
        <v>955</v>
      </c>
      <c r="C2240" t="s">
        <v>956</v>
      </c>
      <c r="D2240" t="s">
        <v>1461</v>
      </c>
      <c r="E2240" s="14" t="n">
        <v>0.5</v>
      </c>
      <c r="F2240" s="17" t="n">
        <v>36</v>
      </c>
      <c r="G2240" s="15" t="n">
        <v>0.154508497187474</v>
      </c>
      <c r="H2240" s="16" t="n">
        <v>0.475528258147577</v>
      </c>
    </row>
    <row r="2241">
      <c r="A2241" t="s">
        <v>32</v>
      </c>
      <c r="B2241" t="s">
        <v>955</v>
      </c>
      <c r="C2241" t="s">
        <v>957</v>
      </c>
      <c r="D2241" t="s">
        <v>1461</v>
      </c>
      <c r="E2241" s="14" t="n">
        <v>0.5</v>
      </c>
      <c r="F2241" s="17" t="n">
        <v>156</v>
      </c>
      <c r="G2241" s="15" t="n">
        <v>0.334565303179429</v>
      </c>
      <c r="H2241" s="16" t="n">
        <v>-0.371572412738697</v>
      </c>
    </row>
    <row r="2242">
      <c r="A2242" t="s">
        <v>30</v>
      </c>
      <c r="B2242" t="s">
        <v>958</v>
      </c>
      <c r="C2242" t="s">
        <v>959</v>
      </c>
      <c r="D2242" t="s">
        <v>1461</v>
      </c>
      <c r="E2242" s="14" t="n">
        <v>1.25</v>
      </c>
      <c r="F2242" s="17" t="n">
        <v>79</v>
      </c>
      <c r="G2242" s="15" t="n">
        <v>-1.15897981820848</v>
      </c>
      <c r="H2242" s="16" t="n">
        <v>0.46825824176989</v>
      </c>
    </row>
    <row r="2243">
      <c r="A2243" t="s">
        <v>30</v>
      </c>
      <c r="B2243" t="s">
        <v>960</v>
      </c>
      <c r="C2243" t="s">
        <v>961</v>
      </c>
      <c r="D2243" t="s">
        <v>1461</v>
      </c>
      <c r="E2243" s="14" t="n">
        <v>0.75</v>
      </c>
      <c r="F2243" s="17" t="n">
        <v>81</v>
      </c>
      <c r="G2243" s="15" t="n">
        <v>-0.713292387221365</v>
      </c>
      <c r="H2243" s="16" t="n">
        <v>0.231762745781211</v>
      </c>
    </row>
    <row r="2244">
      <c r="A2244" t="s">
        <v>30</v>
      </c>
      <c r="B2244" t="s">
        <v>960</v>
      </c>
      <c r="C2244" t="s">
        <v>962</v>
      </c>
      <c r="D2244" t="s">
        <v>1461</v>
      </c>
      <c r="E2244" s="14" t="n">
        <v>0.75</v>
      </c>
      <c r="F2244" s="17" t="n">
        <v>93</v>
      </c>
      <c r="G2244" s="15" t="n">
        <v>-0.745891421526205</v>
      </c>
      <c r="H2244" s="16" t="n">
        <v>-0.0783963474507403</v>
      </c>
    </row>
    <row r="2245">
      <c r="A2245" t="s">
        <v>31</v>
      </c>
      <c r="B2245" t="s">
        <v>963</v>
      </c>
      <c r="C2245" t="s">
        <v>964</v>
      </c>
      <c r="D2245" t="s">
        <v>1461</v>
      </c>
      <c r="E2245" s="14" t="n">
        <v>1.25</v>
      </c>
      <c r="F2245" s="17" t="n">
        <v>98</v>
      </c>
      <c r="G2245" s="15" t="n">
        <v>-1.2015771199229</v>
      </c>
      <c r="H2245" s="16" t="n">
        <v>-0.344546694771249</v>
      </c>
    </row>
    <row r="2246">
      <c r="A2246" t="s">
        <v>31</v>
      </c>
      <c r="B2246" t="s">
        <v>963</v>
      </c>
      <c r="C2246" t="s">
        <v>965</v>
      </c>
      <c r="D2246" t="s">
        <v>1461</v>
      </c>
      <c r="E2246" s="14" t="n">
        <v>0.5</v>
      </c>
      <c r="F2246" s="17" t="n">
        <v>81</v>
      </c>
      <c r="G2246" s="15" t="n">
        <v>-0.475528258147577</v>
      </c>
      <c r="H2246" s="16" t="n">
        <v>0.154508497187474</v>
      </c>
    </row>
    <row r="2247">
      <c r="A2247" t="s">
        <v>31</v>
      </c>
      <c r="B2247" t="s">
        <v>966</v>
      </c>
      <c r="C2247" t="s">
        <v>967</v>
      </c>
      <c r="D2247" t="s">
        <v>1461</v>
      </c>
      <c r="E2247" s="14" t="n">
        <v>0.5</v>
      </c>
      <c r="F2247" s="17" t="n">
        <v>160</v>
      </c>
      <c r="G2247" s="15" t="n">
        <v>0.383022221559489</v>
      </c>
      <c r="H2247" s="16" t="n">
        <v>-0.32139380484327</v>
      </c>
    </row>
    <row r="2248">
      <c r="A2248" t="s">
        <v>31</v>
      </c>
      <c r="B2248" t="s">
        <v>966</v>
      </c>
      <c r="C2248" t="s">
        <v>968</v>
      </c>
      <c r="D2248" t="s">
        <v>1461</v>
      </c>
      <c r="E2248" s="14" t="n">
        <v>1</v>
      </c>
      <c r="F2248" s="17" t="n">
        <v>25</v>
      </c>
      <c r="G2248" s="15" t="n">
        <v>0.642787609686539</v>
      </c>
      <c r="H2248" s="16" t="n">
        <v>0.766044443118978</v>
      </c>
    </row>
    <row r="2249">
      <c r="A2249" t="s">
        <v>32</v>
      </c>
      <c r="B2249" t="s">
        <v>969</v>
      </c>
      <c r="C2249" t="s">
        <v>970</v>
      </c>
      <c r="D2249" t="s">
        <v>1461</v>
      </c>
      <c r="E2249" s="14" t="n">
        <v>0.5</v>
      </c>
      <c r="F2249" s="17" t="n">
        <v>171</v>
      </c>
      <c r="G2249" s="15" t="n">
        <v>0.475528258147577</v>
      </c>
      <c r="H2249" s="16" t="n">
        <v>-0.154508497187474</v>
      </c>
    </row>
    <row r="2250">
      <c r="A2250" t="s">
        <v>30</v>
      </c>
      <c r="B2250" t="s">
        <v>971</v>
      </c>
      <c r="C2250" t="s">
        <v>972</v>
      </c>
      <c r="D2250" t="s">
        <v>1461</v>
      </c>
      <c r="E2250" s="14" t="n">
        <v>0.25</v>
      </c>
      <c r="F2250" s="17" t="n">
        <v>13</v>
      </c>
      <c r="G2250" s="15" t="n">
        <v>0.224698511574792</v>
      </c>
      <c r="H2250" s="16" t="n">
        <v>0.109592786697269</v>
      </c>
    </row>
    <row r="2251">
      <c r="A2251" t="s">
        <v>30</v>
      </c>
      <c r="B2251" t="s">
        <v>971</v>
      </c>
      <c r="C2251" t="s">
        <v>973</v>
      </c>
      <c r="D2251" t="s">
        <v>1461</v>
      </c>
      <c r="E2251" s="14" t="n">
        <v>1</v>
      </c>
      <c r="F2251" s="17" t="n">
        <v>0</v>
      </c>
      <c r="G2251" s="15" t="n">
        <v>1</v>
      </c>
      <c r="H2251" s="16" t="n">
        <v>0</v>
      </c>
    </row>
    <row r="2252">
      <c r="A2252" t="s">
        <v>30</v>
      </c>
      <c r="B2252" t="s">
        <v>974</v>
      </c>
      <c r="C2252" t="s">
        <v>975</v>
      </c>
      <c r="D2252" t="s">
        <v>1461</v>
      </c>
      <c r="E2252" s="14" t="n">
        <v>1</v>
      </c>
      <c r="F2252" s="17" t="n">
        <v>4</v>
      </c>
      <c r="G2252" s="15" t="n">
        <v>0.99026806874157</v>
      </c>
      <c r="H2252" s="16" t="n">
        <v>0.139173100960065</v>
      </c>
    </row>
    <row r="2253">
      <c r="A2253" t="s">
        <v>31</v>
      </c>
      <c r="B2253" t="s">
        <v>976</v>
      </c>
      <c r="C2253" t="s">
        <v>977</v>
      </c>
      <c r="D2253" t="s">
        <v>1461</v>
      </c>
      <c r="E2253" s="14" t="n">
        <v>0.75</v>
      </c>
      <c r="F2253" s="17" t="n">
        <v>125</v>
      </c>
      <c r="G2253" s="15" t="n">
        <v>-0.256515107494252</v>
      </c>
      <c r="H2253" s="16" t="n">
        <v>-0.704769465589431</v>
      </c>
    </row>
    <row r="2254">
      <c r="A2254" t="s">
        <v>31</v>
      </c>
      <c r="B2254" t="s">
        <v>976</v>
      </c>
      <c r="C2254" t="s">
        <v>978</v>
      </c>
      <c r="D2254" t="s">
        <v>1461</v>
      </c>
      <c r="E2254" s="14" t="n">
        <v>0.5</v>
      </c>
      <c r="F2254" s="17" t="n">
        <v>69</v>
      </c>
      <c r="G2254" s="15" t="n">
        <v>-0.371572412738697</v>
      </c>
      <c r="H2254" s="16" t="n">
        <v>0.334565303179429</v>
      </c>
    </row>
    <row r="2255">
      <c r="A2255" t="s">
        <v>32</v>
      </c>
      <c r="B2255" t="s">
        <v>979</v>
      </c>
      <c r="C2255" t="s">
        <v>980</v>
      </c>
      <c r="D2255" t="s">
        <v>1461</v>
      </c>
      <c r="E2255" s="14" t="n">
        <v>0.25</v>
      </c>
      <c r="F2255" s="17" t="n">
        <v>177</v>
      </c>
      <c r="G2255" s="15" t="n">
        <v>0.248630473842068</v>
      </c>
      <c r="H2255" s="16" t="n">
        <v>-0.0261321158169134</v>
      </c>
    </row>
    <row r="2256">
      <c r="A2256" t="s">
        <v>32</v>
      </c>
      <c r="B2256" t="s">
        <v>979</v>
      </c>
      <c r="C2256" t="s">
        <v>981</v>
      </c>
      <c r="D2256" t="s">
        <v>1461</v>
      </c>
      <c r="E2256" s="14" t="n">
        <v>0</v>
      </c>
      <c r="F2256" s="17" t="n">
        <v>10</v>
      </c>
      <c r="G2256" s="15" t="n">
        <v>0</v>
      </c>
      <c r="H2256" s="16" t="n">
        <v>0</v>
      </c>
    </row>
    <row r="2257">
      <c r="A2257" t="s">
        <v>32</v>
      </c>
      <c r="B2257" t="s">
        <v>982</v>
      </c>
      <c r="C2257" t="s">
        <v>983</v>
      </c>
      <c r="D2257" t="s">
        <v>1461</v>
      </c>
      <c r="E2257" s="14" t="n">
        <v>1.25</v>
      </c>
      <c r="F2257" s="17" t="n">
        <v>91</v>
      </c>
      <c r="G2257" s="15" t="n">
        <v>-1.24923853377387</v>
      </c>
      <c r="H2257" s="16" t="n">
        <v>-0.0436243708781264</v>
      </c>
    </row>
    <row r="2258">
      <c r="A2258" t="s">
        <v>32</v>
      </c>
      <c r="B2258" t="s">
        <v>982</v>
      </c>
      <c r="C2258" t="s">
        <v>984</v>
      </c>
      <c r="D2258" t="s">
        <v>1461</v>
      </c>
      <c r="E2258" s="14" t="n">
        <v>1.25</v>
      </c>
      <c r="F2258" s="17" t="n">
        <v>86</v>
      </c>
      <c r="G2258" s="15" t="n">
        <v>-1.23783508592696</v>
      </c>
      <c r="H2258" s="16" t="n">
        <v>0.173966376200082</v>
      </c>
    </row>
    <row r="2259">
      <c r="A2259" t="s">
        <v>30</v>
      </c>
      <c r="B2259" t="s">
        <v>985</v>
      </c>
      <c r="C2259" t="s">
        <v>986</v>
      </c>
      <c r="D2259" t="s">
        <v>1461</v>
      </c>
      <c r="E2259" s="14" t="n">
        <v>0.75</v>
      </c>
      <c r="F2259" s="17" t="n">
        <v>8</v>
      </c>
      <c r="G2259" s="15" t="n">
        <v>0.720946271953739</v>
      </c>
      <c r="H2259" s="16" t="n">
        <v>0.206728016862749</v>
      </c>
    </row>
    <row r="2260">
      <c r="A2260" t="s">
        <v>30</v>
      </c>
      <c r="B2260" t="s">
        <v>985</v>
      </c>
      <c r="C2260" t="s">
        <v>987</v>
      </c>
      <c r="D2260" t="s">
        <v>1461</v>
      </c>
      <c r="E2260" s="14" t="n">
        <v>1.75</v>
      </c>
      <c r="F2260" s="17" t="n">
        <v>168</v>
      </c>
      <c r="G2260" s="15" t="n">
        <v>1.59870455087455</v>
      </c>
      <c r="H2260" s="16" t="n">
        <v>-0.71178912538265</v>
      </c>
    </row>
    <row r="2261">
      <c r="A2261" t="s">
        <v>30</v>
      </c>
      <c r="B2261" t="s">
        <v>988</v>
      </c>
      <c r="C2261" t="s">
        <v>989</v>
      </c>
      <c r="D2261" t="s">
        <v>1461</v>
      </c>
      <c r="E2261" s="14" t="n">
        <v>1.25</v>
      </c>
      <c r="F2261" s="17" t="n">
        <v>13</v>
      </c>
      <c r="G2261" s="15" t="n">
        <v>1.12349255787396</v>
      </c>
      <c r="H2261" s="16" t="n">
        <v>0.547963933486347</v>
      </c>
    </row>
    <row r="2262">
      <c r="A2262" t="s">
        <v>32</v>
      </c>
      <c r="B2262" t="s">
        <v>990</v>
      </c>
      <c r="C2262" t="s">
        <v>991</v>
      </c>
      <c r="D2262" t="s">
        <v>1461</v>
      </c>
      <c r="E2262" s="14" t="n">
        <v>0.25</v>
      </c>
      <c r="F2262" s="17" t="n">
        <v>5</v>
      </c>
      <c r="G2262" s="15" t="n">
        <v>0.246201938253052</v>
      </c>
      <c r="H2262" s="16" t="n">
        <v>0.0434120444167326</v>
      </c>
    </row>
    <row r="2263">
      <c r="A2263" t="s">
        <v>32</v>
      </c>
      <c r="B2263" t="s">
        <v>992</v>
      </c>
      <c r="C2263" t="s">
        <v>993</v>
      </c>
      <c r="D2263" t="s">
        <v>1461</v>
      </c>
      <c r="E2263" s="14" t="n">
        <v>0.5</v>
      </c>
      <c r="F2263" s="17" t="n">
        <v>130</v>
      </c>
      <c r="G2263" s="15" t="n">
        <v>-0.0868240888334652</v>
      </c>
      <c r="H2263" s="16" t="n">
        <v>-0.492403876506104</v>
      </c>
    </row>
    <row r="2264">
      <c r="A2264" t="s">
        <v>30</v>
      </c>
      <c r="B2264" t="s">
        <v>994</v>
      </c>
      <c r="C2264" t="s">
        <v>995</v>
      </c>
      <c r="D2264" t="s">
        <v>1461</v>
      </c>
      <c r="E2264" s="14" t="n">
        <v>0.75</v>
      </c>
      <c r="F2264" s="17" t="n">
        <v>2</v>
      </c>
      <c r="G2264" s="15" t="n">
        <v>0.748173037694868</v>
      </c>
      <c r="H2264" s="16" t="n">
        <v>0.052317355308094</v>
      </c>
    </row>
    <row r="2265">
      <c r="A2265" t="s">
        <v>30</v>
      </c>
      <c r="B2265" t="s">
        <v>994</v>
      </c>
      <c r="C2265" t="s">
        <v>996</v>
      </c>
      <c r="D2265" t="s">
        <v>1461</v>
      </c>
      <c r="E2265" s="14" t="n">
        <v>0.75</v>
      </c>
      <c r="F2265" s="17" t="n">
        <v>0</v>
      </c>
      <c r="G2265" s="15" t="n">
        <v>0.75</v>
      </c>
      <c r="H2265" s="16" t="n">
        <v>0</v>
      </c>
    </row>
    <row r="2266">
      <c r="A2266" t="s">
        <v>31</v>
      </c>
      <c r="B2266" t="s">
        <v>997</v>
      </c>
      <c r="C2266" t="s">
        <v>998</v>
      </c>
      <c r="D2266" t="s">
        <v>1461</v>
      </c>
      <c r="E2266" s="14" t="n">
        <v>1.75</v>
      </c>
      <c r="F2266" s="17" t="n">
        <v>6</v>
      </c>
      <c r="G2266" s="15" t="n">
        <v>1.71175830128416</v>
      </c>
      <c r="H2266" s="16" t="n">
        <v>0.363845458931079</v>
      </c>
    </row>
    <row r="2267">
      <c r="A2267" t="s">
        <v>31</v>
      </c>
      <c r="B2267" t="s">
        <v>997</v>
      </c>
      <c r="C2267" t="s">
        <v>999</v>
      </c>
      <c r="D2267" t="s">
        <v>1461</v>
      </c>
      <c r="E2267" s="14" t="n">
        <v>1.25</v>
      </c>
      <c r="F2267" s="17" t="n">
        <v>8</v>
      </c>
      <c r="G2267" s="15" t="n">
        <v>1.2015771199229</v>
      </c>
      <c r="H2267" s="16" t="n">
        <v>0.344546694771249</v>
      </c>
    </row>
    <row r="2268">
      <c r="A2268" t="s">
        <v>31</v>
      </c>
      <c r="B2268" t="s">
        <v>1000</v>
      </c>
      <c r="C2268" t="s">
        <v>1001</v>
      </c>
      <c r="D2268" t="s">
        <v>1461</v>
      </c>
      <c r="E2268" s="14" t="n">
        <v>1</v>
      </c>
      <c r="F2268" s="17" t="n">
        <v>73</v>
      </c>
      <c r="G2268" s="15" t="n">
        <v>-0.829037572555042</v>
      </c>
      <c r="H2268" s="16" t="n">
        <v>0.559192903470747</v>
      </c>
    </row>
    <row r="2269">
      <c r="A2269" t="s">
        <v>31</v>
      </c>
      <c r="B2269" t="s">
        <v>1002</v>
      </c>
      <c r="C2269" t="s">
        <v>1003</v>
      </c>
      <c r="D2269" t="s">
        <v>1461</v>
      </c>
      <c r="E2269" s="14" t="n">
        <v>1.25</v>
      </c>
      <c r="F2269" s="17" t="n">
        <v>168</v>
      </c>
      <c r="G2269" s="15" t="n">
        <v>1.14193182205325</v>
      </c>
      <c r="H2269" s="16" t="n">
        <v>-0.50842080384475</v>
      </c>
    </row>
    <row r="2270">
      <c r="A2270" t="s">
        <v>31</v>
      </c>
      <c r="B2270" t="s">
        <v>1004</v>
      </c>
      <c r="C2270" t="s">
        <v>1005</v>
      </c>
      <c r="D2270" t="s">
        <v>1461</v>
      </c>
      <c r="E2270" s="14" t="n">
        <v>0.75</v>
      </c>
      <c r="F2270" s="17" t="n">
        <v>50</v>
      </c>
      <c r="G2270" s="15" t="n">
        <v>-0.130236133250198</v>
      </c>
      <c r="H2270" s="16" t="n">
        <v>0.738605814759156</v>
      </c>
    </row>
    <row r="2271">
      <c r="A2271" t="s">
        <v>31</v>
      </c>
      <c r="B2271" t="s">
        <v>1004</v>
      </c>
      <c r="C2271" t="s">
        <v>1006</v>
      </c>
      <c r="D2271" t="s">
        <v>1461</v>
      </c>
      <c r="E2271" s="14" t="n">
        <v>1.25</v>
      </c>
      <c r="F2271" s="17" t="n">
        <v>132</v>
      </c>
      <c r="G2271" s="15" t="n">
        <v>-0.130660579084568</v>
      </c>
      <c r="H2271" s="16" t="n">
        <v>-1.24315236921034</v>
      </c>
    </row>
    <row r="2272">
      <c r="A2272" t="s">
        <v>31</v>
      </c>
      <c r="B2272" t="s">
        <v>1007</v>
      </c>
      <c r="C2272" t="s">
        <v>1008</v>
      </c>
      <c r="D2272" t="s">
        <v>1461</v>
      </c>
      <c r="E2272" s="14" t="n">
        <v>1.5</v>
      </c>
      <c r="F2272" s="17" t="n">
        <v>177</v>
      </c>
      <c r="G2272" s="15" t="n">
        <v>1.49178284305241</v>
      </c>
      <c r="H2272" s="16" t="n">
        <v>-0.156792694901481</v>
      </c>
    </row>
    <row r="2273">
      <c r="A2273" t="s">
        <v>31</v>
      </c>
      <c r="B2273" t="s">
        <v>1007</v>
      </c>
      <c r="C2273" t="s">
        <v>1009</v>
      </c>
      <c r="D2273" t="s">
        <v>1461</v>
      </c>
      <c r="E2273" s="14" t="n">
        <v>1.5</v>
      </c>
      <c r="F2273" s="17" t="n">
        <v>153</v>
      </c>
      <c r="G2273" s="15" t="n">
        <v>0.881677878438709</v>
      </c>
      <c r="H2273" s="16" t="n">
        <v>-1.21352549156242</v>
      </c>
    </row>
    <row r="2274">
      <c r="A2274" t="s">
        <v>30</v>
      </c>
      <c r="B2274" t="s">
        <v>1010</v>
      </c>
      <c r="C2274" t="s">
        <v>1011</v>
      </c>
      <c r="D2274" t="s">
        <v>1461</v>
      </c>
      <c r="E2274" s="14" t="n">
        <v>0.5</v>
      </c>
      <c r="F2274" s="17" t="n">
        <v>44</v>
      </c>
      <c r="G2274" s="15" t="n">
        <v>0.0174497483512505</v>
      </c>
      <c r="H2274" s="16" t="n">
        <v>0.499695413509548</v>
      </c>
    </row>
    <row r="2275">
      <c r="A2275" t="s">
        <v>30</v>
      </c>
      <c r="B2275" t="s">
        <v>1010</v>
      </c>
      <c r="C2275" t="s">
        <v>1012</v>
      </c>
      <c r="D2275" t="s">
        <v>1461</v>
      </c>
      <c r="E2275" s="14" t="n">
        <v>0.5</v>
      </c>
      <c r="F2275" s="17" t="n">
        <v>125</v>
      </c>
      <c r="G2275" s="15" t="n">
        <v>-0.171010071662835</v>
      </c>
      <c r="H2275" s="16" t="n">
        <v>-0.469846310392954</v>
      </c>
    </row>
    <row r="2276">
      <c r="A2276" t="s">
        <v>31</v>
      </c>
      <c r="B2276" t="s">
        <v>1013</v>
      </c>
      <c r="C2276" t="s">
        <v>1014</v>
      </c>
      <c r="D2276" t="s">
        <v>1461</v>
      </c>
      <c r="E2276" s="14" t="n">
        <v>0.5</v>
      </c>
      <c r="F2276" s="17" t="n">
        <v>140</v>
      </c>
      <c r="G2276" s="15" t="n">
        <v>0.086824088833465</v>
      </c>
      <c r="H2276" s="16" t="n">
        <v>-0.492403876506104</v>
      </c>
    </row>
    <row r="2277">
      <c r="A2277" t="s">
        <v>31</v>
      </c>
      <c r="B2277" t="s">
        <v>1013</v>
      </c>
      <c r="C2277" t="s">
        <v>1015</v>
      </c>
      <c r="D2277" t="s">
        <v>1461</v>
      </c>
      <c r="E2277" s="14" t="n">
        <v>0.75</v>
      </c>
      <c r="F2277" s="17" t="n">
        <v>41</v>
      </c>
      <c r="G2277" s="15" t="n">
        <v>0.104379825720049</v>
      </c>
      <c r="H2277" s="16" t="n">
        <v>0.742701051556178</v>
      </c>
    </row>
    <row r="2278">
      <c r="A2278" t="s">
        <v>31</v>
      </c>
      <c r="B2278" t="s">
        <v>1016</v>
      </c>
      <c r="C2278" t="s">
        <v>1017</v>
      </c>
      <c r="D2278" t="s">
        <v>1461</v>
      </c>
      <c r="E2278" s="14" t="n">
        <v>1.25</v>
      </c>
      <c r="F2278" s="17" t="n">
        <v>2</v>
      </c>
      <c r="G2278" s="15" t="n">
        <v>1.24695506282478</v>
      </c>
      <c r="H2278" s="16" t="n">
        <v>0.0871955921801566</v>
      </c>
    </row>
    <row r="2279">
      <c r="A2279" t="s">
        <v>31</v>
      </c>
      <c r="B2279" t="s">
        <v>1016</v>
      </c>
      <c r="C2279" t="s">
        <v>1018</v>
      </c>
      <c r="D2279" t="s">
        <v>1461</v>
      </c>
      <c r="E2279" s="14" t="n">
        <v>1.5</v>
      </c>
      <c r="F2279" s="17" t="n">
        <v>165</v>
      </c>
      <c r="G2279" s="15" t="n">
        <v>1.29903810567666</v>
      </c>
      <c r="H2279" s="16" t="n">
        <v>-0.75</v>
      </c>
    </row>
    <row r="2280">
      <c r="A2280" t="s">
        <v>31</v>
      </c>
      <c r="B2280" t="s">
        <v>1019</v>
      </c>
      <c r="C2280" t="s">
        <v>1020</v>
      </c>
      <c r="D2280" t="s">
        <v>1461</v>
      </c>
      <c r="E2280" s="14" t="n">
        <v>0.25</v>
      </c>
      <c r="F2280" s="17" t="n">
        <v>90</v>
      </c>
      <c r="G2280" s="15" t="n">
        <v>-0.25</v>
      </c>
      <c r="H2280" s="16" t="n">
        <v>0</v>
      </c>
    </row>
    <row r="2281">
      <c r="A2281" t="s">
        <v>31</v>
      </c>
      <c r="B2281" t="s">
        <v>1021</v>
      </c>
      <c r="C2281" t="s">
        <v>1022</v>
      </c>
      <c r="D2281" t="s">
        <v>1461</v>
      </c>
      <c r="E2281" s="14" t="n">
        <v>1</v>
      </c>
      <c r="F2281" s="17" t="n">
        <v>82</v>
      </c>
      <c r="G2281" s="15" t="n">
        <v>-0.961261695938319</v>
      </c>
      <c r="H2281" s="16" t="n">
        <v>0.275637355816999</v>
      </c>
    </row>
    <row r="2282">
      <c r="A2282" t="s">
        <v>31</v>
      </c>
      <c r="B2282" t="s">
        <v>1021</v>
      </c>
      <c r="C2282" t="s">
        <v>1023</v>
      </c>
      <c r="D2282" t="s">
        <v>1461</v>
      </c>
      <c r="E2282" s="14" t="n">
        <v>1</v>
      </c>
      <c r="F2282" s="17" t="n">
        <v>80</v>
      </c>
      <c r="G2282" s="15" t="n">
        <v>-0.939692620785908</v>
      </c>
      <c r="H2282" s="16" t="n">
        <v>0.342020143325669</v>
      </c>
    </row>
    <row r="2283">
      <c r="A2283" t="s">
        <v>30</v>
      </c>
      <c r="B2283" t="s">
        <v>1024</v>
      </c>
      <c r="C2283" t="s">
        <v>1025</v>
      </c>
      <c r="D2283" t="s">
        <v>1461</v>
      </c>
      <c r="E2283" s="14" t="n">
        <v>1.25</v>
      </c>
      <c r="F2283" s="17" t="n">
        <v>16</v>
      </c>
      <c r="G2283" s="15" t="n">
        <v>1.06006012019553</v>
      </c>
      <c r="H2283" s="16" t="n">
        <v>0.662399080291506</v>
      </c>
    </row>
    <row r="2284">
      <c r="A2284" t="s">
        <v>30</v>
      </c>
      <c r="B2284" t="s">
        <v>1024</v>
      </c>
      <c r="C2284" t="s">
        <v>1026</v>
      </c>
      <c r="D2284" t="s">
        <v>1461</v>
      </c>
      <c r="E2284" s="14" t="n">
        <v>1.5</v>
      </c>
      <c r="F2284" s="17" t="n">
        <v>166</v>
      </c>
      <c r="G2284" s="15" t="n">
        <v>1.32442138928839</v>
      </c>
      <c r="H2284" s="16" t="n">
        <v>-0.704207344178836</v>
      </c>
    </row>
    <row r="2285">
      <c r="A2285" t="s">
        <v>31</v>
      </c>
      <c r="B2285" t="s">
        <v>1027</v>
      </c>
      <c r="C2285" t="s">
        <v>1028</v>
      </c>
      <c r="D2285" t="s">
        <v>1461</v>
      </c>
      <c r="E2285" s="14" t="n">
        <v>0.5</v>
      </c>
      <c r="F2285" s="17" t="n">
        <v>165</v>
      </c>
      <c r="G2285" s="15" t="n">
        <v>0.433012701892219</v>
      </c>
      <c r="H2285" s="16" t="n">
        <v>-0.25</v>
      </c>
    </row>
    <row r="2286">
      <c r="A2286" t="s">
        <v>30</v>
      </c>
      <c r="B2286" t="s">
        <v>1029</v>
      </c>
      <c r="C2286" t="s">
        <v>1030</v>
      </c>
      <c r="D2286" t="s">
        <v>1461</v>
      </c>
      <c r="E2286" s="14" t="n">
        <v>0.75</v>
      </c>
      <c r="F2286" s="17" t="n">
        <v>7</v>
      </c>
      <c r="G2286" s="15" t="n">
        <v>0.727721794706997</v>
      </c>
      <c r="H2286" s="16" t="n">
        <v>0.181441421699751</v>
      </c>
    </row>
    <row r="2287">
      <c r="A2287" t="s">
        <v>30</v>
      </c>
      <c r="B2287" t="s">
        <v>1031</v>
      </c>
      <c r="C2287" t="s">
        <v>1032</v>
      </c>
      <c r="D2287" t="s">
        <v>1461</v>
      </c>
      <c r="E2287" s="14" t="n">
        <v>0.75</v>
      </c>
      <c r="F2287" s="17" t="n">
        <v>89</v>
      </c>
      <c r="G2287" s="15" t="n">
        <v>-0.749543120264322</v>
      </c>
      <c r="H2287" s="16" t="n">
        <v>0.0261746225268759</v>
      </c>
    </row>
    <row r="2288">
      <c r="A2288" t="s">
        <v>30</v>
      </c>
      <c r="B2288" t="s">
        <v>1033</v>
      </c>
      <c r="C2288" t="s">
        <v>1034</v>
      </c>
      <c r="D2288" t="s">
        <v>1461</v>
      </c>
      <c r="E2288" s="14" t="n">
        <v>0.5</v>
      </c>
      <c r="F2288" s="17" t="n">
        <v>165</v>
      </c>
      <c r="G2288" s="15" t="n">
        <v>0.433012701892219</v>
      </c>
      <c r="H2288" s="16" t="n">
        <v>-0.25</v>
      </c>
    </row>
    <row r="2289">
      <c r="A2289" t="s">
        <v>30</v>
      </c>
      <c r="B2289" t="s">
        <v>1033</v>
      </c>
      <c r="C2289" t="s">
        <v>1035</v>
      </c>
      <c r="D2289" t="s">
        <v>1461</v>
      </c>
      <c r="E2289" s="14" t="n">
        <v>0.5</v>
      </c>
      <c r="F2289" s="17" t="n">
        <v>21</v>
      </c>
      <c r="G2289" s="15" t="n">
        <v>0.371572412738697</v>
      </c>
      <c r="H2289" s="16" t="n">
        <v>0.334565303179429</v>
      </c>
    </row>
    <row r="2290">
      <c r="A2290" t="s">
        <v>31</v>
      </c>
      <c r="B2290" t="s">
        <v>1036</v>
      </c>
      <c r="C2290" t="s">
        <v>1037</v>
      </c>
      <c r="D2290" t="s">
        <v>1461</v>
      </c>
      <c r="E2290" s="14" t="n">
        <v>1.25</v>
      </c>
      <c r="F2290" s="17" t="n">
        <v>5</v>
      </c>
      <c r="G2290" s="15" t="n">
        <v>1.23100969126526</v>
      </c>
      <c r="H2290" s="16" t="n">
        <v>0.217060222083663</v>
      </c>
    </row>
    <row r="2291">
      <c r="A2291" t="s">
        <v>30</v>
      </c>
      <c r="B2291" t="s">
        <v>1038</v>
      </c>
      <c r="C2291" t="s">
        <v>1039</v>
      </c>
      <c r="D2291" t="s">
        <v>1461</v>
      </c>
      <c r="E2291" s="14" t="n">
        <v>1</v>
      </c>
      <c r="F2291" s="17" t="n">
        <v>167</v>
      </c>
      <c r="G2291" s="15" t="n">
        <v>0.898794046299167</v>
      </c>
      <c r="H2291" s="16" t="n">
        <v>-0.438371146789077</v>
      </c>
    </row>
    <row r="2292">
      <c r="A2292" t="s">
        <v>30</v>
      </c>
      <c r="B2292" t="s">
        <v>1040</v>
      </c>
      <c r="C2292" t="s">
        <v>1041</v>
      </c>
      <c r="D2292" t="s">
        <v>1461</v>
      </c>
      <c r="E2292" s="14" t="n">
        <v>0.5</v>
      </c>
      <c r="F2292" s="17" t="n">
        <v>10</v>
      </c>
      <c r="G2292" s="15" t="n">
        <v>0.469846310392954</v>
      </c>
      <c r="H2292" s="16" t="n">
        <v>0.171010071662834</v>
      </c>
    </row>
    <row r="2293">
      <c r="A2293" t="s">
        <v>32</v>
      </c>
      <c r="B2293" t="s">
        <v>1042</v>
      </c>
      <c r="C2293" t="s">
        <v>1043</v>
      </c>
      <c r="D2293" t="s">
        <v>1461</v>
      </c>
      <c r="E2293" s="14" t="n">
        <v>0.75</v>
      </c>
      <c r="F2293" s="17" t="n">
        <v>154</v>
      </c>
      <c r="G2293" s="15" t="n">
        <v>0.461746106494243</v>
      </c>
      <c r="H2293" s="16" t="n">
        <v>-0.591008065205042</v>
      </c>
    </row>
    <row r="2294">
      <c r="A2294" t="s">
        <v>32</v>
      </c>
      <c r="B2294" t="s">
        <v>1042</v>
      </c>
      <c r="C2294" t="s">
        <v>1044</v>
      </c>
      <c r="D2294" t="s">
        <v>1461</v>
      </c>
      <c r="E2294" s="14" t="n">
        <v>0.5</v>
      </c>
      <c r="F2294" s="17" t="n">
        <v>15</v>
      </c>
      <c r="G2294" s="15" t="n">
        <v>0.433012701892219</v>
      </c>
      <c r="H2294" s="16" t="n">
        <v>0.25</v>
      </c>
    </row>
    <row r="2295">
      <c r="A2295" t="s">
        <v>31</v>
      </c>
      <c r="B2295" t="s">
        <v>1045</v>
      </c>
      <c r="C2295" t="s">
        <v>1046</v>
      </c>
      <c r="D2295" t="s">
        <v>1461</v>
      </c>
      <c r="E2295" s="14" t="n">
        <v>0.5</v>
      </c>
      <c r="F2295" s="17" t="n">
        <v>14</v>
      </c>
      <c r="G2295" s="15" t="n">
        <v>0.441473796429463</v>
      </c>
      <c r="H2295" s="16" t="n">
        <v>0.234735781392945</v>
      </c>
    </row>
    <row r="2296">
      <c r="A2296" t="s">
        <v>32</v>
      </c>
      <c r="B2296" t="s">
        <v>1047</v>
      </c>
      <c r="C2296" t="s">
        <v>1048</v>
      </c>
      <c r="D2296" t="s">
        <v>1461</v>
      </c>
      <c r="E2296" s="14" t="n">
        <v>0.75</v>
      </c>
      <c r="F2296" s="17" t="n">
        <v>57</v>
      </c>
      <c r="G2296" s="15" t="n">
        <v>-0.30505248230685</v>
      </c>
      <c r="H2296" s="16" t="n">
        <v>0.685159093231951</v>
      </c>
    </row>
    <row r="2297">
      <c r="A2297" t="s">
        <v>32</v>
      </c>
      <c r="B2297" t="s">
        <v>1047</v>
      </c>
      <c r="C2297" t="s">
        <v>1049</v>
      </c>
      <c r="D2297" t="s">
        <v>1461</v>
      </c>
      <c r="E2297" s="14" t="n">
        <v>0.75</v>
      </c>
      <c r="F2297" s="17" t="n">
        <v>115</v>
      </c>
      <c r="G2297" s="15" t="n">
        <v>-0.482090707264905</v>
      </c>
      <c r="H2297" s="16" t="n">
        <v>-0.574533332339234</v>
      </c>
    </row>
    <row r="2298">
      <c r="A2298" t="s">
        <v>30</v>
      </c>
      <c r="B2298" t="s">
        <v>1050</v>
      </c>
      <c r="C2298" t="s">
        <v>1051</v>
      </c>
      <c r="D2298" t="s">
        <v>1461</v>
      </c>
      <c r="E2298" s="14" t="n">
        <v>0.75</v>
      </c>
      <c r="F2298" s="17" t="n">
        <v>145</v>
      </c>
      <c r="G2298" s="15" t="n">
        <v>0.256515107494252</v>
      </c>
      <c r="H2298" s="16" t="n">
        <v>-0.704769465589431</v>
      </c>
    </row>
    <row r="2299">
      <c r="A2299" t="s">
        <v>30</v>
      </c>
      <c r="B2299" t="s">
        <v>1050</v>
      </c>
      <c r="C2299" t="s">
        <v>1052</v>
      </c>
      <c r="D2299" t="s">
        <v>1461</v>
      </c>
      <c r="E2299" s="14" t="n">
        <v>1.25</v>
      </c>
      <c r="F2299" s="17" t="n">
        <v>31</v>
      </c>
      <c r="G2299" s="15" t="n">
        <v>0.586839453482364</v>
      </c>
      <c r="H2299" s="16" t="n">
        <v>1.10368449107366</v>
      </c>
    </row>
    <row r="2300">
      <c r="A2300" t="s">
        <v>30</v>
      </c>
      <c r="B2300" t="s">
        <v>1053</v>
      </c>
      <c r="C2300" t="s">
        <v>1054</v>
      </c>
      <c r="D2300" t="s">
        <v>1461</v>
      </c>
      <c r="E2300" s="14" t="n">
        <v>0.5</v>
      </c>
      <c r="F2300" s="17" t="n">
        <v>166</v>
      </c>
      <c r="G2300" s="15" t="n">
        <v>0.441473796429463</v>
      </c>
      <c r="H2300" s="16" t="n">
        <v>-0.234735781392945</v>
      </c>
    </row>
    <row r="2301">
      <c r="A2301" t="s">
        <v>30</v>
      </c>
      <c r="B2301" t="s">
        <v>1053</v>
      </c>
      <c r="C2301" t="s">
        <v>1055</v>
      </c>
      <c r="D2301" t="s">
        <v>1461</v>
      </c>
      <c r="E2301" s="14" t="n">
        <v>0.25</v>
      </c>
      <c r="F2301" s="17" t="n">
        <v>12</v>
      </c>
      <c r="G2301" s="15" t="n">
        <v>0.22838636441065</v>
      </c>
      <c r="H2301" s="16" t="n">
        <v>0.10168416076895</v>
      </c>
    </row>
    <row r="2302">
      <c r="A2302" t="s">
        <v>30</v>
      </c>
      <c r="B2302" t="s">
        <v>1439</v>
      </c>
      <c r="C2302" t="s">
        <v>1440</v>
      </c>
      <c r="D2302" t="s">
        <v>1461</v>
      </c>
      <c r="E2302" s="14" t="n">
        <v>0.5</v>
      </c>
      <c r="F2302" s="17" t="n">
        <v>160</v>
      </c>
      <c r="G2302" s="15" t="n">
        <v>0.383022221559489</v>
      </c>
      <c r="H2302" s="16" t="n">
        <v>-0.32139380484327</v>
      </c>
    </row>
    <row r="2303">
      <c r="A2303" t="s">
        <v>30</v>
      </c>
      <c r="B2303" t="s">
        <v>1439</v>
      </c>
      <c r="C2303" t="s">
        <v>1441</v>
      </c>
      <c r="D2303" t="s">
        <v>1461</v>
      </c>
      <c r="E2303" s="14" t="n">
        <v>0.5</v>
      </c>
      <c r="F2303" s="17" t="n">
        <v>23</v>
      </c>
      <c r="G2303" s="15" t="n">
        <v>0.347329185229499</v>
      </c>
      <c r="H2303" s="16" t="n">
        <v>0.359669900169326</v>
      </c>
    </row>
    <row r="2304">
      <c r="A2304" t="s">
        <v>32</v>
      </c>
      <c r="B2304" t="s">
        <v>1056</v>
      </c>
      <c r="C2304" t="s">
        <v>1057</v>
      </c>
      <c r="D2304" t="s">
        <v>1461</v>
      </c>
      <c r="E2304" s="14" t="n">
        <v>0.25</v>
      </c>
      <c r="F2304" s="17" t="n">
        <v>162</v>
      </c>
      <c r="G2304" s="15" t="n">
        <v>0.202254248593737</v>
      </c>
      <c r="H2304" s="16" t="n">
        <v>-0.146946313073118</v>
      </c>
    </row>
    <row r="2305">
      <c r="A2305" t="s">
        <v>30</v>
      </c>
      <c r="B2305" t="s">
        <v>1058</v>
      </c>
      <c r="C2305" t="s">
        <v>1059</v>
      </c>
      <c r="D2305" t="s">
        <v>1461</v>
      </c>
      <c r="E2305" s="14" t="n">
        <v>0.25</v>
      </c>
      <c r="F2305" s="17" t="n">
        <v>35</v>
      </c>
      <c r="G2305" s="15" t="n">
        <v>0.0855050358314172</v>
      </c>
      <c r="H2305" s="16" t="n">
        <v>0.234923155196477</v>
      </c>
    </row>
    <row r="2306">
      <c r="A2306" t="s">
        <v>30</v>
      </c>
      <c r="B2306" t="s">
        <v>1058</v>
      </c>
      <c r="C2306" t="s">
        <v>1060</v>
      </c>
      <c r="D2306" t="s">
        <v>1461</v>
      </c>
      <c r="E2306" s="14" t="n">
        <v>0.25</v>
      </c>
      <c r="F2306" s="17" t="n">
        <v>147</v>
      </c>
      <c r="G2306" s="15" t="n">
        <v>0.10168416076895</v>
      </c>
      <c r="H2306" s="16" t="n">
        <v>-0.22838636441065</v>
      </c>
    </row>
    <row r="2307">
      <c r="A2307" t="s">
        <v>31</v>
      </c>
      <c r="B2307" t="s">
        <v>1061</v>
      </c>
      <c r="C2307" t="s">
        <v>1062</v>
      </c>
      <c r="D2307" t="s">
        <v>1461</v>
      </c>
      <c r="E2307" s="14" t="n">
        <v>0.75</v>
      </c>
      <c r="F2307" s="17" t="n">
        <v>160</v>
      </c>
      <c r="G2307" s="15" t="n">
        <v>0.574533332339233</v>
      </c>
      <c r="H2307" s="16" t="n">
        <v>-0.482090707264905</v>
      </c>
    </row>
    <row r="2308">
      <c r="A2308" t="s">
        <v>31</v>
      </c>
      <c r="B2308" t="s">
        <v>1061</v>
      </c>
      <c r="C2308" t="s">
        <v>1063</v>
      </c>
      <c r="D2308" t="s">
        <v>1461</v>
      </c>
      <c r="E2308" s="14" t="n">
        <v>0.75</v>
      </c>
      <c r="F2308" s="17" t="n">
        <v>21</v>
      </c>
      <c r="G2308" s="15" t="n">
        <v>0.557358619108046</v>
      </c>
      <c r="H2308" s="16" t="n">
        <v>0.501847954769144</v>
      </c>
    </row>
    <row r="2309">
      <c r="A2309" t="s">
        <v>32</v>
      </c>
      <c r="B2309" t="s">
        <v>1064</v>
      </c>
      <c r="C2309" t="s">
        <v>1065</v>
      </c>
      <c r="D2309" t="s">
        <v>1461</v>
      </c>
      <c r="E2309" s="14" t="n">
        <v>0.5</v>
      </c>
      <c r="F2309" s="17" t="n">
        <v>176</v>
      </c>
      <c r="G2309" s="15" t="n">
        <v>0.495134034370785</v>
      </c>
      <c r="H2309" s="16" t="n">
        <v>-0.0695865504800328</v>
      </c>
    </row>
    <row r="2310">
      <c r="A2310" t="s">
        <v>32</v>
      </c>
      <c r="B2310" t="s">
        <v>1064</v>
      </c>
      <c r="C2310" t="s">
        <v>1066</v>
      </c>
      <c r="D2310" t="s">
        <v>1461</v>
      </c>
      <c r="E2310" s="14" t="n">
        <v>2.5</v>
      </c>
      <c r="F2310" s="17" t="n">
        <v>172</v>
      </c>
      <c r="G2310" s="15" t="n">
        <v>2.4031542398458</v>
      </c>
      <c r="H2310" s="16" t="n">
        <v>-0.689093389542497</v>
      </c>
    </row>
    <row r="2311">
      <c r="A2311" t="s">
        <v>32</v>
      </c>
      <c r="B2311" t="s">
        <v>1067</v>
      </c>
      <c r="C2311" t="s">
        <v>1068</v>
      </c>
      <c r="D2311" t="s">
        <v>1461</v>
      </c>
      <c r="E2311" s="14" t="n">
        <v>1</v>
      </c>
      <c r="F2311" s="17" t="n">
        <v>145</v>
      </c>
      <c r="G2311" s="15" t="n">
        <v>0.342020143325669</v>
      </c>
      <c r="H2311" s="16" t="n">
        <v>-0.939692620785908</v>
      </c>
    </row>
    <row r="2312">
      <c r="A2312" t="s">
        <v>30</v>
      </c>
      <c r="B2312" t="s">
        <v>1069</v>
      </c>
      <c r="C2312" t="s">
        <v>1070</v>
      </c>
      <c r="D2312" t="s">
        <v>1461</v>
      </c>
      <c r="E2312" s="14" t="n">
        <v>0.25</v>
      </c>
      <c r="F2312" s="17" t="n">
        <v>97</v>
      </c>
      <c r="G2312" s="15" t="n">
        <v>-0.242573931568999</v>
      </c>
      <c r="H2312" s="16" t="n">
        <v>-0.0604804738999169</v>
      </c>
    </row>
    <row r="2313">
      <c r="A2313" t="s">
        <v>30</v>
      </c>
      <c r="B2313" t="s">
        <v>1069</v>
      </c>
      <c r="C2313" t="s">
        <v>1071</v>
      </c>
      <c r="D2313" t="s">
        <v>1461</v>
      </c>
      <c r="E2313" s="14" t="n">
        <v>0.75</v>
      </c>
      <c r="F2313" s="17" t="n">
        <v>93</v>
      </c>
      <c r="G2313" s="15" t="n">
        <v>-0.745891421526205</v>
      </c>
      <c r="H2313" s="16" t="n">
        <v>-0.0783963474507403</v>
      </c>
    </row>
    <row r="2314">
      <c r="A2314" t="s">
        <v>30</v>
      </c>
      <c r="B2314" t="s">
        <v>1072</v>
      </c>
      <c r="C2314" t="s">
        <v>1073</v>
      </c>
      <c r="D2314" t="s">
        <v>1461</v>
      </c>
      <c r="E2314" s="14" t="n">
        <v>0.75</v>
      </c>
      <c r="F2314" s="17" t="n">
        <v>166</v>
      </c>
      <c r="G2314" s="15" t="n">
        <v>0.662210694644195</v>
      </c>
      <c r="H2314" s="16" t="n">
        <v>-0.352103672089418</v>
      </c>
    </row>
    <row r="2315">
      <c r="A2315" t="s">
        <v>30</v>
      </c>
      <c r="B2315" t="s">
        <v>1072</v>
      </c>
      <c r="C2315" t="s">
        <v>1074</v>
      </c>
      <c r="D2315" t="s">
        <v>1461</v>
      </c>
      <c r="E2315" s="14" t="n">
        <v>1</v>
      </c>
      <c r="F2315" s="17" t="n">
        <v>0</v>
      </c>
      <c r="G2315" s="15" t="n">
        <v>1</v>
      </c>
      <c r="H2315" s="16" t="n">
        <v>0</v>
      </c>
    </row>
    <row r="2316">
      <c r="A2316" t="s">
        <v>30</v>
      </c>
      <c r="B2316" t="s">
        <v>1075</v>
      </c>
      <c r="C2316" t="s">
        <v>1076</v>
      </c>
      <c r="D2316" t="s">
        <v>1461</v>
      </c>
      <c r="E2316" s="14" t="n">
        <v>1.75</v>
      </c>
      <c r="F2316" s="17" t="n">
        <v>61</v>
      </c>
      <c r="G2316" s="15" t="n">
        <v>-0.927358712408108</v>
      </c>
      <c r="H2316" s="16" t="n">
        <v>1.48408416827375</v>
      </c>
    </row>
    <row r="2317">
      <c r="A2317" t="s">
        <v>30</v>
      </c>
      <c r="B2317" t="s">
        <v>1075</v>
      </c>
      <c r="C2317" t="s">
        <v>1077</v>
      </c>
      <c r="D2317" t="s">
        <v>1461</v>
      </c>
      <c r="E2317" s="14" t="n">
        <v>2</v>
      </c>
      <c r="F2317" s="17" t="n">
        <v>134</v>
      </c>
      <c r="G2317" s="15" t="n">
        <v>-0.0697989934050015</v>
      </c>
      <c r="H2317" s="16" t="n">
        <v>-1.99878165403819</v>
      </c>
    </row>
    <row r="2318">
      <c r="A2318" t="s">
        <v>31</v>
      </c>
      <c r="B2318" t="s">
        <v>1078</v>
      </c>
      <c r="C2318" t="s">
        <v>1079</v>
      </c>
      <c r="D2318" t="s">
        <v>1461</v>
      </c>
      <c r="E2318" s="14" t="n">
        <v>0.75</v>
      </c>
      <c r="F2318" s="17" t="n">
        <v>21</v>
      </c>
      <c r="G2318" s="15" t="n">
        <v>0.557358619108046</v>
      </c>
      <c r="H2318" s="16" t="n">
        <v>0.501847954769144</v>
      </c>
    </row>
    <row r="2319">
      <c r="A2319" t="s">
        <v>31</v>
      </c>
      <c r="B2319" t="s">
        <v>1078</v>
      </c>
      <c r="C2319" t="s">
        <v>1080</v>
      </c>
      <c r="D2319" t="s">
        <v>1461</v>
      </c>
      <c r="E2319" s="14" t="n">
        <v>0.5</v>
      </c>
      <c r="F2319" s="17" t="n">
        <v>166</v>
      </c>
      <c r="G2319" s="15" t="n">
        <v>0.441473796429463</v>
      </c>
      <c r="H2319" s="16" t="n">
        <v>-0.234735781392945</v>
      </c>
    </row>
    <row r="2320">
      <c r="A2320" t="s">
        <v>30</v>
      </c>
      <c r="B2320" t="s">
        <v>1081</v>
      </c>
      <c r="C2320" t="s">
        <v>1082</v>
      </c>
      <c r="D2320" t="s">
        <v>1461</v>
      </c>
      <c r="E2320" s="14" t="n">
        <v>1.5</v>
      </c>
      <c r="F2320" s="17" t="n">
        <v>171</v>
      </c>
      <c r="G2320" s="15" t="n">
        <v>1.42658477444273</v>
      </c>
      <c r="H2320" s="16" t="n">
        <v>-0.463525491562422</v>
      </c>
    </row>
    <row r="2321">
      <c r="A2321" t="s">
        <v>30</v>
      </c>
      <c r="B2321" t="s">
        <v>1081</v>
      </c>
      <c r="C2321" t="s">
        <v>1083</v>
      </c>
      <c r="D2321" t="s">
        <v>1461</v>
      </c>
      <c r="E2321" s="14" t="n">
        <v>1</v>
      </c>
      <c r="F2321" s="17" t="n">
        <v>15</v>
      </c>
      <c r="G2321" s="15" t="n">
        <v>0.866025403784439</v>
      </c>
      <c r="H2321" s="16" t="n">
        <v>0.5</v>
      </c>
    </row>
    <row r="2322">
      <c r="A2322" t="s">
        <v>30</v>
      </c>
      <c r="B2322" t="s">
        <v>1442</v>
      </c>
      <c r="C2322" t="s">
        <v>1443</v>
      </c>
      <c r="D2322" t="s">
        <v>1461</v>
      </c>
      <c r="E2322" s="14" t="n">
        <v>0.25</v>
      </c>
      <c r="F2322" s="17" t="n">
        <v>7</v>
      </c>
      <c r="G2322" s="15" t="n">
        <v>0.242573931568999</v>
      </c>
      <c r="H2322" s="16" t="n">
        <v>0.0604804738999169</v>
      </c>
    </row>
    <row r="2323">
      <c r="A2323" t="s">
        <v>30</v>
      </c>
      <c r="B2323" t="s">
        <v>1442</v>
      </c>
      <c r="C2323" t="s">
        <v>1444</v>
      </c>
      <c r="D2323" t="s">
        <v>1461</v>
      </c>
      <c r="E2323" s="14" t="n">
        <v>0.25</v>
      </c>
      <c r="F2323" s="17" t="n">
        <v>169</v>
      </c>
      <c r="G2323" s="15" t="n">
        <v>0.231795963641697</v>
      </c>
      <c r="H2323" s="16" t="n">
        <v>-0.093651648353978</v>
      </c>
    </row>
    <row r="2324">
      <c r="A2324" t="s">
        <v>30</v>
      </c>
      <c r="B2324" t="s">
        <v>1084</v>
      </c>
      <c r="C2324" t="s">
        <v>1085</v>
      </c>
      <c r="D2324" t="s">
        <v>1461</v>
      </c>
      <c r="E2324" s="14" t="n">
        <v>2.75</v>
      </c>
      <c r="F2324" s="17" t="n">
        <v>154</v>
      </c>
      <c r="G2324" s="15" t="n">
        <v>1.69306905714556</v>
      </c>
      <c r="H2324" s="16" t="n">
        <v>-2.16702957241849</v>
      </c>
    </row>
    <row r="2325">
      <c r="A2325" t="s">
        <v>31</v>
      </c>
      <c r="B2325" t="s">
        <v>1086</v>
      </c>
      <c r="C2325" t="s">
        <v>1087</v>
      </c>
      <c r="D2325" t="s">
        <v>1461</v>
      </c>
      <c r="E2325" s="14" t="n">
        <v>0.75</v>
      </c>
      <c r="F2325" s="17" t="n">
        <v>43</v>
      </c>
      <c r="G2325" s="15" t="n">
        <v>0.0523173553080939</v>
      </c>
      <c r="H2325" s="16" t="n">
        <v>0.748173037694868</v>
      </c>
    </row>
    <row r="2326">
      <c r="A2326" t="s">
        <v>31</v>
      </c>
      <c r="B2326" t="s">
        <v>1086</v>
      </c>
      <c r="C2326" t="s">
        <v>1088</v>
      </c>
      <c r="D2326" t="s">
        <v>1461</v>
      </c>
      <c r="E2326" s="14" t="n">
        <v>0.5</v>
      </c>
      <c r="F2326" s="17" t="n">
        <v>141</v>
      </c>
      <c r="G2326" s="15" t="n">
        <v>0.10395584540888</v>
      </c>
      <c r="H2326" s="16" t="n">
        <v>-0.489073800366903</v>
      </c>
    </row>
    <row r="2327">
      <c r="A2327" t="s">
        <v>32</v>
      </c>
      <c r="B2327" t="s">
        <v>1089</v>
      </c>
      <c r="C2327" t="s">
        <v>1090</v>
      </c>
      <c r="D2327" t="s">
        <v>1461</v>
      </c>
      <c r="E2327" s="14" t="n">
        <v>0.25</v>
      </c>
      <c r="F2327" s="17" t="n">
        <v>44</v>
      </c>
      <c r="G2327" s="15" t="n">
        <v>0.00872487417562527</v>
      </c>
      <c r="H2327" s="16" t="n">
        <v>0.249847706754774</v>
      </c>
    </row>
    <row r="2328">
      <c r="A2328" t="s">
        <v>32</v>
      </c>
      <c r="B2328" t="s">
        <v>1089</v>
      </c>
      <c r="C2328" t="s">
        <v>1091</v>
      </c>
      <c r="D2328" t="s">
        <v>1461</v>
      </c>
      <c r="E2328" s="14" t="n">
        <v>0.5</v>
      </c>
      <c r="F2328" s="17" t="n">
        <v>133</v>
      </c>
      <c r="G2328" s="15" t="n">
        <v>-0.0348782368720628</v>
      </c>
      <c r="H2328" s="16" t="n">
        <v>-0.498782025129912</v>
      </c>
    </row>
    <row r="2329">
      <c r="A2329" t="s">
        <v>30</v>
      </c>
      <c r="B2329" t="s">
        <v>1092</v>
      </c>
      <c r="C2329" t="s">
        <v>1093</v>
      </c>
      <c r="D2329" t="s">
        <v>1461</v>
      </c>
      <c r="E2329" s="14" t="n">
        <v>0.75</v>
      </c>
      <c r="F2329" s="17" t="n">
        <v>14</v>
      </c>
      <c r="G2329" s="15" t="n">
        <v>0.662210694644195</v>
      </c>
      <c r="H2329" s="16" t="n">
        <v>0.352103672089418</v>
      </c>
    </row>
    <row r="2330">
      <c r="A2330" t="s">
        <v>30</v>
      </c>
      <c r="B2330" t="s">
        <v>1094</v>
      </c>
      <c r="C2330" t="s">
        <v>1095</v>
      </c>
      <c r="D2330" t="s">
        <v>1461</v>
      </c>
      <c r="E2330" s="14" t="n">
        <v>1.25</v>
      </c>
      <c r="F2330" s="17" t="n">
        <v>16</v>
      </c>
      <c r="G2330" s="15" t="n">
        <v>1.06006012019553</v>
      </c>
      <c r="H2330" s="16" t="n">
        <v>0.662399080291506</v>
      </c>
    </row>
    <row r="2331">
      <c r="A2331" t="s">
        <v>30</v>
      </c>
      <c r="B2331" t="s">
        <v>1094</v>
      </c>
      <c r="C2331" t="s">
        <v>1096</v>
      </c>
      <c r="D2331" t="s">
        <v>1461</v>
      </c>
      <c r="E2331" s="14" t="n">
        <v>1.5</v>
      </c>
      <c r="F2331" s="17" t="n">
        <v>156</v>
      </c>
      <c r="G2331" s="15" t="n">
        <v>1.00369590953829</v>
      </c>
      <c r="H2331" s="16" t="n">
        <v>-1.11471723821609</v>
      </c>
    </row>
    <row r="2332">
      <c r="A2332" t="s">
        <v>30</v>
      </c>
      <c r="B2332" t="s">
        <v>1097</v>
      </c>
      <c r="C2332" t="s">
        <v>1098</v>
      </c>
      <c r="D2332" t="s">
        <v>1461</v>
      </c>
      <c r="E2332" s="14" t="n">
        <v>1.25</v>
      </c>
      <c r="F2332" s="17" t="n">
        <v>4</v>
      </c>
      <c r="G2332" s="15" t="n">
        <v>1.23783508592696</v>
      </c>
      <c r="H2332" s="16" t="n">
        <v>0.173966376200082</v>
      </c>
    </row>
    <row r="2333">
      <c r="A2333" t="s">
        <v>31</v>
      </c>
      <c r="B2333" t="s">
        <v>1099</v>
      </c>
      <c r="C2333" t="s">
        <v>1100</v>
      </c>
      <c r="D2333" t="s">
        <v>1461</v>
      </c>
      <c r="E2333" s="14" t="n">
        <v>0</v>
      </c>
      <c r="F2333" s="17" t="n">
        <v>104</v>
      </c>
      <c r="G2333" s="15" t="n">
        <v>0</v>
      </c>
      <c r="H2333" s="16" t="n">
        <v>0</v>
      </c>
    </row>
    <row r="2334">
      <c r="A2334" t="s">
        <v>32</v>
      </c>
      <c r="B2334" t="s">
        <v>1101</v>
      </c>
      <c r="C2334" t="s">
        <v>1102</v>
      </c>
      <c r="D2334" t="s">
        <v>1461</v>
      </c>
      <c r="E2334" s="14" t="n">
        <v>0.25</v>
      </c>
      <c r="F2334" s="17" t="n">
        <v>7</v>
      </c>
      <c r="G2334" s="15" t="n">
        <v>0.242573931568999</v>
      </c>
      <c r="H2334" s="16" t="n">
        <v>0.0604804738999169</v>
      </c>
    </row>
    <row r="2335">
      <c r="A2335" t="s">
        <v>32</v>
      </c>
      <c r="B2335" t="s">
        <v>1101</v>
      </c>
      <c r="C2335" t="s">
        <v>1103</v>
      </c>
      <c r="D2335" t="s">
        <v>1461</v>
      </c>
      <c r="E2335" s="14" t="n">
        <v>0.5</v>
      </c>
      <c r="F2335" s="17" t="n">
        <v>168</v>
      </c>
      <c r="G2335" s="15" t="n">
        <v>0.4567727288213</v>
      </c>
      <c r="H2335" s="16" t="n">
        <v>-0.2033683215379</v>
      </c>
    </row>
    <row r="2336">
      <c r="A2336" t="s">
        <v>30</v>
      </c>
      <c r="B2336" t="s">
        <v>1104</v>
      </c>
      <c r="C2336" t="s">
        <v>1105</v>
      </c>
      <c r="D2336" t="s">
        <v>1461</v>
      </c>
      <c r="E2336" s="14" t="n">
        <v>3</v>
      </c>
      <c r="F2336" s="17" t="n">
        <v>8</v>
      </c>
      <c r="G2336" s="15" t="n">
        <v>2.88378508781496</v>
      </c>
      <c r="H2336" s="16" t="n">
        <v>0.826912067450998</v>
      </c>
    </row>
    <row r="2337">
      <c r="A2337" t="s">
        <v>30</v>
      </c>
      <c r="B2337" t="s">
        <v>1104</v>
      </c>
      <c r="C2337" t="s">
        <v>1106</v>
      </c>
      <c r="D2337" t="s">
        <v>1461</v>
      </c>
      <c r="E2337" s="14" t="n">
        <v>2.25</v>
      </c>
      <c r="F2337" s="17" t="n">
        <v>10</v>
      </c>
      <c r="G2337" s="15" t="n">
        <v>2.11430839676829</v>
      </c>
      <c r="H2337" s="16" t="n">
        <v>0.769545322482755</v>
      </c>
    </row>
    <row r="2338">
      <c r="A2338" t="s">
        <v>31</v>
      </c>
      <c r="B2338" t="s">
        <v>1107</v>
      </c>
      <c r="C2338" t="s">
        <v>1108</v>
      </c>
      <c r="D2338" t="s">
        <v>1461</v>
      </c>
      <c r="E2338" s="14" t="n">
        <v>0.25</v>
      </c>
      <c r="F2338" s="17" t="n">
        <v>23</v>
      </c>
      <c r="G2338" s="15" t="n">
        <v>0.173664592614749</v>
      </c>
      <c r="H2338" s="16" t="n">
        <v>0.179834950084663</v>
      </c>
    </row>
    <row r="2339">
      <c r="A2339" t="s">
        <v>32</v>
      </c>
      <c r="B2339" t="s">
        <v>1109</v>
      </c>
      <c r="C2339" t="s">
        <v>1110</v>
      </c>
      <c r="D2339" t="s">
        <v>1461</v>
      </c>
      <c r="E2339" s="14" t="n">
        <v>1</v>
      </c>
      <c r="F2339" s="17" t="n">
        <v>127</v>
      </c>
      <c r="G2339" s="15" t="n">
        <v>-0.275637355816999</v>
      </c>
      <c r="H2339" s="16" t="n">
        <v>-0.961261695938319</v>
      </c>
    </row>
    <row r="2340">
      <c r="A2340" t="s">
        <v>31</v>
      </c>
      <c r="B2340" t="s">
        <v>1111</v>
      </c>
      <c r="C2340" t="s">
        <v>1112</v>
      </c>
      <c r="D2340" t="s">
        <v>1461</v>
      </c>
      <c r="E2340" s="14" t="n">
        <v>0.75</v>
      </c>
      <c r="F2340" s="17" t="n">
        <v>163</v>
      </c>
      <c r="G2340" s="15" t="n">
        <v>0.621778179416281</v>
      </c>
      <c r="H2340" s="16" t="n">
        <v>-0.41939467760306</v>
      </c>
    </row>
    <row r="2341">
      <c r="A2341" t="s">
        <v>31</v>
      </c>
      <c r="B2341" t="s">
        <v>1111</v>
      </c>
      <c r="C2341" t="s">
        <v>1113</v>
      </c>
      <c r="D2341" t="s">
        <v>1461</v>
      </c>
      <c r="E2341" s="14" t="n">
        <v>0.75</v>
      </c>
      <c r="F2341" s="17" t="n">
        <v>5</v>
      </c>
      <c r="G2341" s="15" t="n">
        <v>0.738605814759156</v>
      </c>
      <c r="H2341" s="16" t="n">
        <v>0.130236133250198</v>
      </c>
    </row>
    <row r="2342">
      <c r="A2342" t="s">
        <v>31</v>
      </c>
      <c r="B2342" t="s">
        <v>1114</v>
      </c>
      <c r="C2342" t="s">
        <v>1115</v>
      </c>
      <c r="D2342" t="s">
        <v>1461</v>
      </c>
      <c r="E2342" s="14" t="n">
        <v>1.5</v>
      </c>
      <c r="F2342" s="17" t="n">
        <v>124</v>
      </c>
      <c r="G2342" s="15" t="n">
        <v>-0.561909890123868</v>
      </c>
      <c r="H2342" s="16" t="n">
        <v>-1.39077578185018</v>
      </c>
    </row>
    <row r="2343">
      <c r="A2343" t="s">
        <v>31</v>
      </c>
      <c r="B2343" t="s">
        <v>1114</v>
      </c>
      <c r="C2343" t="s">
        <v>1116</v>
      </c>
      <c r="D2343" t="s">
        <v>1461</v>
      </c>
      <c r="E2343" s="14" t="n">
        <v>1</v>
      </c>
      <c r="F2343" s="17" t="n">
        <v>55</v>
      </c>
      <c r="G2343" s="15" t="n">
        <v>-0.342020143325669</v>
      </c>
      <c r="H2343" s="16" t="n">
        <v>0.939692620785908</v>
      </c>
    </row>
    <row r="2344">
      <c r="A2344" t="s">
        <v>32</v>
      </c>
      <c r="B2344" t="s">
        <v>1117</v>
      </c>
      <c r="C2344" t="s">
        <v>1118</v>
      </c>
      <c r="D2344" t="s">
        <v>1461</v>
      </c>
      <c r="E2344" s="14" t="n">
        <v>0.75</v>
      </c>
      <c r="F2344" s="17" t="n">
        <v>42</v>
      </c>
      <c r="G2344" s="15" t="n">
        <v>0.0783963474507401</v>
      </c>
      <c r="H2344" s="16" t="n">
        <v>0.745891421526205</v>
      </c>
    </row>
    <row r="2345">
      <c r="A2345" t="s">
        <v>30</v>
      </c>
      <c r="B2345" t="s">
        <v>1119</v>
      </c>
      <c r="C2345" t="s">
        <v>1120</v>
      </c>
      <c r="D2345" t="s">
        <v>1461</v>
      </c>
      <c r="E2345" s="14" t="n">
        <v>2.25</v>
      </c>
      <c r="F2345" s="17" t="n">
        <v>79</v>
      </c>
      <c r="G2345" s="15" t="n">
        <v>-2.08616367277527</v>
      </c>
      <c r="H2345" s="16" t="n">
        <v>0.842864835185803</v>
      </c>
    </row>
    <row r="2346">
      <c r="A2346" t="s">
        <v>30</v>
      </c>
      <c r="B2346" t="s">
        <v>1119</v>
      </c>
      <c r="C2346" t="s">
        <v>1121</v>
      </c>
      <c r="D2346" t="s">
        <v>1461</v>
      </c>
      <c r="E2346" s="14" t="n">
        <v>1.75</v>
      </c>
      <c r="F2346" s="17" t="n">
        <v>91</v>
      </c>
      <c r="G2346" s="15" t="n">
        <v>-1.74893394728342</v>
      </c>
      <c r="H2346" s="16" t="n">
        <v>-0.061074119229377</v>
      </c>
    </row>
    <row r="2347">
      <c r="A2347" t="s">
        <v>30</v>
      </c>
      <c r="B2347" t="s">
        <v>1122</v>
      </c>
      <c r="C2347" t="s">
        <v>1123</v>
      </c>
      <c r="D2347" t="s">
        <v>1461</v>
      </c>
      <c r="E2347" s="14" t="n">
        <v>0.5</v>
      </c>
      <c r="F2347" s="17" t="n">
        <v>91</v>
      </c>
      <c r="G2347" s="15" t="n">
        <v>-0.499695413509548</v>
      </c>
      <c r="H2347" s="16" t="n">
        <v>-0.0174497483512506</v>
      </c>
    </row>
    <row r="2348">
      <c r="A2348" t="s">
        <v>31</v>
      </c>
      <c r="B2348" t="s">
        <v>1124</v>
      </c>
      <c r="C2348" t="s">
        <v>1125</v>
      </c>
      <c r="D2348" t="s">
        <v>1461</v>
      </c>
      <c r="E2348" s="14" t="n">
        <v>0.25</v>
      </c>
      <c r="F2348" s="17" t="n">
        <v>4</v>
      </c>
      <c r="G2348" s="15" t="n">
        <v>0.247567017185393</v>
      </c>
      <c r="H2348" s="16" t="n">
        <v>0.0347932752400164</v>
      </c>
    </row>
    <row r="2349">
      <c r="A2349" t="s">
        <v>30</v>
      </c>
      <c r="B2349" t="s">
        <v>1126</v>
      </c>
      <c r="C2349" t="s">
        <v>1127</v>
      </c>
      <c r="D2349" t="s">
        <v>1461</v>
      </c>
      <c r="E2349" s="14" t="n">
        <v>0.75</v>
      </c>
      <c r="F2349" s="17" t="n">
        <v>168</v>
      </c>
      <c r="G2349" s="15" t="n">
        <v>0.685159093231951</v>
      </c>
      <c r="H2349" s="16" t="n">
        <v>-0.30505248230685</v>
      </c>
    </row>
    <row r="2350">
      <c r="A2350" t="s">
        <v>30</v>
      </c>
      <c r="B2350" t="s">
        <v>1126</v>
      </c>
      <c r="C2350" t="s">
        <v>1128</v>
      </c>
      <c r="D2350" t="s">
        <v>1461</v>
      </c>
      <c r="E2350" s="14" t="n">
        <v>0.75</v>
      </c>
      <c r="F2350" s="17" t="n">
        <v>17</v>
      </c>
      <c r="G2350" s="15" t="n">
        <v>0.621778179416281</v>
      </c>
      <c r="H2350" s="16" t="n">
        <v>0.41939467760306</v>
      </c>
    </row>
    <row r="2351">
      <c r="A2351" t="s">
        <v>31</v>
      </c>
      <c r="B2351" t="s">
        <v>1129</v>
      </c>
      <c r="C2351" t="s">
        <v>1130</v>
      </c>
      <c r="D2351" t="s">
        <v>1461</v>
      </c>
      <c r="E2351" s="14" t="n">
        <v>0.5</v>
      </c>
      <c r="F2351" s="17" t="n">
        <v>95</v>
      </c>
      <c r="G2351" s="15" t="n">
        <v>-0.492403876506104</v>
      </c>
      <c r="H2351" s="16" t="n">
        <v>-0.0868240888334653</v>
      </c>
    </row>
    <row r="2352">
      <c r="A2352" t="s">
        <v>31</v>
      </c>
      <c r="B2352" t="s">
        <v>1129</v>
      </c>
      <c r="C2352" t="s">
        <v>1131</v>
      </c>
      <c r="D2352" t="s">
        <v>1461</v>
      </c>
      <c r="E2352" s="14" t="n">
        <v>0.25</v>
      </c>
      <c r="F2352" s="17" t="n">
        <v>85</v>
      </c>
      <c r="G2352" s="15" t="n">
        <v>-0.246201938253052</v>
      </c>
      <c r="H2352" s="16" t="n">
        <v>0.0434120444167327</v>
      </c>
    </row>
    <row r="2353">
      <c r="A2353" t="s">
        <v>31</v>
      </c>
      <c r="B2353" t="s">
        <v>1132</v>
      </c>
      <c r="C2353" t="s">
        <v>1133</v>
      </c>
      <c r="D2353" t="s">
        <v>1461</v>
      </c>
      <c r="E2353" s="14" t="n">
        <v>0.75</v>
      </c>
      <c r="F2353" s="17" t="n">
        <v>129</v>
      </c>
      <c r="G2353" s="15" t="n">
        <v>-0.15593376811332</v>
      </c>
      <c r="H2353" s="16" t="n">
        <v>-0.733610700550354</v>
      </c>
    </row>
    <row r="2354">
      <c r="A2354" t="s">
        <v>31</v>
      </c>
      <c r="B2354" t="s">
        <v>1132</v>
      </c>
      <c r="C2354" t="s">
        <v>1134</v>
      </c>
      <c r="D2354" t="s">
        <v>1461</v>
      </c>
      <c r="E2354" s="14" t="n">
        <v>0.75</v>
      </c>
      <c r="F2354" s="17" t="n">
        <v>64</v>
      </c>
      <c r="G2354" s="15" t="n">
        <v>-0.461746106494244</v>
      </c>
      <c r="H2354" s="16" t="n">
        <v>0.591008065205042</v>
      </c>
    </row>
    <row r="2355">
      <c r="A2355" t="s">
        <v>31</v>
      </c>
      <c r="B2355" t="s">
        <v>1135</v>
      </c>
      <c r="C2355" t="s">
        <v>1136</v>
      </c>
      <c r="D2355" t="s">
        <v>1461</v>
      </c>
      <c r="E2355" s="14" t="n">
        <v>0.5</v>
      </c>
      <c r="F2355" s="17" t="n">
        <v>5</v>
      </c>
      <c r="G2355" s="15" t="n">
        <v>0.492403876506104</v>
      </c>
      <c r="H2355" s="16" t="n">
        <v>0.0868240888334652</v>
      </c>
    </row>
    <row r="2356">
      <c r="A2356" t="s">
        <v>31</v>
      </c>
      <c r="B2356" t="s">
        <v>1135</v>
      </c>
      <c r="C2356" t="s">
        <v>1137</v>
      </c>
      <c r="D2356" t="s">
        <v>1461</v>
      </c>
      <c r="E2356" s="14" t="n">
        <v>1.25</v>
      </c>
      <c r="F2356" s="17" t="n">
        <v>6</v>
      </c>
      <c r="G2356" s="15" t="n">
        <v>1.22268450091726</v>
      </c>
      <c r="H2356" s="16" t="n">
        <v>0.259889613522199</v>
      </c>
    </row>
    <row r="2357">
      <c r="A2357" t="s">
        <v>32</v>
      </c>
      <c r="B2357" t="s">
        <v>1138</v>
      </c>
      <c r="C2357" t="s">
        <v>1139</v>
      </c>
      <c r="D2357" t="s">
        <v>1461</v>
      </c>
      <c r="E2357" s="14" t="n">
        <v>0.5</v>
      </c>
      <c r="F2357" s="17" t="n">
        <v>8</v>
      </c>
      <c r="G2357" s="15" t="n">
        <v>0.480630847969159</v>
      </c>
      <c r="H2357" s="16" t="n">
        <v>0.1378186779085</v>
      </c>
    </row>
    <row r="2358">
      <c r="A2358" t="s">
        <v>32</v>
      </c>
      <c r="B2358" t="s">
        <v>1138</v>
      </c>
      <c r="C2358" t="s">
        <v>1140</v>
      </c>
      <c r="D2358" t="s">
        <v>1461</v>
      </c>
      <c r="E2358" s="14" t="n">
        <v>0.75</v>
      </c>
      <c r="F2358" s="17" t="n">
        <v>171</v>
      </c>
      <c r="G2358" s="15" t="n">
        <v>0.713292387221365</v>
      </c>
      <c r="H2358" s="16" t="n">
        <v>-0.231762745781211</v>
      </c>
    </row>
    <row r="2359">
      <c r="A2359" t="s">
        <v>31</v>
      </c>
      <c r="B2359" t="s">
        <v>1141</v>
      </c>
      <c r="C2359" t="s">
        <v>1142</v>
      </c>
      <c r="D2359" t="s">
        <v>1461</v>
      </c>
      <c r="E2359" s="14" t="n">
        <v>0.5</v>
      </c>
      <c r="F2359" s="17" t="n">
        <v>101</v>
      </c>
      <c r="G2359" s="15" t="n">
        <v>-0.463591927283394</v>
      </c>
      <c r="H2359" s="16" t="n">
        <v>-0.187303296707956</v>
      </c>
    </row>
    <row r="2360">
      <c r="A2360" t="s">
        <v>31</v>
      </c>
      <c r="B2360" t="s">
        <v>1141</v>
      </c>
      <c r="C2360" t="s">
        <v>1143</v>
      </c>
      <c r="D2360" t="s">
        <v>1461</v>
      </c>
      <c r="E2360" s="14" t="n">
        <v>0.5</v>
      </c>
      <c r="F2360" s="17" t="n">
        <v>78</v>
      </c>
      <c r="G2360" s="15" t="n">
        <v>-0.4567727288213</v>
      </c>
      <c r="H2360" s="16" t="n">
        <v>0.2033683215379</v>
      </c>
    </row>
    <row r="2361">
      <c r="A2361" t="s">
        <v>31</v>
      </c>
      <c r="B2361" t="s">
        <v>1144</v>
      </c>
      <c r="C2361" t="s">
        <v>1145</v>
      </c>
      <c r="D2361" t="s">
        <v>1461</v>
      </c>
      <c r="E2361" s="14" t="n">
        <v>1.5</v>
      </c>
      <c r="F2361" s="17" t="n">
        <v>160</v>
      </c>
      <c r="G2361" s="15" t="n">
        <v>1.14906666467847</v>
      </c>
      <c r="H2361" s="16" t="n">
        <v>-0.964181414529809</v>
      </c>
    </row>
    <row r="2362">
      <c r="A2362" t="s">
        <v>31</v>
      </c>
      <c r="B2362" t="s">
        <v>1144</v>
      </c>
      <c r="C2362" t="s">
        <v>1146</v>
      </c>
      <c r="D2362" t="s">
        <v>1461</v>
      </c>
      <c r="E2362" s="14" t="n">
        <v>0.5</v>
      </c>
      <c r="F2362" s="17" t="n">
        <v>11</v>
      </c>
      <c r="G2362" s="15" t="n">
        <v>0.463591927283394</v>
      </c>
      <c r="H2362" s="16" t="n">
        <v>0.187303296707956</v>
      </c>
    </row>
    <row r="2363">
      <c r="A2363" t="s">
        <v>30</v>
      </c>
      <c r="B2363" t="s">
        <v>1147</v>
      </c>
      <c r="C2363" t="s">
        <v>1148</v>
      </c>
      <c r="D2363" t="s">
        <v>1461</v>
      </c>
      <c r="E2363" s="14" t="n">
        <v>1</v>
      </c>
      <c r="F2363" s="17" t="n">
        <v>0</v>
      </c>
      <c r="G2363" s="15" t="n">
        <v>1</v>
      </c>
      <c r="H2363" s="16" t="n">
        <v>0</v>
      </c>
    </row>
    <row r="2364">
      <c r="A2364" t="s">
        <v>30</v>
      </c>
      <c r="B2364" t="s">
        <v>1147</v>
      </c>
      <c r="C2364" t="s">
        <v>1149</v>
      </c>
      <c r="D2364" t="s">
        <v>1461</v>
      </c>
      <c r="E2364" s="14" t="n">
        <v>0.75</v>
      </c>
      <c r="F2364" s="17" t="n">
        <v>176</v>
      </c>
      <c r="G2364" s="15" t="n">
        <v>0.742701051556178</v>
      </c>
      <c r="H2364" s="16" t="n">
        <v>-0.104379825720049</v>
      </c>
    </row>
    <row r="2365">
      <c r="A2365" t="s">
        <v>31</v>
      </c>
      <c r="B2365" t="s">
        <v>1150</v>
      </c>
      <c r="C2365" t="s">
        <v>1151</v>
      </c>
      <c r="D2365" t="s">
        <v>1461</v>
      </c>
      <c r="E2365" s="14" t="n">
        <v>0.25</v>
      </c>
      <c r="F2365" s="17" t="n">
        <v>96</v>
      </c>
      <c r="G2365" s="15" t="n">
        <v>-0.244536900183451</v>
      </c>
      <c r="H2365" s="16" t="n">
        <v>-0.0519779227044398</v>
      </c>
    </row>
    <row r="2366">
      <c r="A2366" t="s">
        <v>30</v>
      </c>
      <c r="B2366" t="s">
        <v>1152</v>
      </c>
      <c r="C2366" t="s">
        <v>1153</v>
      </c>
      <c r="D2366" t="s">
        <v>1461</v>
      </c>
      <c r="E2366" s="14" t="n">
        <v>0.25</v>
      </c>
      <c r="F2366" s="17" t="n">
        <v>129</v>
      </c>
      <c r="G2366" s="15" t="n">
        <v>-0.0519779227044399</v>
      </c>
      <c r="H2366" s="16" t="n">
        <v>-0.244536900183451</v>
      </c>
    </row>
    <row r="2367">
      <c r="A2367" t="s">
        <v>30</v>
      </c>
      <c r="B2367" t="s">
        <v>1152</v>
      </c>
      <c r="C2367" t="s">
        <v>1154</v>
      </c>
      <c r="D2367" t="s">
        <v>1461</v>
      </c>
      <c r="E2367" s="14" t="n">
        <v>0.5</v>
      </c>
      <c r="F2367" s="17" t="n">
        <v>60</v>
      </c>
      <c r="G2367" s="15" t="n">
        <v>-0.25</v>
      </c>
      <c r="H2367" s="16" t="n">
        <v>0.433012701892219</v>
      </c>
    </row>
    <row r="2368">
      <c r="A2368" t="s">
        <v>30</v>
      </c>
      <c r="B2368" t="s">
        <v>1155</v>
      </c>
      <c r="C2368" t="s">
        <v>1156</v>
      </c>
      <c r="D2368" t="s">
        <v>1461</v>
      </c>
      <c r="E2368" s="14" t="n">
        <v>0.75</v>
      </c>
      <c r="F2368" s="17" t="n">
        <v>167</v>
      </c>
      <c r="G2368" s="15" t="n">
        <v>0.674095534724375</v>
      </c>
      <c r="H2368" s="16" t="n">
        <v>-0.328778360091808</v>
      </c>
    </row>
    <row r="2369">
      <c r="A2369" t="s">
        <v>31</v>
      </c>
      <c r="B2369" t="s">
        <v>1157</v>
      </c>
      <c r="C2369" t="s">
        <v>1158</v>
      </c>
      <c r="D2369" t="s">
        <v>1461</v>
      </c>
      <c r="E2369" s="14" t="n">
        <v>0.5</v>
      </c>
      <c r="F2369" s="17" t="n">
        <v>72</v>
      </c>
      <c r="G2369" s="15" t="n">
        <v>-0.404508497187474</v>
      </c>
      <c r="H2369" s="16" t="n">
        <v>0.293892626146237</v>
      </c>
    </row>
    <row r="2370">
      <c r="A2370" t="s">
        <v>31</v>
      </c>
      <c r="B2370" t="s">
        <v>1157</v>
      </c>
      <c r="C2370" t="s">
        <v>1159</v>
      </c>
      <c r="D2370" t="s">
        <v>1461</v>
      </c>
      <c r="E2370" s="14" t="n">
        <v>0.5</v>
      </c>
      <c r="F2370" s="17" t="n">
        <v>111</v>
      </c>
      <c r="G2370" s="15" t="n">
        <v>-0.371572412738697</v>
      </c>
      <c r="H2370" s="16" t="n">
        <v>-0.334565303179429</v>
      </c>
    </row>
    <row r="2371">
      <c r="A2371" t="s">
        <v>32</v>
      </c>
      <c r="B2371" t="s">
        <v>1160</v>
      </c>
      <c r="C2371" t="s">
        <v>1161</v>
      </c>
      <c r="D2371" t="s">
        <v>1461</v>
      </c>
      <c r="E2371" s="14" t="n">
        <v>0.75</v>
      </c>
      <c r="F2371" s="17" t="n">
        <v>48</v>
      </c>
      <c r="G2371" s="15" t="n">
        <v>-0.07839634745074</v>
      </c>
      <c r="H2371" s="16" t="n">
        <v>0.745891421526205</v>
      </c>
    </row>
    <row r="2372">
      <c r="A2372" t="s">
        <v>32</v>
      </c>
      <c r="B2372" t="s">
        <v>1160</v>
      </c>
      <c r="C2372" t="s">
        <v>1162</v>
      </c>
      <c r="D2372" t="s">
        <v>1461</v>
      </c>
      <c r="E2372" s="14" t="n">
        <v>1.5</v>
      </c>
      <c r="F2372" s="17" t="n">
        <v>114</v>
      </c>
      <c r="G2372" s="15" t="n">
        <v>-1.00369590953829</v>
      </c>
      <c r="H2372" s="16" t="n">
        <v>-1.11471723821609</v>
      </c>
    </row>
    <row r="2373">
      <c r="A2373" t="s">
        <v>30</v>
      </c>
      <c r="B2373" t="s">
        <v>1163</v>
      </c>
      <c r="C2373" t="s">
        <v>1164</v>
      </c>
      <c r="D2373" t="s">
        <v>1461</v>
      </c>
      <c r="E2373" s="14" t="n">
        <v>1.5</v>
      </c>
      <c r="F2373" s="17" t="n">
        <v>8</v>
      </c>
      <c r="G2373" s="15" t="n">
        <v>1.44189254390748</v>
      </c>
      <c r="H2373" s="16" t="n">
        <v>0.413456033725499</v>
      </c>
    </row>
    <row r="2374">
      <c r="A2374" t="s">
        <v>31</v>
      </c>
      <c r="B2374" t="s">
        <v>1165</v>
      </c>
      <c r="C2374" t="s">
        <v>1166</v>
      </c>
      <c r="D2374" t="s">
        <v>1461</v>
      </c>
      <c r="E2374" s="14" t="n">
        <v>0.25</v>
      </c>
      <c r="F2374" s="17" t="n">
        <v>1</v>
      </c>
      <c r="G2374" s="15" t="n">
        <v>0.249847706754774</v>
      </c>
      <c r="H2374" s="16" t="n">
        <v>0.00872487417562524</v>
      </c>
    </row>
    <row r="2375">
      <c r="A2375" t="s">
        <v>30</v>
      </c>
      <c r="B2375" t="s">
        <v>1167</v>
      </c>
      <c r="C2375" t="s">
        <v>1168</v>
      </c>
      <c r="D2375" t="s">
        <v>1461</v>
      </c>
      <c r="E2375" s="14" t="n">
        <v>0.75</v>
      </c>
      <c r="F2375" s="17" t="n">
        <v>171</v>
      </c>
      <c r="G2375" s="15" t="n">
        <v>0.713292387221365</v>
      </c>
      <c r="H2375" s="16" t="n">
        <v>-0.231762745781211</v>
      </c>
    </row>
    <row r="2376">
      <c r="A2376" t="s">
        <v>30</v>
      </c>
      <c r="B2376" t="s">
        <v>1167</v>
      </c>
      <c r="C2376" t="s">
        <v>1169</v>
      </c>
      <c r="D2376" t="s">
        <v>1461</v>
      </c>
      <c r="E2376" s="14" t="n">
        <v>0.5</v>
      </c>
      <c r="F2376" s="17" t="n">
        <v>6</v>
      </c>
      <c r="G2376" s="15" t="n">
        <v>0.489073800366903</v>
      </c>
      <c r="H2376" s="16" t="n">
        <v>0.10395584540888</v>
      </c>
    </row>
    <row r="2377">
      <c r="A2377" t="s">
        <v>31</v>
      </c>
      <c r="B2377" t="s">
        <v>1170</v>
      </c>
      <c r="C2377" t="s">
        <v>1171</v>
      </c>
      <c r="D2377" t="s">
        <v>1461</v>
      </c>
      <c r="E2377" s="14" t="n">
        <v>0.5</v>
      </c>
      <c r="F2377" s="17" t="n">
        <v>175</v>
      </c>
      <c r="G2377" s="15" t="n">
        <v>0.492403876506104</v>
      </c>
      <c r="H2377" s="16" t="n">
        <v>-0.0868240888334652</v>
      </c>
    </row>
    <row r="2378">
      <c r="A2378" t="s">
        <v>31</v>
      </c>
      <c r="B2378" t="s">
        <v>1170</v>
      </c>
      <c r="C2378" t="s">
        <v>1172</v>
      </c>
      <c r="D2378" t="s">
        <v>1461</v>
      </c>
      <c r="E2378" s="14" t="n">
        <v>0.25</v>
      </c>
      <c r="F2378" s="17" t="n">
        <v>2</v>
      </c>
      <c r="G2378" s="15" t="n">
        <v>0.249391012564956</v>
      </c>
      <c r="H2378" s="16" t="n">
        <v>0.0174391184360313</v>
      </c>
    </row>
    <row r="2379">
      <c r="A2379" t="s">
        <v>31</v>
      </c>
      <c r="B2379" t="s">
        <v>1173</v>
      </c>
      <c r="C2379" t="s">
        <v>1174</v>
      </c>
      <c r="D2379" t="s">
        <v>1461</v>
      </c>
      <c r="E2379" s="14" t="n">
        <v>0.75</v>
      </c>
      <c r="F2379" s="17" t="n">
        <v>94</v>
      </c>
      <c r="G2379" s="15" t="n">
        <v>-0.742701051556178</v>
      </c>
      <c r="H2379" s="16" t="n">
        <v>-0.104379825720049</v>
      </c>
    </row>
    <row r="2380">
      <c r="A2380" t="s">
        <v>31</v>
      </c>
      <c r="B2380" t="s">
        <v>1173</v>
      </c>
      <c r="C2380" t="s">
        <v>1175</v>
      </c>
      <c r="D2380" t="s">
        <v>1461</v>
      </c>
      <c r="E2380" s="14" t="n">
        <v>1</v>
      </c>
      <c r="F2380" s="17" t="n">
        <v>75</v>
      </c>
      <c r="G2380" s="15" t="n">
        <v>-0.866025403784439</v>
      </c>
      <c r="H2380" s="16" t="n">
        <v>0.5</v>
      </c>
    </row>
    <row r="2381">
      <c r="A2381" t="s">
        <v>31</v>
      </c>
      <c r="B2381" t="s">
        <v>1176</v>
      </c>
      <c r="C2381" t="s">
        <v>1177</v>
      </c>
      <c r="D2381" t="s">
        <v>1461</v>
      </c>
      <c r="E2381" s="14" t="n">
        <v>0.75</v>
      </c>
      <c r="F2381" s="17" t="n">
        <v>93</v>
      </c>
      <c r="G2381" s="15" t="n">
        <v>-0.745891421526205</v>
      </c>
      <c r="H2381" s="16" t="n">
        <v>-0.0783963474507403</v>
      </c>
    </row>
    <row r="2382">
      <c r="A2382" t="s">
        <v>31</v>
      </c>
      <c r="B2382" t="s">
        <v>1176</v>
      </c>
      <c r="C2382" t="s">
        <v>1178</v>
      </c>
      <c r="D2382" t="s">
        <v>1461</v>
      </c>
      <c r="E2382" s="14" t="n">
        <v>0.5</v>
      </c>
      <c r="F2382" s="17" t="n">
        <v>80</v>
      </c>
      <c r="G2382" s="15" t="n">
        <v>-0.469846310392954</v>
      </c>
      <c r="H2382" s="16" t="n">
        <v>0.171010071662834</v>
      </c>
    </row>
    <row r="2383">
      <c r="A2383" t="s">
        <v>31</v>
      </c>
      <c r="B2383" t="s">
        <v>1179</v>
      </c>
      <c r="C2383" t="s">
        <v>1180</v>
      </c>
      <c r="D2383" t="s">
        <v>1461</v>
      </c>
      <c r="E2383" s="14" t="n">
        <v>1.5</v>
      </c>
      <c r="F2383" s="17" t="n">
        <v>173</v>
      </c>
      <c r="G2383" s="15" t="n">
        <v>1.45544358941399</v>
      </c>
      <c r="H2383" s="16" t="n">
        <v>-0.362882843399501</v>
      </c>
    </row>
    <row r="2384">
      <c r="A2384" t="s">
        <v>31</v>
      </c>
      <c r="B2384" t="s">
        <v>1179</v>
      </c>
      <c r="C2384" t="s">
        <v>1181</v>
      </c>
      <c r="D2384" t="s">
        <v>1461</v>
      </c>
      <c r="E2384" s="14" t="n">
        <v>1</v>
      </c>
      <c r="F2384" s="17" t="n">
        <v>19</v>
      </c>
      <c r="G2384" s="15" t="n">
        <v>0.788010753606722</v>
      </c>
      <c r="H2384" s="16" t="n">
        <v>0.615661475325658</v>
      </c>
    </row>
    <row r="2385">
      <c r="A2385" t="s">
        <v>30</v>
      </c>
      <c r="B2385" t="s">
        <v>1182</v>
      </c>
      <c r="C2385" t="s">
        <v>1183</v>
      </c>
      <c r="D2385" t="s">
        <v>1461</v>
      </c>
      <c r="E2385" s="14" t="n">
        <v>0.75</v>
      </c>
      <c r="F2385" s="17" t="n">
        <v>179</v>
      </c>
      <c r="G2385" s="15" t="n">
        <v>0.749543120264322</v>
      </c>
      <c r="H2385" s="16" t="n">
        <v>-0.0261746225268756</v>
      </c>
    </row>
    <row r="2386">
      <c r="A2386" t="s">
        <v>32</v>
      </c>
      <c r="B2386" t="s">
        <v>1184</v>
      </c>
      <c r="C2386" t="s">
        <v>1185</v>
      </c>
      <c r="D2386" t="s">
        <v>1461</v>
      </c>
      <c r="E2386" s="14" t="n">
        <v>0.5</v>
      </c>
      <c r="F2386" s="17" t="n">
        <v>11</v>
      </c>
      <c r="G2386" s="15" t="n">
        <v>0.463591927283394</v>
      </c>
      <c r="H2386" s="16" t="n">
        <v>0.187303296707956</v>
      </c>
    </row>
    <row r="2387">
      <c r="A2387" t="s">
        <v>32</v>
      </c>
      <c r="B2387" t="s">
        <v>1184</v>
      </c>
      <c r="C2387" t="s">
        <v>1186</v>
      </c>
      <c r="D2387" t="s">
        <v>1461</v>
      </c>
      <c r="E2387" s="14" t="n">
        <v>0.5</v>
      </c>
      <c r="F2387" s="17" t="n">
        <v>165</v>
      </c>
      <c r="G2387" s="15" t="n">
        <v>0.433012701892219</v>
      </c>
      <c r="H2387" s="16" t="n">
        <v>-0.25</v>
      </c>
    </row>
    <row r="2388">
      <c r="A2388" t="s">
        <v>30</v>
      </c>
      <c r="B2388" t="s">
        <v>1187</v>
      </c>
      <c r="C2388" t="s">
        <v>1188</v>
      </c>
      <c r="D2388" t="s">
        <v>1461</v>
      </c>
      <c r="E2388" s="14" t="n">
        <v>1.5</v>
      </c>
      <c r="F2388" s="17" t="n">
        <v>7</v>
      </c>
      <c r="G2388" s="15" t="n">
        <v>1.45544358941399</v>
      </c>
      <c r="H2388" s="16" t="n">
        <v>0.362882843399502</v>
      </c>
    </row>
    <row r="2389">
      <c r="A2389" t="s">
        <v>30</v>
      </c>
      <c r="B2389" t="s">
        <v>1187</v>
      </c>
      <c r="C2389" t="s">
        <v>1189</v>
      </c>
      <c r="D2389" t="s">
        <v>1461</v>
      </c>
      <c r="E2389" s="14" t="n">
        <v>1</v>
      </c>
      <c r="F2389" s="17" t="n">
        <v>4</v>
      </c>
      <c r="G2389" s="15" t="n">
        <v>0.99026806874157</v>
      </c>
      <c r="H2389" s="16" t="n">
        <v>0.139173100960065</v>
      </c>
    </row>
    <row r="2390">
      <c r="A2390" t="s">
        <v>30</v>
      </c>
      <c r="B2390" t="s">
        <v>1190</v>
      </c>
      <c r="C2390" t="s">
        <v>1191</v>
      </c>
      <c r="D2390" t="s">
        <v>1461</v>
      </c>
      <c r="E2390" s="14" t="n">
        <v>0.75</v>
      </c>
      <c r="F2390" s="17" t="n">
        <v>152</v>
      </c>
      <c r="G2390" s="15" t="n">
        <v>0.41939467760306</v>
      </c>
      <c r="H2390" s="16" t="n">
        <v>-0.621778179416281</v>
      </c>
    </row>
    <row r="2391">
      <c r="A2391" t="s">
        <v>30</v>
      </c>
      <c r="B2391" t="s">
        <v>1190</v>
      </c>
      <c r="C2391" t="s">
        <v>1192</v>
      </c>
      <c r="D2391" t="s">
        <v>1461</v>
      </c>
      <c r="E2391" s="14" t="n">
        <v>1</v>
      </c>
      <c r="F2391" s="17" t="n">
        <v>29</v>
      </c>
      <c r="G2391" s="15" t="n">
        <v>0.529919264233205</v>
      </c>
      <c r="H2391" s="16" t="n">
        <v>0.848048096156426</v>
      </c>
    </row>
    <row r="2392">
      <c r="A2392" t="s">
        <v>31</v>
      </c>
      <c r="B2392" t="s">
        <v>1193</v>
      </c>
      <c r="C2392" t="s">
        <v>1194</v>
      </c>
      <c r="D2392" t="s">
        <v>1461</v>
      </c>
      <c r="E2392" s="14" t="n">
        <v>1</v>
      </c>
      <c r="F2392" s="17" t="n">
        <v>168</v>
      </c>
      <c r="G2392" s="15" t="n">
        <v>0.913545457642601</v>
      </c>
      <c r="H2392" s="16" t="n">
        <v>-0.4067366430758</v>
      </c>
    </row>
    <row r="2393">
      <c r="A2393" t="s">
        <v>31</v>
      </c>
      <c r="B2393" t="s">
        <v>1193</v>
      </c>
      <c r="C2393" t="s">
        <v>1195</v>
      </c>
      <c r="D2393" t="s">
        <v>1461</v>
      </c>
      <c r="E2393" s="14" t="n">
        <v>0.75</v>
      </c>
      <c r="F2393" s="17" t="n">
        <v>8</v>
      </c>
      <c r="G2393" s="15" t="n">
        <v>0.720946271953739</v>
      </c>
      <c r="H2393" s="16" t="n">
        <v>0.206728016862749</v>
      </c>
    </row>
    <row r="2394">
      <c r="A2394" t="s">
        <v>31</v>
      </c>
      <c r="B2394" t="s">
        <v>1196</v>
      </c>
      <c r="C2394" t="s">
        <v>1197</v>
      </c>
      <c r="D2394" t="s">
        <v>1461</v>
      </c>
      <c r="E2394" s="14" t="n">
        <v>1.25</v>
      </c>
      <c r="F2394" s="17" t="n">
        <v>6</v>
      </c>
      <c r="G2394" s="15" t="n">
        <v>1.22268450091726</v>
      </c>
      <c r="H2394" s="16" t="n">
        <v>0.259889613522199</v>
      </c>
    </row>
    <row r="2395">
      <c r="A2395" t="s">
        <v>32</v>
      </c>
      <c r="B2395" t="s">
        <v>1198</v>
      </c>
      <c r="C2395" t="s">
        <v>1199</v>
      </c>
      <c r="D2395" t="s">
        <v>1461</v>
      </c>
      <c r="E2395" s="14" t="n">
        <v>0.25</v>
      </c>
      <c r="F2395" s="17" t="n">
        <v>102</v>
      </c>
      <c r="G2395" s="15" t="n">
        <v>-0.22838636441065</v>
      </c>
      <c r="H2395" s="16" t="n">
        <v>-0.10168416076895</v>
      </c>
    </row>
    <row r="2396">
      <c r="A2396" t="s">
        <v>32</v>
      </c>
      <c r="B2396" t="s">
        <v>1200</v>
      </c>
      <c r="C2396" t="s">
        <v>1201</v>
      </c>
      <c r="D2396" t="s">
        <v>1461</v>
      </c>
      <c r="E2396" s="14" t="n">
        <v>0.5</v>
      </c>
      <c r="F2396" s="17" t="n">
        <v>20</v>
      </c>
      <c r="G2396" s="15" t="n">
        <v>0.383022221559489</v>
      </c>
      <c r="H2396" s="16" t="n">
        <v>0.32139380484327</v>
      </c>
    </row>
    <row r="2397">
      <c r="A2397" t="s">
        <v>30</v>
      </c>
      <c r="B2397" t="s">
        <v>1445</v>
      </c>
      <c r="C2397" t="s">
        <v>1446</v>
      </c>
      <c r="D2397" t="s">
        <v>1461</v>
      </c>
      <c r="E2397" s="14" t="n">
        <v>1.75</v>
      </c>
      <c r="F2397" s="17" t="n">
        <v>71</v>
      </c>
      <c r="G2397" s="15" t="n">
        <v>-1.37901881881176</v>
      </c>
      <c r="H2397" s="16" t="n">
        <v>1.0774075818199</v>
      </c>
    </row>
    <row r="2398">
      <c r="A2398" t="s">
        <v>30</v>
      </c>
      <c r="B2398" t="s">
        <v>1445</v>
      </c>
      <c r="C2398" t="s">
        <v>1447</v>
      </c>
      <c r="D2398" t="s">
        <v>1461</v>
      </c>
      <c r="E2398" s="14" t="n">
        <v>0.75</v>
      </c>
      <c r="F2398" s="17" t="n">
        <v>116</v>
      </c>
      <c r="G2398" s="15" t="n">
        <v>-0.461746106494244</v>
      </c>
      <c r="H2398" s="16" t="n">
        <v>-0.591008065205042</v>
      </c>
    </row>
    <row r="2399">
      <c r="A2399" t="s">
        <v>30</v>
      </c>
      <c r="B2399" t="s">
        <v>1448</v>
      </c>
      <c r="C2399" t="s">
        <v>1449</v>
      </c>
      <c r="D2399" t="s">
        <v>1461</v>
      </c>
      <c r="E2399" s="14" t="n">
        <v>2.25</v>
      </c>
      <c r="F2399" s="17" t="n">
        <v>6</v>
      </c>
      <c r="G2399" s="15" t="n">
        <v>2.20083210165106</v>
      </c>
      <c r="H2399" s="16" t="n">
        <v>0.467801304339958</v>
      </c>
    </row>
    <row r="2400">
      <c r="A2400" t="s">
        <v>32</v>
      </c>
      <c r="B2400" t="s">
        <v>1202</v>
      </c>
      <c r="C2400" t="s">
        <v>1203</v>
      </c>
      <c r="D2400" t="s">
        <v>1461</v>
      </c>
      <c r="E2400" s="14" t="n">
        <v>1.25</v>
      </c>
      <c r="F2400" s="17" t="n">
        <v>176</v>
      </c>
      <c r="G2400" s="15" t="n">
        <v>1.23783508592696</v>
      </c>
      <c r="H2400" s="16" t="n">
        <v>-0.173966376200082</v>
      </c>
    </row>
    <row r="2401">
      <c r="A2401" t="s">
        <v>32</v>
      </c>
      <c r="B2401" t="s">
        <v>1202</v>
      </c>
      <c r="C2401" t="s">
        <v>1204</v>
      </c>
      <c r="D2401" t="s">
        <v>1461</v>
      </c>
      <c r="E2401" s="14" t="n">
        <v>1</v>
      </c>
      <c r="F2401" s="17" t="n">
        <v>8</v>
      </c>
      <c r="G2401" s="15" t="n">
        <v>0.961261695938319</v>
      </c>
      <c r="H2401" s="16" t="n">
        <v>0.275637355816999</v>
      </c>
    </row>
    <row r="2402">
      <c r="A2402" t="s">
        <v>30</v>
      </c>
      <c r="B2402" t="s">
        <v>1205</v>
      </c>
      <c r="C2402" t="s">
        <v>1206</v>
      </c>
      <c r="D2402" t="s">
        <v>1461</v>
      </c>
      <c r="E2402" s="14" t="n">
        <v>0.25</v>
      </c>
      <c r="F2402" s="17" t="n">
        <v>175</v>
      </c>
      <c r="G2402" s="15" t="n">
        <v>0.246201938253052</v>
      </c>
      <c r="H2402" s="16" t="n">
        <v>-0.0434120444167326</v>
      </c>
    </row>
    <row r="2403">
      <c r="A2403" t="s">
        <v>30</v>
      </c>
      <c r="B2403" t="s">
        <v>1205</v>
      </c>
      <c r="C2403" t="s">
        <v>1207</v>
      </c>
      <c r="D2403" t="s">
        <v>1461</v>
      </c>
      <c r="E2403" s="14" t="n">
        <v>0.25</v>
      </c>
      <c r="F2403" s="17" t="n">
        <v>1</v>
      </c>
      <c r="G2403" s="15" t="n">
        <v>0.249847706754774</v>
      </c>
      <c r="H2403" s="16" t="n">
        <v>0.00872487417562524</v>
      </c>
    </row>
    <row r="2404">
      <c r="A2404" t="s">
        <v>30</v>
      </c>
      <c r="B2404" t="s">
        <v>1208</v>
      </c>
      <c r="C2404" t="s">
        <v>1209</v>
      </c>
      <c r="D2404" t="s">
        <v>1461</v>
      </c>
      <c r="E2404" s="14" t="n">
        <v>0</v>
      </c>
      <c r="F2404" s="17" t="n">
        <v>154</v>
      </c>
      <c r="G2404" s="15" t="n">
        <v>0</v>
      </c>
      <c r="H2404" s="16" t="n">
        <v>0</v>
      </c>
    </row>
    <row r="2405">
      <c r="A2405" t="s">
        <v>30</v>
      </c>
      <c r="B2405" t="s">
        <v>1210</v>
      </c>
      <c r="C2405" t="s">
        <v>1211</v>
      </c>
      <c r="D2405" t="s">
        <v>1461</v>
      </c>
      <c r="E2405" s="14" t="n">
        <v>1</v>
      </c>
      <c r="F2405" s="17" t="n">
        <v>88</v>
      </c>
      <c r="G2405" s="15" t="n">
        <v>-0.997564050259824</v>
      </c>
      <c r="H2405" s="16" t="n">
        <v>0.0697564737441255</v>
      </c>
    </row>
    <row r="2406">
      <c r="A2406" t="s">
        <v>32</v>
      </c>
      <c r="B2406" t="s">
        <v>1212</v>
      </c>
      <c r="C2406" t="s">
        <v>1213</v>
      </c>
      <c r="D2406" t="s">
        <v>1461</v>
      </c>
      <c r="E2406" s="14" t="n">
        <v>1</v>
      </c>
      <c r="F2406" s="17" t="n">
        <v>7</v>
      </c>
      <c r="G2406" s="15" t="n">
        <v>0.970295726275996</v>
      </c>
      <c r="H2406" s="16" t="n">
        <v>0.241921895599668</v>
      </c>
    </row>
    <row r="2407">
      <c r="A2407" t="s">
        <v>32</v>
      </c>
      <c r="B2407" t="s">
        <v>1212</v>
      </c>
      <c r="C2407" t="s">
        <v>1214</v>
      </c>
      <c r="D2407" t="s">
        <v>1461</v>
      </c>
      <c r="E2407" s="14" t="n">
        <v>1.25</v>
      </c>
      <c r="F2407" s="17" t="n">
        <v>169</v>
      </c>
      <c r="G2407" s="15" t="n">
        <v>1.15897981820848</v>
      </c>
      <c r="H2407" s="16" t="n">
        <v>-0.46825824176989</v>
      </c>
    </row>
    <row r="2408">
      <c r="A2408" t="s">
        <v>31</v>
      </c>
      <c r="B2408" t="s">
        <v>1215</v>
      </c>
      <c r="C2408" t="s">
        <v>1216</v>
      </c>
      <c r="D2408" t="s">
        <v>1461</v>
      </c>
      <c r="E2408" s="14" t="n">
        <v>0.75</v>
      </c>
      <c r="F2408" s="17" t="n">
        <v>178</v>
      </c>
      <c r="G2408" s="15" t="n">
        <v>0.748173037694868</v>
      </c>
      <c r="H2408" s="16" t="n">
        <v>-0.0523173553080938</v>
      </c>
    </row>
    <row r="2409">
      <c r="A2409" t="s">
        <v>31</v>
      </c>
      <c r="B2409" t="s">
        <v>1215</v>
      </c>
      <c r="C2409" t="s">
        <v>1217</v>
      </c>
      <c r="D2409" t="s">
        <v>1461</v>
      </c>
      <c r="E2409" s="14" t="n">
        <v>0.25</v>
      </c>
      <c r="F2409" s="17" t="n">
        <v>0</v>
      </c>
      <c r="G2409" s="15" t="n">
        <v>0.25</v>
      </c>
      <c r="H2409" s="16" t="n">
        <v>0</v>
      </c>
    </row>
    <row r="2410">
      <c r="A2410" t="s">
        <v>32</v>
      </c>
      <c r="B2410" t="s">
        <v>1218</v>
      </c>
      <c r="C2410" t="s">
        <v>1219</v>
      </c>
      <c r="D2410" t="s">
        <v>1461</v>
      </c>
      <c r="E2410" s="14" t="n">
        <v>0.75</v>
      </c>
      <c r="F2410" s="17" t="n">
        <v>107</v>
      </c>
      <c r="G2410" s="15" t="n">
        <v>-0.621778179416281</v>
      </c>
      <c r="H2410" s="16" t="n">
        <v>-0.41939467760306</v>
      </c>
    </row>
    <row r="2411">
      <c r="A2411" t="s">
        <v>31</v>
      </c>
      <c r="B2411" t="s">
        <v>1220</v>
      </c>
      <c r="C2411" t="s">
        <v>1221</v>
      </c>
      <c r="D2411" t="s">
        <v>1461</v>
      </c>
      <c r="E2411" s="14" t="n">
        <v>0.25</v>
      </c>
      <c r="F2411" s="17" t="n">
        <v>64</v>
      </c>
      <c r="G2411" s="15" t="n">
        <v>-0.153915368831415</v>
      </c>
      <c r="H2411" s="16" t="n">
        <v>0.197002688401681</v>
      </c>
    </row>
    <row r="2412">
      <c r="A2412" t="s">
        <v>31</v>
      </c>
      <c r="B2412" t="s">
        <v>1220</v>
      </c>
      <c r="C2412" t="s">
        <v>1222</v>
      </c>
      <c r="D2412" t="s">
        <v>1461</v>
      </c>
      <c r="E2412" s="14" t="n">
        <v>1</v>
      </c>
      <c r="F2412" s="17" t="n">
        <v>127</v>
      </c>
      <c r="G2412" s="15" t="n">
        <v>-0.275637355816999</v>
      </c>
      <c r="H2412" s="16" t="n">
        <v>-0.961261695938319</v>
      </c>
    </row>
    <row r="2413">
      <c r="A2413" t="s">
        <v>30</v>
      </c>
      <c r="B2413" t="s">
        <v>1223</v>
      </c>
      <c r="C2413" t="s">
        <v>1224</v>
      </c>
      <c r="D2413" t="s">
        <v>1461</v>
      </c>
      <c r="E2413" s="14" t="n">
        <v>1</v>
      </c>
      <c r="F2413" s="17" t="n">
        <v>164</v>
      </c>
      <c r="G2413" s="15" t="n">
        <v>0.848048096156426</v>
      </c>
      <c r="H2413" s="16" t="n">
        <v>-0.529919264233205</v>
      </c>
    </row>
    <row r="2414">
      <c r="A2414" t="s">
        <v>31</v>
      </c>
      <c r="B2414" t="s">
        <v>1225</v>
      </c>
      <c r="C2414" t="s">
        <v>1226</v>
      </c>
      <c r="D2414" t="s">
        <v>1461</v>
      </c>
      <c r="E2414" s="14" t="n">
        <v>1.25</v>
      </c>
      <c r="F2414" s="17" t="n">
        <v>2</v>
      </c>
      <c r="G2414" s="15" t="n">
        <v>1.24695506282478</v>
      </c>
      <c r="H2414" s="16" t="n">
        <v>0.0871955921801566</v>
      </c>
    </row>
    <row r="2415">
      <c r="A2415" t="s">
        <v>31</v>
      </c>
      <c r="B2415" t="s">
        <v>1225</v>
      </c>
      <c r="C2415" t="s">
        <v>1227</v>
      </c>
      <c r="D2415" t="s">
        <v>1461</v>
      </c>
      <c r="E2415" s="14" t="n">
        <v>1.25</v>
      </c>
      <c r="F2415" s="17" t="n">
        <v>163</v>
      </c>
      <c r="G2415" s="15" t="n">
        <v>1.0362969656938</v>
      </c>
      <c r="H2415" s="16" t="n">
        <v>-0.698991129338433</v>
      </c>
    </row>
    <row r="2416">
      <c r="A2416" t="s">
        <v>31</v>
      </c>
      <c r="B2416" t="s">
        <v>1228</v>
      </c>
      <c r="C2416" t="s">
        <v>1229</v>
      </c>
      <c r="D2416" t="s">
        <v>1461</v>
      </c>
      <c r="E2416" s="14" t="n">
        <v>0.25</v>
      </c>
      <c r="F2416" s="17" t="n">
        <v>172</v>
      </c>
      <c r="G2416" s="15" t="n">
        <v>0.24031542398458</v>
      </c>
      <c r="H2416" s="16" t="n">
        <v>-0.0689093389542497</v>
      </c>
    </row>
    <row r="2417">
      <c r="A2417" t="s">
        <v>31</v>
      </c>
      <c r="B2417" t="s">
        <v>1228</v>
      </c>
      <c r="C2417" t="s">
        <v>1230</v>
      </c>
      <c r="D2417" t="s">
        <v>1461</v>
      </c>
      <c r="E2417" s="14" t="n">
        <v>0.5</v>
      </c>
      <c r="F2417" s="17" t="n">
        <v>3</v>
      </c>
      <c r="G2417" s="15" t="n">
        <v>0.497260947684137</v>
      </c>
      <c r="H2417" s="16" t="n">
        <v>0.0522642316338267</v>
      </c>
    </row>
    <row r="2418">
      <c r="A2418" t="s">
        <v>30</v>
      </c>
      <c r="B2418" t="s">
        <v>1231</v>
      </c>
      <c r="C2418" t="s">
        <v>1232</v>
      </c>
      <c r="D2418" t="s">
        <v>1461</v>
      </c>
      <c r="E2418" s="14" t="n">
        <v>0.5</v>
      </c>
      <c r="F2418" s="17" t="n">
        <v>163</v>
      </c>
      <c r="G2418" s="15" t="n">
        <v>0.414518786277521</v>
      </c>
      <c r="H2418" s="16" t="n">
        <v>-0.279596451735373</v>
      </c>
    </row>
    <row r="2419">
      <c r="A2419" t="s">
        <v>30</v>
      </c>
      <c r="B2419" t="s">
        <v>1233</v>
      </c>
      <c r="C2419" t="s">
        <v>1234</v>
      </c>
      <c r="D2419" t="s">
        <v>1461</v>
      </c>
      <c r="E2419" s="14" t="n">
        <v>0.75</v>
      </c>
      <c r="F2419" s="17" t="n">
        <v>26</v>
      </c>
      <c r="G2419" s="15" t="n">
        <v>0.461746106494244</v>
      </c>
      <c r="H2419" s="16" t="n">
        <v>0.591008065205041</v>
      </c>
    </row>
    <row r="2420">
      <c r="A2420" t="s">
        <v>30</v>
      </c>
      <c r="B2420" t="s">
        <v>1233</v>
      </c>
      <c r="C2420" t="s">
        <v>1235</v>
      </c>
      <c r="D2420" t="s">
        <v>1461</v>
      </c>
      <c r="E2420" s="14" t="n">
        <v>1.75</v>
      </c>
      <c r="F2420" s="17" t="n">
        <v>148</v>
      </c>
      <c r="G2420" s="15" t="n">
        <v>0.767149506880885</v>
      </c>
      <c r="H2420" s="16" t="n">
        <v>-1.57288958102354</v>
      </c>
    </row>
    <row r="2421">
      <c r="A2421" t="s">
        <v>30</v>
      </c>
      <c r="B2421" t="s">
        <v>1236</v>
      </c>
      <c r="C2421" t="s">
        <v>1237</v>
      </c>
      <c r="D2421" t="s">
        <v>1461</v>
      </c>
      <c r="E2421" s="14" t="n">
        <v>0.75</v>
      </c>
      <c r="F2421" s="17" t="n">
        <v>38</v>
      </c>
      <c r="G2421" s="15" t="n">
        <v>0.181441421699751</v>
      </c>
      <c r="H2421" s="16" t="n">
        <v>0.727721794706997</v>
      </c>
    </row>
    <row r="2422">
      <c r="A2422" t="s">
        <v>32</v>
      </c>
      <c r="B2422" t="s">
        <v>1238</v>
      </c>
      <c r="C2422" t="s">
        <v>1239</v>
      </c>
      <c r="D2422" t="s">
        <v>1461</v>
      </c>
      <c r="E2422" s="14" t="n">
        <v>3</v>
      </c>
      <c r="F2422" s="17" t="n">
        <v>159</v>
      </c>
      <c r="G2422" s="15" t="n">
        <v>2.22943447643218</v>
      </c>
      <c r="H2422" s="16" t="n">
        <v>-2.00739181907658</v>
      </c>
    </row>
    <row r="2423">
      <c r="A2423" t="s">
        <v>32</v>
      </c>
      <c r="B2423" t="s">
        <v>1238</v>
      </c>
      <c r="C2423" t="s">
        <v>1240</v>
      </c>
      <c r="D2423" t="s">
        <v>1461</v>
      </c>
      <c r="E2423" s="14" t="n">
        <v>2.5</v>
      </c>
      <c r="F2423" s="17" t="n">
        <v>23</v>
      </c>
      <c r="G2423" s="15" t="n">
        <v>1.73664592614749</v>
      </c>
      <c r="H2423" s="16" t="n">
        <v>1.79834950084663</v>
      </c>
    </row>
    <row r="2424">
      <c r="A2424" t="s">
        <v>30</v>
      </c>
      <c r="B2424" t="s">
        <v>1241</v>
      </c>
      <c r="C2424" t="s">
        <v>1242</v>
      </c>
      <c r="D2424" t="s">
        <v>1461</v>
      </c>
      <c r="E2424" s="14" t="n">
        <v>0.25</v>
      </c>
      <c r="F2424" s="17" t="n">
        <v>97</v>
      </c>
      <c r="G2424" s="15" t="n">
        <v>-0.242573931568999</v>
      </c>
      <c r="H2424" s="16" t="n">
        <v>-0.0604804738999169</v>
      </c>
    </row>
    <row r="2425">
      <c r="A2425" t="s">
        <v>30</v>
      </c>
      <c r="B2425" t="s">
        <v>1243</v>
      </c>
      <c r="C2425" t="s">
        <v>1244</v>
      </c>
      <c r="D2425" t="s">
        <v>1461</v>
      </c>
      <c r="E2425" s="14" t="n">
        <v>1.25</v>
      </c>
      <c r="F2425" s="17" t="n">
        <v>3</v>
      </c>
      <c r="G2425" s="15" t="n">
        <v>1.24315236921034</v>
      </c>
      <c r="H2425" s="16" t="n">
        <v>0.130660579084567</v>
      </c>
    </row>
    <row r="2426">
      <c r="A2426" t="s">
        <v>30</v>
      </c>
      <c r="B2426" t="s">
        <v>1243</v>
      </c>
      <c r="C2426" t="s">
        <v>1245</v>
      </c>
      <c r="D2426" t="s">
        <v>1461</v>
      </c>
      <c r="E2426" s="14" t="n">
        <v>1.5</v>
      </c>
      <c r="F2426" s="17" t="n">
        <v>16</v>
      </c>
      <c r="G2426" s="15" t="n">
        <v>1.27207214423464</v>
      </c>
      <c r="H2426" s="16" t="n">
        <v>0.794878896349807</v>
      </c>
    </row>
    <row r="2427">
      <c r="A2427" t="s">
        <v>31</v>
      </c>
      <c r="B2427" t="s">
        <v>1246</v>
      </c>
      <c r="C2427" t="s">
        <v>1247</v>
      </c>
      <c r="D2427" t="s">
        <v>1461</v>
      </c>
      <c r="E2427" s="14" t="n">
        <v>1</v>
      </c>
      <c r="F2427" s="17" t="n">
        <v>14</v>
      </c>
      <c r="G2427" s="15" t="n">
        <v>0.882947592858927</v>
      </c>
      <c r="H2427" s="16" t="n">
        <v>0.469471562785891</v>
      </c>
    </row>
    <row r="2428">
      <c r="A2428" t="s">
        <v>31</v>
      </c>
      <c r="B2428" t="s">
        <v>1248</v>
      </c>
      <c r="C2428" t="s">
        <v>1249</v>
      </c>
      <c r="D2428" t="s">
        <v>1461</v>
      </c>
      <c r="E2428" s="14" t="n">
        <v>0.75</v>
      </c>
      <c r="F2428" s="17" t="n">
        <v>91</v>
      </c>
      <c r="G2428" s="15" t="n">
        <v>-0.749543120264322</v>
      </c>
      <c r="H2428" s="16" t="n">
        <v>-0.0261746225268759</v>
      </c>
    </row>
    <row r="2429">
      <c r="A2429" t="s">
        <v>30</v>
      </c>
      <c r="B2429" t="s">
        <v>1250</v>
      </c>
      <c r="C2429" t="s">
        <v>1251</v>
      </c>
      <c r="D2429" t="s">
        <v>1461</v>
      </c>
      <c r="E2429" s="14" t="n">
        <v>0.5</v>
      </c>
      <c r="F2429" s="17" t="n">
        <v>42</v>
      </c>
      <c r="G2429" s="15" t="n">
        <v>0.0522642316338267</v>
      </c>
      <c r="H2429" s="16" t="n">
        <v>0.497260947684137</v>
      </c>
    </row>
    <row r="2430">
      <c r="A2430" t="s">
        <v>30</v>
      </c>
      <c r="B2430" t="s">
        <v>1250</v>
      </c>
      <c r="C2430" t="s">
        <v>1252</v>
      </c>
      <c r="D2430" t="s">
        <v>1461</v>
      </c>
      <c r="E2430" s="14" t="n">
        <v>0.75</v>
      </c>
      <c r="F2430" s="17" t="n">
        <v>139</v>
      </c>
      <c r="G2430" s="15" t="n">
        <v>0.104379825720049</v>
      </c>
      <c r="H2430" s="16" t="n">
        <v>-0.742701051556178</v>
      </c>
    </row>
    <row r="2431">
      <c r="A2431" t="s">
        <v>32</v>
      </c>
      <c r="B2431" t="s">
        <v>1253</v>
      </c>
      <c r="C2431" t="s">
        <v>1254</v>
      </c>
      <c r="D2431" t="s">
        <v>1461</v>
      </c>
      <c r="E2431" s="14" t="n">
        <v>0.25</v>
      </c>
      <c r="F2431" s="17" t="n">
        <v>4</v>
      </c>
      <c r="G2431" s="15" t="n">
        <v>0.247567017185393</v>
      </c>
      <c r="H2431" s="16" t="n">
        <v>0.0347932752400164</v>
      </c>
    </row>
    <row r="2432">
      <c r="A2432" t="s">
        <v>32</v>
      </c>
      <c r="B2432" t="s">
        <v>1253</v>
      </c>
      <c r="C2432" t="s">
        <v>1255</v>
      </c>
      <c r="D2432" t="s">
        <v>1461</v>
      </c>
      <c r="E2432" s="14" t="n">
        <v>0.25</v>
      </c>
      <c r="F2432" s="17" t="n">
        <v>175</v>
      </c>
      <c r="G2432" s="15" t="n">
        <v>0.246201938253052</v>
      </c>
      <c r="H2432" s="16" t="n">
        <v>-0.0434120444167326</v>
      </c>
    </row>
    <row r="2433">
      <c r="A2433" t="s">
        <v>30</v>
      </c>
      <c r="B2433" t="s">
        <v>1450</v>
      </c>
      <c r="C2433" t="s">
        <v>1451</v>
      </c>
      <c r="D2433" t="s">
        <v>1461</v>
      </c>
      <c r="E2433" s="14" t="n">
        <v>1</v>
      </c>
      <c r="F2433" s="17" t="n">
        <v>129</v>
      </c>
      <c r="G2433" s="15" t="n">
        <v>-0.20791169081776</v>
      </c>
      <c r="H2433" s="16" t="n">
        <v>-0.978147600733806</v>
      </c>
    </row>
    <row r="2434">
      <c r="A2434" t="s">
        <v>30</v>
      </c>
      <c r="B2434" t="s">
        <v>1450</v>
      </c>
      <c r="C2434" t="s">
        <v>1452</v>
      </c>
      <c r="D2434" t="s">
        <v>1461</v>
      </c>
      <c r="E2434" s="14" t="n">
        <v>0.75</v>
      </c>
      <c r="F2434" s="17" t="n">
        <v>54</v>
      </c>
      <c r="G2434" s="15" t="n">
        <v>-0.231762745781211</v>
      </c>
      <c r="H2434" s="16" t="n">
        <v>0.713292387221365</v>
      </c>
    </row>
    <row r="2435">
      <c r="A2435" t="s">
        <v>32</v>
      </c>
      <c r="B2435" t="s">
        <v>1256</v>
      </c>
      <c r="C2435" t="s">
        <v>1257</v>
      </c>
      <c r="D2435" t="s">
        <v>1461</v>
      </c>
      <c r="E2435" s="14" t="n">
        <v>0.25</v>
      </c>
      <c r="F2435" s="17" t="n">
        <v>175</v>
      </c>
      <c r="G2435" s="15" t="n">
        <v>0.246201938253052</v>
      </c>
      <c r="H2435" s="16" t="n">
        <v>-0.0434120444167326</v>
      </c>
    </row>
    <row r="2436">
      <c r="A2436" t="s">
        <v>32</v>
      </c>
      <c r="B2436" t="s">
        <v>1256</v>
      </c>
      <c r="C2436" t="s">
        <v>1258</v>
      </c>
      <c r="D2436" t="s">
        <v>1461</v>
      </c>
      <c r="E2436" s="14" t="n">
        <v>0.5</v>
      </c>
      <c r="F2436" s="17" t="n">
        <v>16</v>
      </c>
      <c r="G2436" s="15" t="n">
        <v>0.424024048078213</v>
      </c>
      <c r="H2436" s="16" t="n">
        <v>0.264959632116602</v>
      </c>
    </row>
    <row r="2437">
      <c r="A2437" t="s">
        <v>31</v>
      </c>
      <c r="B2437" t="s">
        <v>1259</v>
      </c>
      <c r="C2437" t="s">
        <v>1260</v>
      </c>
      <c r="D2437" t="s">
        <v>1461</v>
      </c>
      <c r="E2437" s="14" t="n">
        <v>0.25</v>
      </c>
      <c r="F2437" s="17" t="n">
        <v>9</v>
      </c>
      <c r="G2437" s="15" t="n">
        <v>0.237764129073788</v>
      </c>
      <c r="H2437" s="16" t="n">
        <v>0.0772542485937368</v>
      </c>
    </row>
    <row r="2438">
      <c r="A2438" t="s">
        <v>31</v>
      </c>
      <c r="B2438" t="s">
        <v>1259</v>
      </c>
      <c r="C2438" t="s">
        <v>1261</v>
      </c>
      <c r="D2438" t="s">
        <v>1461</v>
      </c>
      <c r="E2438" s="14" t="n">
        <v>0.5</v>
      </c>
      <c r="F2438" s="17" t="n">
        <v>3</v>
      </c>
      <c r="G2438" s="15" t="n">
        <v>0.497260947684137</v>
      </c>
      <c r="H2438" s="16" t="n">
        <v>0.0522642316338267</v>
      </c>
    </row>
    <row r="2439">
      <c r="A2439" t="s">
        <v>30</v>
      </c>
      <c r="B2439" t="s">
        <v>1262</v>
      </c>
      <c r="C2439" t="s">
        <v>1263</v>
      </c>
      <c r="D2439" t="s">
        <v>1461</v>
      </c>
      <c r="E2439" s="14" t="n">
        <v>1.25</v>
      </c>
      <c r="F2439" s="17" t="n">
        <v>0</v>
      </c>
      <c r="G2439" s="15" t="n">
        <v>1.25</v>
      </c>
      <c r="H2439" s="16" t="n">
        <v>0</v>
      </c>
    </row>
    <row r="2440">
      <c r="A2440" t="s">
        <v>30</v>
      </c>
      <c r="B2440" t="s">
        <v>1262</v>
      </c>
      <c r="C2440" t="s">
        <v>1264</v>
      </c>
      <c r="D2440" t="s">
        <v>1461</v>
      </c>
      <c r="E2440" s="14" t="n">
        <v>1.25</v>
      </c>
      <c r="F2440" s="17" t="n">
        <v>171</v>
      </c>
      <c r="G2440" s="15" t="n">
        <v>1.18882064536894</v>
      </c>
      <c r="H2440" s="16" t="n">
        <v>-0.386271242968685</v>
      </c>
    </row>
    <row r="2441">
      <c r="A2441" t="s">
        <v>30</v>
      </c>
      <c r="B2441" t="s">
        <v>1265</v>
      </c>
      <c r="C2441" t="s">
        <v>1266</v>
      </c>
      <c r="D2441" t="s">
        <v>1461</v>
      </c>
      <c r="E2441" s="14" t="n">
        <v>1</v>
      </c>
      <c r="F2441" s="17" t="n">
        <v>18</v>
      </c>
      <c r="G2441" s="15" t="n">
        <v>0.809016994374947</v>
      </c>
      <c r="H2441" s="16" t="n">
        <v>0.587785252292473</v>
      </c>
    </row>
    <row r="2442">
      <c r="A2442" t="s">
        <v>30</v>
      </c>
      <c r="B2442" t="s">
        <v>1265</v>
      </c>
      <c r="C2442" t="s">
        <v>1267</v>
      </c>
      <c r="D2442" t="s">
        <v>1461</v>
      </c>
      <c r="E2442" s="14" t="n">
        <v>1.5</v>
      </c>
      <c r="F2442" s="17" t="n">
        <v>157</v>
      </c>
      <c r="G2442" s="15" t="n">
        <v>1.0419875556885</v>
      </c>
      <c r="H2442" s="16" t="n">
        <v>-1.07900970050798</v>
      </c>
    </row>
    <row r="2443">
      <c r="A2443" t="s">
        <v>32</v>
      </c>
      <c r="B2443" t="s">
        <v>1268</v>
      </c>
      <c r="C2443" t="s">
        <v>1269</v>
      </c>
      <c r="D2443" t="s">
        <v>1461</v>
      </c>
      <c r="E2443" s="14" t="n">
        <v>0.75</v>
      </c>
      <c r="F2443" s="17" t="n">
        <v>8</v>
      </c>
      <c r="G2443" s="15" t="n">
        <v>0.720946271953739</v>
      </c>
      <c r="H2443" s="16" t="n">
        <v>0.206728016862749</v>
      </c>
    </row>
    <row r="2444">
      <c r="A2444" t="s">
        <v>32</v>
      </c>
      <c r="B2444" t="s">
        <v>1268</v>
      </c>
      <c r="C2444" t="s">
        <v>1270</v>
      </c>
      <c r="D2444" t="s">
        <v>1461</v>
      </c>
      <c r="E2444" s="14" t="n">
        <v>1</v>
      </c>
      <c r="F2444" s="17" t="n">
        <v>179</v>
      </c>
      <c r="G2444" s="15" t="n">
        <v>0.999390827019096</v>
      </c>
      <c r="H2444" s="16" t="n">
        <v>-0.0348994967025008</v>
      </c>
    </row>
    <row r="2445">
      <c r="A2445" t="s">
        <v>30</v>
      </c>
      <c r="B2445" t="s">
        <v>1271</v>
      </c>
      <c r="C2445" t="s">
        <v>1272</v>
      </c>
      <c r="D2445" t="s">
        <v>1461</v>
      </c>
      <c r="E2445" s="14" t="n">
        <v>1.5</v>
      </c>
      <c r="F2445" s="17" t="n">
        <v>165</v>
      </c>
      <c r="G2445" s="15" t="n">
        <v>1.29903810567666</v>
      </c>
      <c r="H2445" s="16" t="n">
        <v>-0.75</v>
      </c>
    </row>
    <row r="2446">
      <c r="A2446" t="s">
        <v>30</v>
      </c>
      <c r="B2446" t="s">
        <v>1271</v>
      </c>
      <c r="C2446" t="s">
        <v>1273</v>
      </c>
      <c r="D2446" t="s">
        <v>1461</v>
      </c>
      <c r="E2446" s="14" t="n">
        <v>0.75</v>
      </c>
      <c r="F2446" s="17" t="n">
        <v>15</v>
      </c>
      <c r="G2446" s="15" t="n">
        <v>0.649519052838329</v>
      </c>
      <c r="H2446" s="16" t="n">
        <v>0.375</v>
      </c>
    </row>
    <row r="2447">
      <c r="A2447" t="s">
        <v>30</v>
      </c>
      <c r="B2447" t="s">
        <v>1274</v>
      </c>
      <c r="C2447" t="s">
        <v>1275</v>
      </c>
      <c r="D2447" t="s">
        <v>1461</v>
      </c>
      <c r="E2447" s="14" t="n">
        <v>0.5</v>
      </c>
      <c r="F2447" s="17" t="n">
        <v>84</v>
      </c>
      <c r="G2447" s="15" t="n">
        <v>-0.489073800366903</v>
      </c>
      <c r="H2447" s="16" t="n">
        <v>0.10395584540888</v>
      </c>
    </row>
    <row r="2448">
      <c r="A2448" t="s">
        <v>30</v>
      </c>
      <c r="B2448" t="s">
        <v>1274</v>
      </c>
      <c r="C2448" t="s">
        <v>1276</v>
      </c>
      <c r="D2448" t="s">
        <v>1461</v>
      </c>
      <c r="E2448" s="14" t="n">
        <v>0.25</v>
      </c>
      <c r="F2448" s="17" t="n">
        <v>83</v>
      </c>
      <c r="G2448" s="15" t="n">
        <v>-0.242573931568999</v>
      </c>
      <c r="H2448" s="16" t="n">
        <v>0.0604804738999169</v>
      </c>
    </row>
    <row r="2449">
      <c r="A2449" t="s">
        <v>31</v>
      </c>
      <c r="B2449" t="s">
        <v>1277</v>
      </c>
      <c r="C2449" t="s">
        <v>1278</v>
      </c>
      <c r="D2449" t="s">
        <v>1461</v>
      </c>
      <c r="E2449" s="14" t="n">
        <v>0.25</v>
      </c>
      <c r="F2449" s="17" t="n">
        <v>21</v>
      </c>
      <c r="G2449" s="15" t="n">
        <v>0.185786206369349</v>
      </c>
      <c r="H2449" s="16" t="n">
        <v>0.167282651589715</v>
      </c>
    </row>
    <row r="2450">
      <c r="A2450" t="s">
        <v>31</v>
      </c>
      <c r="B2450" t="s">
        <v>1277</v>
      </c>
      <c r="C2450" t="s">
        <v>1279</v>
      </c>
      <c r="D2450" t="s">
        <v>1461</v>
      </c>
      <c r="E2450" s="14" t="n">
        <v>0.25</v>
      </c>
      <c r="F2450" s="17" t="n">
        <v>146</v>
      </c>
      <c r="G2450" s="15" t="n">
        <v>0.093651648353978</v>
      </c>
      <c r="H2450" s="16" t="n">
        <v>-0.231795963641697</v>
      </c>
    </row>
    <row r="2451">
      <c r="A2451" t="s">
        <v>32</v>
      </c>
      <c r="B2451" t="s">
        <v>1280</v>
      </c>
      <c r="C2451" t="s">
        <v>1281</v>
      </c>
      <c r="D2451" t="s">
        <v>1461</v>
      </c>
      <c r="E2451" s="14" t="n">
        <v>0.75</v>
      </c>
      <c r="F2451" s="17" t="n">
        <v>174</v>
      </c>
      <c r="G2451" s="15" t="n">
        <v>0.733610700550354</v>
      </c>
      <c r="H2451" s="16" t="n">
        <v>-0.155933768113319</v>
      </c>
    </row>
    <row r="2452">
      <c r="A2452" t="s">
        <v>30</v>
      </c>
      <c r="B2452" t="s">
        <v>1282</v>
      </c>
      <c r="C2452" t="s">
        <v>1283</v>
      </c>
      <c r="D2452" t="s">
        <v>1461</v>
      </c>
      <c r="E2452" s="14" t="n">
        <v>0.75</v>
      </c>
      <c r="F2452" s="17" t="n">
        <v>10</v>
      </c>
      <c r="G2452" s="15" t="n">
        <v>0.704769465589431</v>
      </c>
      <c r="H2452" s="16" t="n">
        <v>0.256515107494252</v>
      </c>
    </row>
    <row r="2453">
      <c r="A2453" t="s">
        <v>30</v>
      </c>
      <c r="B2453" t="s">
        <v>1282</v>
      </c>
      <c r="C2453" t="s">
        <v>1284</v>
      </c>
      <c r="D2453" t="s">
        <v>1461</v>
      </c>
      <c r="E2453" s="14" t="n">
        <v>1.25</v>
      </c>
      <c r="F2453" s="17" t="n">
        <v>171</v>
      </c>
      <c r="G2453" s="15" t="n">
        <v>1.18882064536894</v>
      </c>
      <c r="H2453" s="16" t="n">
        <v>-0.386271242968685</v>
      </c>
    </row>
    <row r="2454">
      <c r="A2454" t="s">
        <v>30</v>
      </c>
      <c r="B2454" t="s">
        <v>1285</v>
      </c>
      <c r="C2454" t="s">
        <v>1286</v>
      </c>
      <c r="D2454" t="s">
        <v>1461</v>
      </c>
      <c r="E2454" s="14" t="n">
        <v>0.25</v>
      </c>
      <c r="F2454" s="17" t="n">
        <v>165</v>
      </c>
      <c r="G2454" s="15" t="n">
        <v>0.21650635094611</v>
      </c>
      <c r="H2454" s="16" t="n">
        <v>-0.125</v>
      </c>
    </row>
    <row r="2455">
      <c r="A2455" t="s">
        <v>31</v>
      </c>
      <c r="B2455" t="s">
        <v>1287</v>
      </c>
      <c r="C2455" t="s">
        <v>1288</v>
      </c>
      <c r="D2455" t="s">
        <v>1461</v>
      </c>
      <c r="E2455" s="14" t="n">
        <v>0.75</v>
      </c>
      <c r="F2455" s="17" t="n">
        <v>89</v>
      </c>
      <c r="G2455" s="15" t="n">
        <v>-0.749543120264322</v>
      </c>
      <c r="H2455" s="16" t="n">
        <v>0.0261746225268759</v>
      </c>
    </row>
    <row r="2456">
      <c r="A2456" t="s">
        <v>31</v>
      </c>
      <c r="B2456" t="s">
        <v>1287</v>
      </c>
      <c r="C2456" t="s">
        <v>1289</v>
      </c>
      <c r="D2456" t="s">
        <v>1461</v>
      </c>
      <c r="E2456" s="14" t="n">
        <v>0.5</v>
      </c>
      <c r="F2456" s="17" t="n">
        <v>102</v>
      </c>
      <c r="G2456" s="15" t="n">
        <v>-0.456772728821301</v>
      </c>
      <c r="H2456" s="16" t="n">
        <v>-0.2033683215379</v>
      </c>
    </row>
    <row r="2457">
      <c r="A2457" t="s">
        <v>30</v>
      </c>
      <c r="B2457" t="s">
        <v>1290</v>
      </c>
      <c r="C2457" t="s">
        <v>1291</v>
      </c>
      <c r="D2457" t="s">
        <v>1461</v>
      </c>
      <c r="E2457" s="14" t="n">
        <v>0.5</v>
      </c>
      <c r="F2457" s="17" t="n">
        <v>157</v>
      </c>
      <c r="G2457" s="15" t="n">
        <v>0.347329185229499</v>
      </c>
      <c r="H2457" s="16" t="n">
        <v>-0.359669900169326</v>
      </c>
    </row>
    <row r="2458">
      <c r="A2458" t="s">
        <v>30</v>
      </c>
      <c r="B2458" t="s">
        <v>1290</v>
      </c>
      <c r="C2458" t="s">
        <v>1292</v>
      </c>
      <c r="D2458" t="s">
        <v>1461</v>
      </c>
      <c r="E2458" s="14" t="n">
        <v>0.75</v>
      </c>
      <c r="F2458" s="17" t="n">
        <v>28</v>
      </c>
      <c r="G2458" s="15" t="n">
        <v>0.41939467760306</v>
      </c>
      <c r="H2458" s="16" t="n">
        <v>0.621778179416281</v>
      </c>
    </row>
    <row r="2459">
      <c r="A2459" t="s">
        <v>31</v>
      </c>
      <c r="B2459" t="s">
        <v>1293</v>
      </c>
      <c r="C2459" t="s">
        <v>1294</v>
      </c>
      <c r="D2459" t="s">
        <v>1461</v>
      </c>
      <c r="E2459" s="14" t="n">
        <v>0.25</v>
      </c>
      <c r="F2459" s="17" t="n">
        <v>0</v>
      </c>
      <c r="G2459" s="15" t="n">
        <v>0.25</v>
      </c>
      <c r="H2459" s="16" t="n">
        <v>0</v>
      </c>
    </row>
    <row r="2460">
      <c r="A2460" t="s">
        <v>31</v>
      </c>
      <c r="B2460" t="s">
        <v>1293</v>
      </c>
      <c r="C2460" t="s">
        <v>1295</v>
      </c>
      <c r="D2460" t="s">
        <v>1461</v>
      </c>
      <c r="E2460" s="14" t="n">
        <v>0.5</v>
      </c>
      <c r="F2460" s="17" t="n">
        <v>19</v>
      </c>
      <c r="G2460" s="15" t="n">
        <v>0.394005376803361</v>
      </c>
      <c r="H2460" s="16" t="n">
        <v>0.307830737662829</v>
      </c>
    </row>
    <row r="2461">
      <c r="A2461" t="s">
        <v>32</v>
      </c>
      <c r="B2461" t="s">
        <v>1296</v>
      </c>
      <c r="C2461" t="s">
        <v>1297</v>
      </c>
      <c r="D2461" t="s">
        <v>1461</v>
      </c>
      <c r="E2461" s="14" t="n">
        <v>2</v>
      </c>
      <c r="F2461" s="17" t="n">
        <v>164</v>
      </c>
      <c r="G2461" s="15" t="n">
        <v>1.69609619231285</v>
      </c>
      <c r="H2461" s="16" t="n">
        <v>-1.05983852846641</v>
      </c>
    </row>
    <row r="2462">
      <c r="A2462" t="s">
        <v>32</v>
      </c>
      <c r="B2462" t="s">
        <v>1296</v>
      </c>
      <c r="C2462" t="s">
        <v>1298</v>
      </c>
      <c r="D2462" t="s">
        <v>1461</v>
      </c>
      <c r="E2462" s="14" t="n">
        <v>2</v>
      </c>
      <c r="F2462" s="17" t="n">
        <v>19</v>
      </c>
      <c r="G2462" s="15" t="n">
        <v>1.57602150721344</v>
      </c>
      <c r="H2462" s="16" t="n">
        <v>1.23132295065132</v>
      </c>
    </row>
    <row r="2463">
      <c r="A2463" t="s">
        <v>32</v>
      </c>
      <c r="B2463" t="s">
        <v>1299</v>
      </c>
      <c r="C2463" t="s">
        <v>1300</v>
      </c>
      <c r="D2463" t="s">
        <v>1461</v>
      </c>
      <c r="E2463" s="14" t="n">
        <v>1.25</v>
      </c>
      <c r="F2463" s="17" t="n">
        <v>88</v>
      </c>
      <c r="G2463" s="15" t="n">
        <v>-1.24695506282478</v>
      </c>
      <c r="H2463" s="16" t="n">
        <v>0.0871955921801569</v>
      </c>
    </row>
    <row r="2464">
      <c r="A2464" t="s">
        <v>32</v>
      </c>
      <c r="B2464" t="s">
        <v>1299</v>
      </c>
      <c r="C2464" t="s">
        <v>1301</v>
      </c>
      <c r="D2464" t="s">
        <v>1461</v>
      </c>
      <c r="E2464" s="14" t="n">
        <v>1.75</v>
      </c>
      <c r="F2464" s="17" t="n">
        <v>109</v>
      </c>
      <c r="G2464" s="15" t="n">
        <v>-1.37901881881176</v>
      </c>
      <c r="H2464" s="16" t="n">
        <v>-1.0774075818199</v>
      </c>
    </row>
    <row r="2465">
      <c r="A2465" t="s">
        <v>30</v>
      </c>
      <c r="B2465" t="s">
        <v>1302</v>
      </c>
      <c r="C2465" t="s">
        <v>1303</v>
      </c>
      <c r="D2465" t="s">
        <v>1461</v>
      </c>
      <c r="E2465" s="14" t="n">
        <v>0.5</v>
      </c>
      <c r="F2465" s="17" t="n">
        <v>53</v>
      </c>
      <c r="G2465" s="15" t="n">
        <v>-0.1378186779085</v>
      </c>
      <c r="H2465" s="16" t="n">
        <v>0.480630847969159</v>
      </c>
    </row>
    <row r="2466">
      <c r="A2466" t="s">
        <v>30</v>
      </c>
      <c r="B2466" t="s">
        <v>1302</v>
      </c>
      <c r="C2466" t="s">
        <v>1304</v>
      </c>
      <c r="D2466" t="s">
        <v>1461</v>
      </c>
      <c r="E2466" s="14" t="n">
        <v>0.25</v>
      </c>
      <c r="F2466" s="17" t="n">
        <v>130</v>
      </c>
      <c r="G2466" s="15" t="n">
        <v>-0.0434120444167326</v>
      </c>
      <c r="H2466" s="16" t="n">
        <v>-0.246201938253052</v>
      </c>
    </row>
    <row r="2467">
      <c r="A2467" t="s">
        <v>31</v>
      </c>
      <c r="B2467" t="s">
        <v>1453</v>
      </c>
      <c r="C2467" t="s">
        <v>1454</v>
      </c>
      <c r="D2467" t="s">
        <v>1461</v>
      </c>
      <c r="E2467" s="14" t="n">
        <v>2.75</v>
      </c>
      <c r="F2467" s="17" t="n">
        <v>172</v>
      </c>
      <c r="G2467" s="15" t="n">
        <v>2.64346966383038</v>
      </c>
      <c r="H2467" s="16" t="n">
        <v>-0.758002728496747</v>
      </c>
    </row>
    <row r="2468">
      <c r="A2468" t="s">
        <v>32</v>
      </c>
      <c r="B2468" t="s">
        <v>1305</v>
      </c>
      <c r="C2468" t="s">
        <v>1306</v>
      </c>
      <c r="D2468" t="s">
        <v>1461</v>
      </c>
      <c r="E2468" s="14" t="n">
        <v>0.75</v>
      </c>
      <c r="F2468" s="17" t="n">
        <v>135</v>
      </c>
      <c r="G2468" s="15" t="n">
        <v>0</v>
      </c>
      <c r="H2468" s="16" t="n">
        <v>-0.75</v>
      </c>
    </row>
    <row r="2469">
      <c r="A2469" t="s">
        <v>32</v>
      </c>
      <c r="B2469" t="s">
        <v>1305</v>
      </c>
      <c r="C2469" t="s">
        <v>1307</v>
      </c>
      <c r="D2469" t="s">
        <v>1461</v>
      </c>
      <c r="E2469" s="14" t="n">
        <v>0.5</v>
      </c>
      <c r="F2469" s="17" t="n">
        <v>46</v>
      </c>
      <c r="G2469" s="15" t="n">
        <v>-0.0174497483512504</v>
      </c>
      <c r="H2469" s="16" t="n">
        <v>0.499695413509548</v>
      </c>
    </row>
    <row r="2470">
      <c r="A2470" t="s">
        <v>31</v>
      </c>
      <c r="B2470" t="s">
        <v>1308</v>
      </c>
      <c r="C2470" t="s">
        <v>1309</v>
      </c>
      <c r="D2470" t="s">
        <v>1461</v>
      </c>
      <c r="E2470" s="14" t="n">
        <v>0.5</v>
      </c>
      <c r="F2470" s="17" t="n">
        <v>85</v>
      </c>
      <c r="G2470" s="15" t="n">
        <v>-0.492403876506104</v>
      </c>
      <c r="H2470" s="16" t="n">
        <v>0.0868240888334653</v>
      </c>
    </row>
    <row r="2471">
      <c r="A2471" t="s">
        <v>30</v>
      </c>
      <c r="B2471" t="s">
        <v>1455</v>
      </c>
      <c r="C2471" t="s">
        <v>1456</v>
      </c>
      <c r="D2471" t="s">
        <v>1461</v>
      </c>
      <c r="E2471" s="14" t="n">
        <v>0.5</v>
      </c>
      <c r="F2471" s="17" t="n">
        <v>126</v>
      </c>
      <c r="G2471" s="15" t="n">
        <v>-0.154508497187474</v>
      </c>
      <c r="H2471" s="16" t="n">
        <v>-0.475528258147577</v>
      </c>
    </row>
    <row r="2472">
      <c r="A2472" t="s">
        <v>32</v>
      </c>
      <c r="B2472" t="s">
        <v>1310</v>
      </c>
      <c r="C2472" t="s">
        <v>1311</v>
      </c>
      <c r="D2472" t="s">
        <v>1461</v>
      </c>
      <c r="E2472" s="14" t="n">
        <v>0.5</v>
      </c>
      <c r="F2472" s="17" t="n">
        <v>104</v>
      </c>
      <c r="G2472" s="15" t="n">
        <v>-0.441473796429464</v>
      </c>
      <c r="H2472" s="16" t="n">
        <v>-0.234735781392945</v>
      </c>
    </row>
    <row r="2473">
      <c r="A2473" t="s">
        <v>32</v>
      </c>
      <c r="B2473" t="s">
        <v>1312</v>
      </c>
      <c r="C2473" t="s">
        <v>1313</v>
      </c>
      <c r="D2473" t="s">
        <v>1461</v>
      </c>
      <c r="E2473" s="14" t="n">
        <v>1.25</v>
      </c>
      <c r="F2473" s="17" t="n">
        <v>4</v>
      </c>
      <c r="G2473" s="15" t="n">
        <v>1.23783508592696</v>
      </c>
      <c r="H2473" s="16" t="n">
        <v>0.173966376200082</v>
      </c>
    </row>
    <row r="2474">
      <c r="A2474" t="s">
        <v>32</v>
      </c>
      <c r="B2474" t="s">
        <v>1312</v>
      </c>
      <c r="C2474" t="s">
        <v>1314</v>
      </c>
      <c r="D2474" t="s">
        <v>1461</v>
      </c>
      <c r="E2474" s="14" t="n">
        <v>0.75</v>
      </c>
      <c r="F2474" s="17" t="n">
        <v>0</v>
      </c>
      <c r="G2474" s="15" t="n">
        <v>0.75</v>
      </c>
      <c r="H2474" s="16" t="n">
        <v>0</v>
      </c>
    </row>
    <row r="2475">
      <c r="A2475" t="s">
        <v>30</v>
      </c>
      <c r="B2475" t="s">
        <v>1315</v>
      </c>
      <c r="C2475" t="s">
        <v>1316</v>
      </c>
      <c r="D2475" t="s">
        <v>1461</v>
      </c>
      <c r="E2475" s="14" t="n">
        <v>0.25</v>
      </c>
      <c r="F2475" s="17" t="n">
        <v>9</v>
      </c>
      <c r="G2475" s="15" t="n">
        <v>0.237764129073788</v>
      </c>
      <c r="H2475" s="16" t="n">
        <v>0.0772542485937368</v>
      </c>
    </row>
    <row r="2476">
      <c r="A2476" t="s">
        <v>30</v>
      </c>
      <c r="B2476" t="s">
        <v>1315</v>
      </c>
      <c r="C2476" t="s">
        <v>1317</v>
      </c>
      <c r="D2476" t="s">
        <v>1461</v>
      </c>
      <c r="E2476" s="14" t="n">
        <v>0.5</v>
      </c>
      <c r="F2476" s="17" t="n">
        <v>165</v>
      </c>
      <c r="G2476" s="15" t="n">
        <v>0.433012701892219</v>
      </c>
      <c r="H2476" s="16" t="n">
        <v>-0.25</v>
      </c>
    </row>
    <row r="2477">
      <c r="A2477" t="s">
        <v>32</v>
      </c>
      <c r="B2477" t="s">
        <v>1318</v>
      </c>
      <c r="C2477" t="s">
        <v>1319</v>
      </c>
      <c r="D2477" t="s">
        <v>1461</v>
      </c>
      <c r="E2477" s="14" t="n">
        <v>0.25</v>
      </c>
      <c r="F2477" s="17" t="n">
        <v>15</v>
      </c>
      <c r="G2477" s="15" t="n">
        <v>0.21650635094611</v>
      </c>
      <c r="H2477" s="16" t="n">
        <v>0.125</v>
      </c>
    </row>
    <row r="2478">
      <c r="A2478" t="s">
        <v>32</v>
      </c>
      <c r="B2478" t="s">
        <v>1318</v>
      </c>
      <c r="C2478" t="s">
        <v>1320</v>
      </c>
      <c r="D2478" t="s">
        <v>1461</v>
      </c>
      <c r="E2478" s="14" t="n">
        <v>0.25</v>
      </c>
      <c r="F2478" s="17" t="n">
        <v>166</v>
      </c>
      <c r="G2478" s="15" t="n">
        <v>0.220736898214732</v>
      </c>
      <c r="H2478" s="16" t="n">
        <v>-0.117367890696473</v>
      </c>
    </row>
    <row r="2479">
      <c r="A2479" t="s">
        <v>30</v>
      </c>
      <c r="B2479" t="s">
        <v>1321</v>
      </c>
      <c r="C2479" t="s">
        <v>1322</v>
      </c>
      <c r="D2479" t="s">
        <v>1461</v>
      </c>
      <c r="E2479" s="14" t="n">
        <v>0.5</v>
      </c>
      <c r="F2479" s="17" t="n">
        <v>4</v>
      </c>
      <c r="G2479" s="15" t="n">
        <v>0.495134034370785</v>
      </c>
      <c r="H2479" s="16" t="n">
        <v>0.0695865504800327</v>
      </c>
    </row>
    <row r="2480">
      <c r="A2480" t="s">
        <v>32</v>
      </c>
      <c r="B2480" t="s">
        <v>1323</v>
      </c>
      <c r="C2480" t="s">
        <v>1324</v>
      </c>
      <c r="D2480" t="s">
        <v>1461</v>
      </c>
      <c r="E2480" s="14" t="n">
        <v>0.75</v>
      </c>
      <c r="F2480" s="17" t="n">
        <v>37</v>
      </c>
      <c r="G2480" s="15" t="n">
        <v>0.206728016862749</v>
      </c>
      <c r="H2480" s="16" t="n">
        <v>0.720946271953739</v>
      </c>
    </row>
    <row r="2481">
      <c r="A2481" t="s">
        <v>32</v>
      </c>
      <c r="B2481" t="s">
        <v>1323</v>
      </c>
      <c r="C2481" t="s">
        <v>1325</v>
      </c>
      <c r="D2481" t="s">
        <v>1461</v>
      </c>
      <c r="E2481" s="14" t="n">
        <v>0.25</v>
      </c>
      <c r="F2481" s="17" t="n">
        <v>145</v>
      </c>
      <c r="G2481" s="15" t="n">
        <v>0.0855050358314172</v>
      </c>
      <c r="H2481" s="16" t="n">
        <v>-0.234923155196477</v>
      </c>
    </row>
    <row r="2482">
      <c r="A2482" t="s">
        <v>30</v>
      </c>
      <c r="B2482" t="s">
        <v>1326</v>
      </c>
      <c r="C2482" t="s">
        <v>1327</v>
      </c>
      <c r="D2482" t="s">
        <v>1461</v>
      </c>
      <c r="E2482" s="14" t="n">
        <v>0.25</v>
      </c>
      <c r="F2482" s="17" t="n">
        <v>10</v>
      </c>
      <c r="G2482" s="15" t="n">
        <v>0.234923155196477</v>
      </c>
      <c r="H2482" s="16" t="n">
        <v>0.0855050358314172</v>
      </c>
    </row>
    <row r="2483">
      <c r="A2483" t="s">
        <v>30</v>
      </c>
      <c r="B2483" t="s">
        <v>1326</v>
      </c>
      <c r="C2483" t="s">
        <v>1328</v>
      </c>
      <c r="D2483" t="s">
        <v>1461</v>
      </c>
      <c r="E2483" s="14" t="n">
        <v>0.25</v>
      </c>
      <c r="F2483" s="17" t="n">
        <v>174</v>
      </c>
      <c r="G2483" s="15" t="n">
        <v>0.244536900183451</v>
      </c>
      <c r="H2483" s="16" t="n">
        <v>-0.0519779227044398</v>
      </c>
    </row>
    <row r="2484">
      <c r="A2484" t="s">
        <v>30</v>
      </c>
      <c r="B2484" t="s">
        <v>1329</v>
      </c>
      <c r="C2484" t="s">
        <v>1330</v>
      </c>
      <c r="D2484" t="s">
        <v>1461</v>
      </c>
      <c r="E2484" s="14" t="n">
        <v>0.5</v>
      </c>
      <c r="F2484" s="17" t="n">
        <v>162</v>
      </c>
      <c r="G2484" s="15" t="n">
        <v>0.404508497187474</v>
      </c>
      <c r="H2484" s="16" t="n">
        <v>-0.293892626146237</v>
      </c>
    </row>
    <row r="2485">
      <c r="A2485" t="s">
        <v>32</v>
      </c>
      <c r="B2485" t="s">
        <v>1331</v>
      </c>
      <c r="C2485" t="s">
        <v>1332</v>
      </c>
      <c r="D2485" t="s">
        <v>1461</v>
      </c>
      <c r="E2485" s="14" t="n">
        <v>0.75</v>
      </c>
      <c r="F2485" s="17" t="n">
        <v>12</v>
      </c>
      <c r="G2485" s="15" t="n">
        <v>0.685159093231951</v>
      </c>
      <c r="H2485" s="16" t="n">
        <v>0.30505248230685</v>
      </c>
    </row>
    <row r="2486">
      <c r="A2486" t="s">
        <v>32</v>
      </c>
      <c r="B2486" t="s">
        <v>1333</v>
      </c>
      <c r="C2486" t="s">
        <v>1334</v>
      </c>
      <c r="D2486" t="s">
        <v>1461</v>
      </c>
      <c r="E2486" s="14" t="n">
        <v>1</v>
      </c>
      <c r="F2486" s="17" t="n">
        <v>166</v>
      </c>
      <c r="G2486" s="15" t="n">
        <v>0.882947592858927</v>
      </c>
      <c r="H2486" s="16" t="n">
        <v>-0.46947156278589</v>
      </c>
    </row>
    <row r="2487">
      <c r="A2487" t="s">
        <v>32</v>
      </c>
      <c r="B2487" t="s">
        <v>1333</v>
      </c>
      <c r="C2487" t="s">
        <v>1335</v>
      </c>
      <c r="D2487" t="s">
        <v>1461</v>
      </c>
      <c r="E2487" s="14" t="n">
        <v>0.5</v>
      </c>
      <c r="F2487" s="17" t="n">
        <v>10</v>
      </c>
      <c r="G2487" s="15" t="n">
        <v>0.469846310392954</v>
      </c>
      <c r="H2487" s="16" t="n">
        <v>0.171010071662834</v>
      </c>
    </row>
    <row r="2488">
      <c r="A2488" t="s">
        <v>30</v>
      </c>
      <c r="B2488" t="s">
        <v>1336</v>
      </c>
      <c r="C2488" t="s">
        <v>1337</v>
      </c>
      <c r="D2488" t="s">
        <v>1461</v>
      </c>
      <c r="E2488" s="14" t="n">
        <v>0.25</v>
      </c>
      <c r="F2488" s="17" t="n">
        <v>48</v>
      </c>
      <c r="G2488" s="15" t="n">
        <v>-0.0261321158169133</v>
      </c>
      <c r="H2488" s="16" t="n">
        <v>0.248630473842068</v>
      </c>
    </row>
    <row r="2489">
      <c r="A2489" t="s">
        <v>30</v>
      </c>
      <c r="B2489" t="s">
        <v>1336</v>
      </c>
      <c r="C2489" t="s">
        <v>1338</v>
      </c>
      <c r="D2489" t="s">
        <v>1461</v>
      </c>
      <c r="E2489" s="14" t="n">
        <v>0.5</v>
      </c>
      <c r="F2489" s="17" t="n">
        <v>141</v>
      </c>
      <c r="G2489" s="15" t="n">
        <v>0.10395584540888</v>
      </c>
      <c r="H2489" s="16" t="n">
        <v>-0.489073800366903</v>
      </c>
    </row>
    <row r="2490">
      <c r="A2490" t="s">
        <v>32</v>
      </c>
      <c r="B2490" t="s">
        <v>1339</v>
      </c>
      <c r="C2490" t="s">
        <v>1340</v>
      </c>
      <c r="D2490" t="s">
        <v>1461</v>
      </c>
      <c r="E2490" s="14" t="n">
        <v>1.25</v>
      </c>
      <c r="F2490" s="17" t="n">
        <v>90</v>
      </c>
      <c r="G2490" s="15" t="n">
        <v>-1.25</v>
      </c>
      <c r="H2490" s="16" t="n">
        <v>0</v>
      </c>
    </row>
    <row r="2491">
      <c r="A2491" t="s">
        <v>32</v>
      </c>
      <c r="B2491" t="s">
        <v>1341</v>
      </c>
      <c r="C2491" t="s">
        <v>1342</v>
      </c>
      <c r="D2491" t="s">
        <v>1461</v>
      </c>
      <c r="E2491" s="14" t="n">
        <v>1.5</v>
      </c>
      <c r="F2491" s="17" t="n">
        <v>175</v>
      </c>
      <c r="G2491" s="15" t="n">
        <v>1.47721162951831</v>
      </c>
      <c r="H2491" s="16" t="n">
        <v>-0.260472266500396</v>
      </c>
    </row>
    <row r="2492">
      <c r="A2492" t="s">
        <v>32</v>
      </c>
      <c r="B2492" t="s">
        <v>1341</v>
      </c>
      <c r="C2492" t="s">
        <v>1343</v>
      </c>
      <c r="D2492" t="s">
        <v>1461</v>
      </c>
      <c r="E2492" s="14" t="n">
        <v>1.5</v>
      </c>
      <c r="F2492" s="17" t="n">
        <v>15</v>
      </c>
      <c r="G2492" s="15" t="n">
        <v>1.29903810567666</v>
      </c>
      <c r="H2492" s="16" t="n">
        <v>0.75</v>
      </c>
    </row>
    <row r="2493">
      <c r="A2493" t="s">
        <v>30</v>
      </c>
      <c r="B2493" t="s">
        <v>1344</v>
      </c>
      <c r="C2493" t="s">
        <v>1345</v>
      </c>
      <c r="D2493" t="s">
        <v>1461</v>
      </c>
      <c r="E2493" s="14" t="n">
        <v>0.5</v>
      </c>
      <c r="F2493" s="17" t="n">
        <v>3</v>
      </c>
      <c r="G2493" s="15" t="n">
        <v>0.497260947684137</v>
      </c>
      <c r="H2493" s="16" t="n">
        <v>0.0522642316338267</v>
      </c>
    </row>
    <row r="2494">
      <c r="A2494" t="s">
        <v>30</v>
      </c>
      <c r="B2494" t="s">
        <v>1344</v>
      </c>
      <c r="C2494" t="s">
        <v>1346</v>
      </c>
      <c r="D2494" t="s">
        <v>1461</v>
      </c>
      <c r="E2494" s="14" t="n">
        <v>0.5</v>
      </c>
      <c r="F2494" s="17" t="n">
        <v>177</v>
      </c>
      <c r="G2494" s="15" t="n">
        <v>0.497260947684137</v>
      </c>
      <c r="H2494" s="16" t="n">
        <v>-0.0522642316338269</v>
      </c>
    </row>
    <row r="2495">
      <c r="A2495" t="s">
        <v>31</v>
      </c>
      <c r="B2495" t="s">
        <v>1347</v>
      </c>
      <c r="C2495" t="s">
        <v>1348</v>
      </c>
      <c r="D2495" t="s">
        <v>1461</v>
      </c>
      <c r="E2495" s="14" t="n">
        <v>1</v>
      </c>
      <c r="F2495" s="17" t="n">
        <v>95</v>
      </c>
      <c r="G2495" s="15" t="n">
        <v>-0.984807753012208</v>
      </c>
      <c r="H2495" s="16" t="n">
        <v>-0.173648177666931</v>
      </c>
    </row>
    <row r="2496">
      <c r="A2496" t="s">
        <v>32</v>
      </c>
      <c r="B2496" t="s">
        <v>1349</v>
      </c>
      <c r="C2496" t="s">
        <v>1350</v>
      </c>
      <c r="D2496" t="s">
        <v>1461</v>
      </c>
      <c r="E2496" s="14" t="n">
        <v>0.75</v>
      </c>
      <c r="F2496" s="17" t="n">
        <v>84</v>
      </c>
      <c r="G2496" s="15" t="n">
        <v>-0.733610700550354</v>
      </c>
      <c r="H2496" s="16" t="n">
        <v>0.155933768113319</v>
      </c>
    </row>
    <row r="2497">
      <c r="A2497" t="s">
        <v>32</v>
      </c>
      <c r="B2497" t="s">
        <v>1349</v>
      </c>
      <c r="C2497" t="s">
        <v>1351</v>
      </c>
      <c r="D2497" t="s">
        <v>1461</v>
      </c>
      <c r="E2497" s="14" t="n">
        <v>0.5</v>
      </c>
      <c r="F2497" s="17" t="n">
        <v>97</v>
      </c>
      <c r="G2497" s="15" t="n">
        <v>-0.485147863137998</v>
      </c>
      <c r="H2497" s="16" t="n">
        <v>-0.120960947799834</v>
      </c>
    </row>
    <row r="2498">
      <c r="A2498" t="s">
        <v>30</v>
      </c>
      <c r="B2498" t="s">
        <v>1352</v>
      </c>
      <c r="C2498" t="s">
        <v>1353</v>
      </c>
      <c r="D2498" t="s">
        <v>1461</v>
      </c>
      <c r="E2498" s="14" t="n">
        <v>0.5</v>
      </c>
      <c r="F2498" s="17" t="n">
        <v>12</v>
      </c>
      <c r="G2498" s="15" t="n">
        <v>0.4567727288213</v>
      </c>
      <c r="H2498" s="16" t="n">
        <v>0.2033683215379</v>
      </c>
    </row>
    <row r="2499">
      <c r="A2499" t="s">
        <v>30</v>
      </c>
      <c r="B2499" t="s">
        <v>1352</v>
      </c>
      <c r="C2499" t="s">
        <v>1354</v>
      </c>
      <c r="D2499" t="s">
        <v>1461</v>
      </c>
      <c r="E2499" s="14" t="n">
        <v>0.75</v>
      </c>
      <c r="F2499" s="17" t="n">
        <v>171</v>
      </c>
      <c r="G2499" s="15" t="n">
        <v>0.713292387221365</v>
      </c>
      <c r="H2499" s="16" t="n">
        <v>-0.231762745781211</v>
      </c>
    </row>
    <row r="2500">
      <c r="A2500" t="s">
        <v>31</v>
      </c>
      <c r="B2500" t="s">
        <v>1355</v>
      </c>
      <c r="C2500" t="s">
        <v>1356</v>
      </c>
      <c r="D2500" t="s">
        <v>1461</v>
      </c>
      <c r="E2500" s="14" t="n">
        <v>0.75</v>
      </c>
      <c r="F2500" s="17" t="n">
        <v>104</v>
      </c>
      <c r="G2500" s="15" t="n">
        <v>-0.662210694644195</v>
      </c>
      <c r="H2500" s="16" t="n">
        <v>-0.352103672089418</v>
      </c>
    </row>
    <row r="2501">
      <c r="A2501" t="s">
        <v>31</v>
      </c>
      <c r="B2501" t="s">
        <v>1355</v>
      </c>
      <c r="C2501" t="s">
        <v>1357</v>
      </c>
      <c r="D2501" t="s">
        <v>1461</v>
      </c>
      <c r="E2501" s="14" t="n">
        <v>0.5</v>
      </c>
      <c r="F2501" s="17" t="n">
        <v>77</v>
      </c>
      <c r="G2501" s="15" t="n">
        <v>-0.449397023149583</v>
      </c>
      <c r="H2501" s="16" t="n">
        <v>0.219185573394539</v>
      </c>
    </row>
    <row r="2502">
      <c r="A2502" t="s">
        <v>32</v>
      </c>
      <c r="B2502" t="s">
        <v>1358</v>
      </c>
      <c r="C2502" t="s">
        <v>1359</v>
      </c>
      <c r="D2502" t="s">
        <v>1461</v>
      </c>
      <c r="E2502" s="14" t="n">
        <v>2</v>
      </c>
      <c r="F2502" s="17" t="n">
        <v>19</v>
      </c>
      <c r="G2502" s="15" t="n">
        <v>1.57602150721344</v>
      </c>
      <c r="H2502" s="16" t="n">
        <v>1.23132295065132</v>
      </c>
    </row>
    <row r="2503">
      <c r="A2503" t="s">
        <v>32</v>
      </c>
      <c r="B2503" t="s">
        <v>1358</v>
      </c>
      <c r="C2503" t="s">
        <v>1360</v>
      </c>
      <c r="D2503" t="s">
        <v>1461</v>
      </c>
      <c r="E2503" s="14" t="n">
        <v>0.25</v>
      </c>
      <c r="F2503" s="17" t="n">
        <v>168</v>
      </c>
      <c r="G2503" s="15" t="n">
        <v>0.22838636441065</v>
      </c>
      <c r="H2503" s="16" t="n">
        <v>-0.10168416076895</v>
      </c>
    </row>
    <row r="2504">
      <c r="A2504" t="s">
        <v>31</v>
      </c>
      <c r="B2504" t="s">
        <v>1361</v>
      </c>
      <c r="C2504" t="s">
        <v>1362</v>
      </c>
      <c r="D2504" t="s">
        <v>1461</v>
      </c>
      <c r="E2504" s="14" t="n">
        <v>1.75</v>
      </c>
      <c r="F2504" s="17" t="n">
        <v>65</v>
      </c>
      <c r="G2504" s="15" t="n">
        <v>-1.12487831695144</v>
      </c>
      <c r="H2504" s="16" t="n">
        <v>1.34057777545821</v>
      </c>
    </row>
    <row r="2505">
      <c r="A2505" t="s">
        <v>31</v>
      </c>
      <c r="B2505" t="s">
        <v>1361</v>
      </c>
      <c r="C2505" t="s">
        <v>1363</v>
      </c>
      <c r="D2505" t="s">
        <v>1461</v>
      </c>
      <c r="E2505" s="14" t="n">
        <v>1.25</v>
      </c>
      <c r="F2505" s="17" t="n">
        <v>107</v>
      </c>
      <c r="G2505" s="15" t="n">
        <v>-1.0362969656938</v>
      </c>
      <c r="H2505" s="16" t="n">
        <v>-0.698991129338434</v>
      </c>
    </row>
    <row r="2506">
      <c r="A2506" t="s">
        <v>30</v>
      </c>
      <c r="B2506" t="s">
        <v>1364</v>
      </c>
      <c r="C2506" t="s">
        <v>1365</v>
      </c>
      <c r="D2506" t="s">
        <v>1461</v>
      </c>
      <c r="E2506" s="14" t="n">
        <v>0.75</v>
      </c>
      <c r="F2506" s="17" t="n">
        <v>131</v>
      </c>
      <c r="G2506" s="15" t="n">
        <v>-0.104379825720049</v>
      </c>
      <c r="H2506" s="16" t="n">
        <v>-0.742701051556178</v>
      </c>
    </row>
    <row r="2507">
      <c r="A2507" t="s">
        <v>30</v>
      </c>
      <c r="B2507" t="s">
        <v>1364</v>
      </c>
      <c r="C2507" t="s">
        <v>1366</v>
      </c>
      <c r="D2507" t="s">
        <v>1461</v>
      </c>
      <c r="E2507" s="14" t="n">
        <v>0.25</v>
      </c>
      <c r="F2507" s="17" t="n">
        <v>53</v>
      </c>
      <c r="G2507" s="15" t="n">
        <v>-0.0689093389542498</v>
      </c>
      <c r="H2507" s="16" t="n">
        <v>0.24031542398458</v>
      </c>
    </row>
    <row r="2508">
      <c r="A2508" t="s">
        <v>30</v>
      </c>
      <c r="B2508" t="s">
        <v>1367</v>
      </c>
      <c r="C2508" t="s">
        <v>1368</v>
      </c>
      <c r="D2508" t="s">
        <v>1461</v>
      </c>
      <c r="E2508" s="14" t="n">
        <v>0.75</v>
      </c>
      <c r="F2508" s="17" t="n">
        <v>173</v>
      </c>
      <c r="G2508" s="15" t="n">
        <v>0.727721794706997</v>
      </c>
      <c r="H2508" s="16" t="n">
        <v>-0.181441421699751</v>
      </c>
    </row>
    <row r="2509">
      <c r="A2509" t="s">
        <v>30</v>
      </c>
      <c r="B2509" t="s">
        <v>1367</v>
      </c>
      <c r="C2509" t="s">
        <v>1369</v>
      </c>
      <c r="D2509" t="s">
        <v>1461</v>
      </c>
      <c r="E2509" s="14" t="n">
        <v>0.5</v>
      </c>
      <c r="F2509" s="17" t="n">
        <v>14</v>
      </c>
      <c r="G2509" s="15" t="n">
        <v>0.441473796429463</v>
      </c>
      <c r="H2509" s="16" t="n">
        <v>0.234735781392945</v>
      </c>
    </row>
    <row r="2510">
      <c r="A2510" t="s">
        <v>31</v>
      </c>
      <c r="B2510" t="s">
        <v>1457</v>
      </c>
      <c r="C2510" t="s">
        <v>1458</v>
      </c>
      <c r="D2510" t="s">
        <v>1461</v>
      </c>
      <c r="E2510" s="14" t="n">
        <v>0.75</v>
      </c>
      <c r="F2510" s="17" t="n">
        <v>12</v>
      </c>
      <c r="G2510" s="15" t="n">
        <v>0.685159093231951</v>
      </c>
      <c r="H2510" s="16" t="n">
        <v>0.30505248230685</v>
      </c>
    </row>
    <row r="2511">
      <c r="A2511" t="s">
        <v>31</v>
      </c>
      <c r="B2511" t="s">
        <v>1457</v>
      </c>
      <c r="C2511" t="s">
        <v>1459</v>
      </c>
      <c r="D2511" t="s">
        <v>1461</v>
      </c>
      <c r="E2511" s="14" t="n">
        <v>0.75</v>
      </c>
      <c r="F2511" s="17" t="n">
        <v>5</v>
      </c>
      <c r="G2511" s="15" t="n">
        <v>0.738605814759156</v>
      </c>
      <c r="H2511" s="16" t="n">
        <v>0.130236133250198</v>
      </c>
    </row>
    <row r="2512">
      <c r="A2512" t="s">
        <v>30</v>
      </c>
      <c r="B2512" t="s">
        <v>1370</v>
      </c>
      <c r="C2512" t="s">
        <v>1371</v>
      </c>
      <c r="D2512" t="s">
        <v>1461</v>
      </c>
      <c r="E2512" s="14" t="n">
        <v>0.5</v>
      </c>
      <c r="F2512" s="17" t="n">
        <v>152</v>
      </c>
      <c r="G2512" s="15" t="n">
        <v>0.279596451735374</v>
      </c>
      <c r="H2512" s="16" t="n">
        <v>-0.414518786277521</v>
      </c>
    </row>
    <row r="2513">
      <c r="A2513" t="s">
        <v>31</v>
      </c>
      <c r="B2513" t="s">
        <v>1372</v>
      </c>
      <c r="C2513" t="s">
        <v>1373</v>
      </c>
      <c r="D2513" t="s">
        <v>1461</v>
      </c>
      <c r="E2513" s="14" t="n">
        <v>1.25</v>
      </c>
      <c r="F2513" s="17" t="n">
        <v>22</v>
      </c>
      <c r="G2513" s="15" t="n">
        <v>0.899174750423314</v>
      </c>
      <c r="H2513" s="16" t="n">
        <v>0.868322963073747</v>
      </c>
    </row>
    <row r="2514">
      <c r="A2514" t="s">
        <v>31</v>
      </c>
      <c r="B2514" t="s">
        <v>1372</v>
      </c>
      <c r="C2514" t="s">
        <v>1374</v>
      </c>
      <c r="D2514" t="s">
        <v>1461</v>
      </c>
      <c r="E2514" s="14" t="n">
        <v>1.5</v>
      </c>
      <c r="F2514" s="17" t="n">
        <v>172</v>
      </c>
      <c r="G2514" s="15" t="n">
        <v>1.44189254390748</v>
      </c>
      <c r="H2514" s="16" t="n">
        <v>-0.413456033725498</v>
      </c>
    </row>
    <row r="2515">
      <c r="A2515" t="s">
        <v>30</v>
      </c>
      <c r="B2515" t="s">
        <v>1375</v>
      </c>
      <c r="C2515" t="s">
        <v>1376</v>
      </c>
      <c r="D2515" t="s">
        <v>1461</v>
      </c>
      <c r="E2515" s="14" t="n">
        <v>0.75</v>
      </c>
      <c r="F2515" s="17" t="n">
        <v>93</v>
      </c>
      <c r="G2515" s="15" t="n">
        <v>-0.745891421526205</v>
      </c>
      <c r="H2515" s="16" t="n">
        <v>-0.0783963474507403</v>
      </c>
    </row>
    <row r="2516">
      <c r="A2516" t="s">
        <v>30</v>
      </c>
      <c r="B2516" t="s">
        <v>1377</v>
      </c>
      <c r="C2516" t="s">
        <v>1378</v>
      </c>
      <c r="D2516" t="s">
        <v>1461</v>
      </c>
      <c r="E2516" s="14" t="n">
        <v>1.5</v>
      </c>
      <c r="F2516" s="17" t="n">
        <v>166</v>
      </c>
      <c r="G2516" s="15" t="n">
        <v>1.32442138928839</v>
      </c>
      <c r="H2516" s="16" t="n">
        <v>-0.704207344178836</v>
      </c>
    </row>
    <row r="2517">
      <c r="A2517" t="s">
        <v>32</v>
      </c>
      <c r="B2517" t="s">
        <v>1379</v>
      </c>
      <c r="C2517" t="s">
        <v>1380</v>
      </c>
      <c r="D2517" t="s">
        <v>1461</v>
      </c>
      <c r="E2517" s="14" t="n">
        <v>0.25</v>
      </c>
      <c r="F2517" s="17" t="n">
        <v>14</v>
      </c>
      <c r="G2517" s="15" t="n">
        <v>0.220736898214732</v>
      </c>
      <c r="H2517" s="16" t="n">
        <v>0.117367890696473</v>
      </c>
    </row>
    <row r="2518">
      <c r="A2518" t="s">
        <v>32</v>
      </c>
      <c r="B2518" t="s">
        <v>1379</v>
      </c>
      <c r="C2518" t="s">
        <v>1381</v>
      </c>
      <c r="D2518" t="s">
        <v>1461</v>
      </c>
      <c r="E2518" s="14" t="n">
        <v>0.25</v>
      </c>
      <c r="F2518" s="17" t="n">
        <v>159</v>
      </c>
      <c r="G2518" s="15" t="n">
        <v>0.185786206369348</v>
      </c>
      <c r="H2518" s="16" t="n">
        <v>-0.167282651589715</v>
      </c>
    </row>
    <row r="2519">
      <c r="A2519" t="s">
        <v>32</v>
      </c>
      <c r="B2519" t="s">
        <v>1382</v>
      </c>
      <c r="C2519" t="s">
        <v>1383</v>
      </c>
      <c r="D2519" t="s">
        <v>1461</v>
      </c>
      <c r="E2519" s="14" t="n">
        <v>0.75</v>
      </c>
      <c r="F2519" s="17" t="n">
        <v>121</v>
      </c>
      <c r="G2519" s="15" t="n">
        <v>-0.352103672089418</v>
      </c>
      <c r="H2519" s="16" t="n">
        <v>-0.662210694644195</v>
      </c>
    </row>
    <row r="2520">
      <c r="A2520" t="s">
        <v>32</v>
      </c>
      <c r="B2520" t="s">
        <v>1382</v>
      </c>
      <c r="C2520" t="s">
        <v>1384</v>
      </c>
      <c r="D2520" t="s">
        <v>1461</v>
      </c>
      <c r="E2520" s="14" t="n">
        <v>1</v>
      </c>
      <c r="F2520" s="17" t="n">
        <v>52</v>
      </c>
      <c r="G2520" s="15" t="n">
        <v>-0.241921895599668</v>
      </c>
      <c r="H2520" s="16" t="n">
        <v>0.970295726275996</v>
      </c>
    </row>
    <row r="2521">
      <c r="A2521" t="s">
        <v>32</v>
      </c>
      <c r="B2521" t="s">
        <v>1385</v>
      </c>
      <c r="C2521" t="s">
        <v>1386</v>
      </c>
      <c r="D2521" t="s">
        <v>1461</v>
      </c>
      <c r="E2521" s="14" t="n">
        <v>0.5</v>
      </c>
      <c r="F2521" s="17" t="n">
        <v>141</v>
      </c>
      <c r="G2521" s="15" t="n">
        <v>0.10395584540888</v>
      </c>
      <c r="H2521" s="16" t="n">
        <v>-0.489073800366903</v>
      </c>
    </row>
    <row r="2522">
      <c r="A2522" t="s">
        <v>30</v>
      </c>
      <c r="B2522" t="s">
        <v>609</v>
      </c>
      <c r="C2522" t="s">
        <v>610</v>
      </c>
      <c r="D2522" t="s">
        <v>1462</v>
      </c>
      <c r="E2522" s="14" t="n">
        <v>0.25</v>
      </c>
      <c r="F2522" s="17" t="n">
        <v>27</v>
      </c>
      <c r="G2522" s="15" t="n">
        <v>0.146946313073118</v>
      </c>
      <c r="H2522" s="16" t="n">
        <v>0.202254248593737</v>
      </c>
    </row>
    <row r="2523">
      <c r="A2523" t="s">
        <v>30</v>
      </c>
      <c r="B2523" t="s">
        <v>609</v>
      </c>
      <c r="C2523" t="s">
        <v>612</v>
      </c>
      <c r="D2523" t="s">
        <v>1462</v>
      </c>
      <c r="E2523" s="14" t="n">
        <v>0.25</v>
      </c>
      <c r="F2523" s="17" t="n">
        <v>75</v>
      </c>
      <c r="G2523" s="15" t="n">
        <v>-0.21650635094611</v>
      </c>
      <c r="H2523" s="16" t="n">
        <v>0.125</v>
      </c>
    </row>
    <row r="2524">
      <c r="A2524" t="s">
        <v>30</v>
      </c>
      <c r="B2524" t="s">
        <v>613</v>
      </c>
      <c r="C2524" t="s">
        <v>614</v>
      </c>
      <c r="D2524" t="s">
        <v>1462</v>
      </c>
      <c r="E2524" s="14" t="n">
        <v>0.5</v>
      </c>
      <c r="F2524" s="17" t="n">
        <v>78</v>
      </c>
      <c r="G2524" s="15" t="n">
        <v>-0.4567727288213</v>
      </c>
      <c r="H2524" s="16" t="n">
        <v>0.2033683215379</v>
      </c>
    </row>
    <row r="2525">
      <c r="A2525" t="s">
        <v>31</v>
      </c>
      <c r="B2525" t="s">
        <v>615</v>
      </c>
      <c r="C2525" t="s">
        <v>616</v>
      </c>
      <c r="D2525" t="s">
        <v>1462</v>
      </c>
      <c r="E2525" s="14" t="n">
        <v>0.25</v>
      </c>
      <c r="F2525" s="17" t="n">
        <v>175</v>
      </c>
      <c r="G2525" s="15" t="n">
        <v>0.246201938253052</v>
      </c>
      <c r="H2525" s="16" t="n">
        <v>-0.0434120444167326</v>
      </c>
    </row>
    <row r="2526">
      <c r="A2526" t="s">
        <v>31</v>
      </c>
      <c r="B2526" t="s">
        <v>615</v>
      </c>
      <c r="C2526" t="s">
        <v>617</v>
      </c>
      <c r="D2526" t="s">
        <v>1462</v>
      </c>
      <c r="E2526" s="14" t="n">
        <v>0.25</v>
      </c>
      <c r="F2526" s="17" t="n">
        <v>17</v>
      </c>
      <c r="G2526" s="15" t="n">
        <v>0.20725939313876</v>
      </c>
      <c r="H2526" s="16" t="n">
        <v>0.139798225867687</v>
      </c>
    </row>
    <row r="2527">
      <c r="A2527" t="s">
        <v>32</v>
      </c>
      <c r="B2527" t="s">
        <v>618</v>
      </c>
      <c r="C2527" t="s">
        <v>619</v>
      </c>
      <c r="D2527" t="s">
        <v>1462</v>
      </c>
      <c r="E2527" s="14" t="n">
        <v>0</v>
      </c>
      <c r="F2527" s="17" t="n">
        <v>79</v>
      </c>
      <c r="G2527" s="15" t="n">
        <v>0</v>
      </c>
      <c r="H2527" s="16" t="n">
        <v>0</v>
      </c>
    </row>
    <row r="2528">
      <c r="A2528" t="s">
        <v>30</v>
      </c>
      <c r="B2528" t="s">
        <v>620</v>
      </c>
      <c r="C2528" t="s">
        <v>621</v>
      </c>
      <c r="D2528" t="s">
        <v>1462</v>
      </c>
      <c r="E2528" s="14" t="n">
        <v>0.25</v>
      </c>
      <c r="F2528" s="17" t="n">
        <v>66</v>
      </c>
      <c r="G2528" s="15" t="n">
        <v>-0.167282651589714</v>
      </c>
      <c r="H2528" s="16" t="n">
        <v>0.185786206369349</v>
      </c>
    </row>
    <row r="2529">
      <c r="A2529" t="s">
        <v>30</v>
      </c>
      <c r="B2529" t="s">
        <v>620</v>
      </c>
      <c r="C2529" t="s">
        <v>622</v>
      </c>
      <c r="D2529" t="s">
        <v>1462</v>
      </c>
      <c r="E2529" s="14" t="n">
        <v>0.75</v>
      </c>
      <c r="F2529" s="17" t="n">
        <v>131</v>
      </c>
      <c r="G2529" s="15" t="n">
        <v>-0.104379825720049</v>
      </c>
      <c r="H2529" s="16" t="n">
        <v>-0.742701051556178</v>
      </c>
    </row>
    <row r="2530">
      <c r="A2530" t="s">
        <v>31</v>
      </c>
      <c r="B2530" t="s">
        <v>623</v>
      </c>
      <c r="C2530" t="s">
        <v>624</v>
      </c>
      <c r="D2530" t="s">
        <v>1462</v>
      </c>
      <c r="E2530" s="14" t="n">
        <v>0</v>
      </c>
      <c r="F2530" s="17" t="n">
        <v>100</v>
      </c>
      <c r="G2530" s="15" t="n">
        <v>0</v>
      </c>
      <c r="H2530" s="16" t="n">
        <v>0</v>
      </c>
    </row>
    <row r="2531">
      <c r="A2531" t="s">
        <v>30</v>
      </c>
      <c r="B2531" t="s">
        <v>625</v>
      </c>
      <c r="C2531" t="s">
        <v>626</v>
      </c>
      <c r="D2531" t="s">
        <v>1462</v>
      </c>
      <c r="E2531" s="14" t="n">
        <v>0.25</v>
      </c>
      <c r="F2531" s="17" t="n">
        <v>92</v>
      </c>
      <c r="G2531" s="15" t="n">
        <v>-0.249391012564956</v>
      </c>
      <c r="H2531" s="16" t="n">
        <v>-0.0174391184360313</v>
      </c>
    </row>
    <row r="2532">
      <c r="A2532" t="s">
        <v>30</v>
      </c>
      <c r="B2532" t="s">
        <v>625</v>
      </c>
      <c r="C2532" t="s">
        <v>627</v>
      </c>
      <c r="D2532" t="s">
        <v>1462</v>
      </c>
      <c r="E2532" s="14" t="n">
        <v>0.25</v>
      </c>
      <c r="F2532" s="17" t="n">
        <v>123</v>
      </c>
      <c r="G2532" s="15" t="n">
        <v>-0.10168416076895</v>
      </c>
      <c r="H2532" s="16" t="n">
        <v>-0.22838636441065</v>
      </c>
    </row>
    <row r="2533">
      <c r="A2533" t="s">
        <v>30</v>
      </c>
      <c r="B2533" t="s">
        <v>628</v>
      </c>
      <c r="C2533" t="s">
        <v>629</v>
      </c>
      <c r="D2533" t="s">
        <v>1462</v>
      </c>
      <c r="E2533" s="14" t="n">
        <v>0.25</v>
      </c>
      <c r="F2533" s="17" t="n">
        <v>156</v>
      </c>
      <c r="G2533" s="15" t="n">
        <v>0.167282651589715</v>
      </c>
      <c r="H2533" s="16" t="n">
        <v>-0.185786206369349</v>
      </c>
    </row>
    <row r="2534">
      <c r="A2534" t="s">
        <v>30</v>
      </c>
      <c r="B2534" t="s">
        <v>630</v>
      </c>
      <c r="C2534" t="s">
        <v>631</v>
      </c>
      <c r="D2534" t="s">
        <v>1462</v>
      </c>
      <c r="E2534" s="14" t="n">
        <v>0.25</v>
      </c>
      <c r="F2534" s="17" t="n">
        <v>66</v>
      </c>
      <c r="G2534" s="15" t="n">
        <v>-0.167282651589714</v>
      </c>
      <c r="H2534" s="16" t="n">
        <v>0.185786206369349</v>
      </c>
    </row>
    <row r="2535">
      <c r="A2535" t="s">
        <v>30</v>
      </c>
      <c r="B2535" t="s">
        <v>630</v>
      </c>
      <c r="C2535" t="s">
        <v>632</v>
      </c>
      <c r="D2535" t="s">
        <v>1462</v>
      </c>
      <c r="E2535" s="14" t="n">
        <v>0.25</v>
      </c>
      <c r="F2535" s="17" t="n">
        <v>37</v>
      </c>
      <c r="G2535" s="15" t="n">
        <v>0.0689093389542498</v>
      </c>
      <c r="H2535" s="16" t="n">
        <v>0.24031542398458</v>
      </c>
    </row>
    <row r="2536">
      <c r="A2536" t="s">
        <v>30</v>
      </c>
      <c r="B2536" t="s">
        <v>633</v>
      </c>
      <c r="C2536" t="s">
        <v>634</v>
      </c>
      <c r="D2536" t="s">
        <v>1462</v>
      </c>
      <c r="E2536" s="14" t="n">
        <v>0.25</v>
      </c>
      <c r="F2536" s="17" t="n">
        <v>162</v>
      </c>
      <c r="G2536" s="15" t="n">
        <v>0.202254248593737</v>
      </c>
      <c r="H2536" s="16" t="n">
        <v>-0.146946313073118</v>
      </c>
    </row>
    <row r="2537">
      <c r="A2537" t="s">
        <v>30</v>
      </c>
      <c r="B2537" t="s">
        <v>633</v>
      </c>
      <c r="C2537" t="s">
        <v>635</v>
      </c>
      <c r="D2537" t="s">
        <v>1462</v>
      </c>
      <c r="E2537" s="14" t="n">
        <v>0.25</v>
      </c>
      <c r="F2537" s="17" t="n">
        <v>48</v>
      </c>
      <c r="G2537" s="15" t="n">
        <v>-0.0261321158169133</v>
      </c>
      <c r="H2537" s="16" t="n">
        <v>0.248630473842068</v>
      </c>
    </row>
    <row r="2538">
      <c r="A2538" t="s">
        <v>30</v>
      </c>
      <c r="B2538" t="s">
        <v>636</v>
      </c>
      <c r="C2538" t="s">
        <v>637</v>
      </c>
      <c r="D2538" t="s">
        <v>1462</v>
      </c>
      <c r="E2538" s="14" t="n">
        <v>0</v>
      </c>
      <c r="F2538" s="17" t="n">
        <v>24</v>
      </c>
      <c r="G2538" s="15" t="n">
        <v>0</v>
      </c>
      <c r="H2538" s="16" t="n">
        <v>0</v>
      </c>
    </row>
    <row r="2539">
      <c r="A2539" t="s">
        <v>31</v>
      </c>
      <c r="B2539" t="s">
        <v>638</v>
      </c>
      <c r="C2539" t="s">
        <v>639</v>
      </c>
      <c r="D2539" t="s">
        <v>1462</v>
      </c>
      <c r="E2539" s="14" t="n">
        <v>0.25</v>
      </c>
      <c r="F2539" s="17" t="n">
        <v>136</v>
      </c>
      <c r="G2539" s="15" t="n">
        <v>0.0087248741756251</v>
      </c>
      <c r="H2539" s="16" t="n">
        <v>-0.249847706754774</v>
      </c>
    </row>
    <row r="2540">
      <c r="A2540" t="s">
        <v>31</v>
      </c>
      <c r="B2540" t="s">
        <v>638</v>
      </c>
      <c r="C2540" t="s">
        <v>640</v>
      </c>
      <c r="D2540" t="s">
        <v>1462</v>
      </c>
      <c r="E2540" s="14" t="n">
        <v>0.25</v>
      </c>
      <c r="F2540" s="17" t="n">
        <v>48</v>
      </c>
      <c r="G2540" s="15" t="n">
        <v>-0.0261321158169133</v>
      </c>
      <c r="H2540" s="16" t="n">
        <v>0.248630473842068</v>
      </c>
    </row>
    <row r="2541">
      <c r="A2541" t="s">
        <v>31</v>
      </c>
      <c r="B2541" t="s">
        <v>641</v>
      </c>
      <c r="C2541" t="s">
        <v>642</v>
      </c>
      <c r="D2541" t="s">
        <v>1462</v>
      </c>
      <c r="E2541" s="14" t="n">
        <v>0.5</v>
      </c>
      <c r="F2541" s="17" t="n">
        <v>1</v>
      </c>
      <c r="G2541" s="15" t="n">
        <v>0.499695413509548</v>
      </c>
      <c r="H2541" s="16" t="n">
        <v>0.0174497483512505</v>
      </c>
    </row>
    <row r="2542">
      <c r="A2542" t="s">
        <v>31</v>
      </c>
      <c r="B2542" t="s">
        <v>641</v>
      </c>
      <c r="C2542" t="s">
        <v>643</v>
      </c>
      <c r="D2542" t="s">
        <v>1462</v>
      </c>
      <c r="E2542" s="14" t="n">
        <v>0.25</v>
      </c>
      <c r="F2542" s="17" t="n">
        <v>166</v>
      </c>
      <c r="G2542" s="15" t="n">
        <v>0.220736898214732</v>
      </c>
      <c r="H2542" s="16" t="n">
        <v>-0.117367890696473</v>
      </c>
    </row>
    <row r="2543">
      <c r="A2543" t="s">
        <v>30</v>
      </c>
      <c r="B2543" t="s">
        <v>644</v>
      </c>
      <c r="C2543" t="s">
        <v>645</v>
      </c>
      <c r="D2543" t="s">
        <v>1462</v>
      </c>
      <c r="E2543" s="14" t="n">
        <v>0.5</v>
      </c>
      <c r="F2543" s="17" t="n">
        <v>31</v>
      </c>
      <c r="G2543" s="15" t="n">
        <v>0.234735781392945</v>
      </c>
      <c r="H2543" s="16" t="n">
        <v>0.441473796429463</v>
      </c>
    </row>
    <row r="2544">
      <c r="A2544" t="s">
        <v>30</v>
      </c>
      <c r="B2544" t="s">
        <v>646</v>
      </c>
      <c r="C2544" t="s">
        <v>647</v>
      </c>
      <c r="D2544" t="s">
        <v>1462</v>
      </c>
      <c r="E2544" s="14" t="n">
        <v>0</v>
      </c>
      <c r="F2544" s="17" t="n">
        <v>41</v>
      </c>
      <c r="G2544" s="15" t="n">
        <v>0</v>
      </c>
      <c r="H2544" s="16" t="n">
        <v>0</v>
      </c>
    </row>
    <row r="2545">
      <c r="A2545" t="s">
        <v>31</v>
      </c>
      <c r="B2545" t="s">
        <v>648</v>
      </c>
      <c r="C2545" t="s">
        <v>649</v>
      </c>
      <c r="D2545" t="s">
        <v>1462</v>
      </c>
      <c r="E2545" s="14" t="n">
        <v>0.5</v>
      </c>
      <c r="F2545" s="17" t="n">
        <v>93</v>
      </c>
      <c r="G2545" s="15" t="n">
        <v>-0.497260947684137</v>
      </c>
      <c r="H2545" s="16" t="n">
        <v>-0.0522642316338269</v>
      </c>
    </row>
    <row r="2546">
      <c r="A2546" t="s">
        <v>31</v>
      </c>
      <c r="B2546" t="s">
        <v>648</v>
      </c>
      <c r="C2546" t="s">
        <v>650</v>
      </c>
      <c r="D2546" t="s">
        <v>1462</v>
      </c>
      <c r="E2546" s="14" t="n">
        <v>0.25</v>
      </c>
      <c r="F2546" s="17" t="n">
        <v>97</v>
      </c>
      <c r="G2546" s="15" t="n">
        <v>-0.242573931568999</v>
      </c>
      <c r="H2546" s="16" t="n">
        <v>-0.0604804738999169</v>
      </c>
    </row>
    <row r="2547">
      <c r="A2547" t="s">
        <v>30</v>
      </c>
      <c r="B2547" t="s">
        <v>651</v>
      </c>
      <c r="C2547" t="s">
        <v>652</v>
      </c>
      <c r="D2547" t="s">
        <v>1462</v>
      </c>
      <c r="E2547" s="14" t="n">
        <v>0</v>
      </c>
      <c r="F2547" s="17" t="n">
        <v>174</v>
      </c>
      <c r="G2547" s="15" t="n">
        <v>0</v>
      </c>
      <c r="H2547" s="16" t="n">
        <v>0</v>
      </c>
    </row>
    <row r="2548">
      <c r="A2548" t="s">
        <v>30</v>
      </c>
      <c r="B2548" t="s">
        <v>651</v>
      </c>
      <c r="C2548" t="s">
        <v>653</v>
      </c>
      <c r="D2548" t="s">
        <v>1462</v>
      </c>
      <c r="E2548" s="14" t="n">
        <v>0</v>
      </c>
      <c r="F2548" s="17" t="n">
        <v>132</v>
      </c>
      <c r="G2548" s="15" t="n">
        <v>0</v>
      </c>
      <c r="H2548" s="16" t="n">
        <v>0</v>
      </c>
    </row>
    <row r="2549">
      <c r="A2549" t="s">
        <v>30</v>
      </c>
      <c r="B2549" t="s">
        <v>654</v>
      </c>
      <c r="C2549" t="s">
        <v>655</v>
      </c>
      <c r="D2549" t="s">
        <v>1462</v>
      </c>
      <c r="E2549" s="14" t="n">
        <v>0.5</v>
      </c>
      <c r="F2549" s="17" t="n">
        <v>37</v>
      </c>
      <c r="G2549" s="15" t="n">
        <v>0.1378186779085</v>
      </c>
      <c r="H2549" s="16" t="n">
        <v>0.480630847969159</v>
      </c>
    </row>
    <row r="2550">
      <c r="A2550" t="s">
        <v>30</v>
      </c>
      <c r="B2550" t="s">
        <v>654</v>
      </c>
      <c r="C2550" t="s">
        <v>656</v>
      </c>
      <c r="D2550" t="s">
        <v>1462</v>
      </c>
      <c r="E2550" s="14" t="n">
        <v>0.25</v>
      </c>
      <c r="F2550" s="17" t="n">
        <v>164</v>
      </c>
      <c r="G2550" s="15" t="n">
        <v>0.212012024039106</v>
      </c>
      <c r="H2550" s="16" t="n">
        <v>-0.132479816058301</v>
      </c>
    </row>
    <row r="2551">
      <c r="A2551" t="s">
        <v>30</v>
      </c>
      <c r="B2551" t="s">
        <v>657</v>
      </c>
      <c r="C2551" t="s">
        <v>658</v>
      </c>
      <c r="D2551" t="s">
        <v>1462</v>
      </c>
      <c r="E2551" s="14" t="n">
        <v>0.5</v>
      </c>
      <c r="F2551" s="17" t="n">
        <v>172</v>
      </c>
      <c r="G2551" s="15" t="n">
        <v>0.480630847969159</v>
      </c>
      <c r="H2551" s="16" t="n">
        <v>-0.137818677908499</v>
      </c>
    </row>
    <row r="2552">
      <c r="A2552" t="s">
        <v>30</v>
      </c>
      <c r="B2552" t="s">
        <v>657</v>
      </c>
      <c r="C2552" t="s">
        <v>659</v>
      </c>
      <c r="D2552" t="s">
        <v>1462</v>
      </c>
      <c r="E2552" s="14" t="n">
        <v>0.25</v>
      </c>
      <c r="F2552" s="17" t="n">
        <v>117</v>
      </c>
      <c r="G2552" s="15" t="n">
        <v>-0.146946313073118</v>
      </c>
      <c r="H2552" s="16" t="n">
        <v>-0.202254248593737</v>
      </c>
    </row>
    <row r="2553">
      <c r="A2553" t="s">
        <v>32</v>
      </c>
      <c r="B2553" t="s">
        <v>660</v>
      </c>
      <c r="C2553" t="s">
        <v>661</v>
      </c>
      <c r="D2553" t="s">
        <v>1462</v>
      </c>
      <c r="E2553" s="14" t="n">
        <v>0</v>
      </c>
      <c r="F2553" s="17" t="n">
        <v>133</v>
      </c>
      <c r="G2553" s="15" t="n">
        <v>0</v>
      </c>
      <c r="H2553" s="16" t="n">
        <v>0</v>
      </c>
    </row>
    <row r="2554">
      <c r="A2554" t="s">
        <v>30</v>
      </c>
      <c r="B2554" t="s">
        <v>662</v>
      </c>
      <c r="C2554" t="s">
        <v>663</v>
      </c>
      <c r="D2554" t="s">
        <v>1462</v>
      </c>
      <c r="E2554" s="14" t="n">
        <v>0.25</v>
      </c>
      <c r="F2554" s="17" t="n">
        <v>15</v>
      </c>
      <c r="G2554" s="15" t="n">
        <v>0.21650635094611</v>
      </c>
      <c r="H2554" s="16" t="n">
        <v>0.125</v>
      </c>
    </row>
    <row r="2555">
      <c r="A2555" t="s">
        <v>30</v>
      </c>
      <c r="B2555" t="s">
        <v>662</v>
      </c>
      <c r="C2555" t="s">
        <v>664</v>
      </c>
      <c r="D2555" t="s">
        <v>1462</v>
      </c>
      <c r="E2555" s="14" t="n">
        <v>0.25</v>
      </c>
      <c r="F2555" s="17" t="n">
        <v>161</v>
      </c>
      <c r="G2555" s="15" t="n">
        <v>0.197002688401681</v>
      </c>
      <c r="H2555" s="16" t="n">
        <v>-0.153915368831415</v>
      </c>
    </row>
    <row r="2556">
      <c r="A2556" t="s">
        <v>31</v>
      </c>
      <c r="B2556" t="s">
        <v>665</v>
      </c>
      <c r="C2556" t="s">
        <v>666</v>
      </c>
      <c r="D2556" t="s">
        <v>1462</v>
      </c>
      <c r="E2556" s="14" t="n">
        <v>0.5</v>
      </c>
      <c r="F2556" s="17" t="n">
        <v>4</v>
      </c>
      <c r="G2556" s="15" t="n">
        <v>0.495134034370785</v>
      </c>
      <c r="H2556" s="16" t="n">
        <v>0.0695865504800327</v>
      </c>
    </row>
    <row r="2557">
      <c r="A2557" t="s">
        <v>30</v>
      </c>
      <c r="B2557" t="s">
        <v>667</v>
      </c>
      <c r="C2557" t="s">
        <v>668</v>
      </c>
      <c r="D2557" t="s">
        <v>1462</v>
      </c>
      <c r="E2557" s="14" t="n">
        <v>0</v>
      </c>
      <c r="F2557" s="17" t="n">
        <v>69</v>
      </c>
      <c r="G2557" s="15" t="n">
        <v>0</v>
      </c>
      <c r="H2557" s="16" t="n">
        <v>0</v>
      </c>
    </row>
    <row r="2558">
      <c r="A2558" t="s">
        <v>32</v>
      </c>
      <c r="B2558" t="s">
        <v>669</v>
      </c>
      <c r="C2558" t="s">
        <v>670</v>
      </c>
      <c r="D2558" t="s">
        <v>1462</v>
      </c>
      <c r="E2558" s="14" t="n">
        <v>0</v>
      </c>
      <c r="F2558" s="17" t="n">
        <v>59</v>
      </c>
      <c r="G2558" s="15" t="n">
        <v>0</v>
      </c>
      <c r="H2558" s="16" t="n">
        <v>0</v>
      </c>
    </row>
    <row r="2559">
      <c r="A2559" t="s">
        <v>32</v>
      </c>
      <c r="B2559" t="s">
        <v>669</v>
      </c>
      <c r="C2559" t="s">
        <v>671</v>
      </c>
      <c r="D2559" t="s">
        <v>1462</v>
      </c>
      <c r="E2559" s="14" t="n">
        <v>0.25</v>
      </c>
      <c r="F2559" s="17" t="n">
        <v>42</v>
      </c>
      <c r="G2559" s="15" t="n">
        <v>0.0261321158169134</v>
      </c>
      <c r="H2559" s="16" t="n">
        <v>0.248630473842068</v>
      </c>
    </row>
    <row r="2560">
      <c r="A2560" t="s">
        <v>32</v>
      </c>
      <c r="B2560" t="s">
        <v>672</v>
      </c>
      <c r="C2560" t="s">
        <v>673</v>
      </c>
      <c r="D2560" t="s">
        <v>1462</v>
      </c>
      <c r="E2560" s="14" t="n">
        <v>0.25</v>
      </c>
      <c r="F2560" s="17" t="n">
        <v>48</v>
      </c>
      <c r="G2560" s="15" t="n">
        <v>-0.0261321158169133</v>
      </c>
      <c r="H2560" s="16" t="n">
        <v>0.248630473842068</v>
      </c>
    </row>
    <row r="2561">
      <c r="A2561" t="s">
        <v>32</v>
      </c>
      <c r="B2561" t="s">
        <v>672</v>
      </c>
      <c r="C2561" t="s">
        <v>674</v>
      </c>
      <c r="D2561" t="s">
        <v>1462</v>
      </c>
      <c r="E2561" s="14" t="n">
        <v>0.5</v>
      </c>
      <c r="F2561" s="17" t="n">
        <v>129</v>
      </c>
      <c r="G2561" s="15" t="n">
        <v>-0.10395584540888</v>
      </c>
      <c r="H2561" s="16" t="n">
        <v>-0.489073800366903</v>
      </c>
    </row>
    <row r="2562">
      <c r="A2562" t="s">
        <v>32</v>
      </c>
      <c r="B2562" t="s">
        <v>675</v>
      </c>
      <c r="C2562" t="s">
        <v>676</v>
      </c>
      <c r="D2562" t="s">
        <v>1462</v>
      </c>
      <c r="E2562" s="14" t="n">
        <v>0.25</v>
      </c>
      <c r="F2562" s="17" t="n">
        <v>100</v>
      </c>
      <c r="G2562" s="15" t="n">
        <v>-0.234923155196477</v>
      </c>
      <c r="H2562" s="16" t="n">
        <v>-0.0855050358314172</v>
      </c>
    </row>
    <row r="2563">
      <c r="A2563" t="s">
        <v>32</v>
      </c>
      <c r="B2563" t="s">
        <v>675</v>
      </c>
      <c r="C2563" t="s">
        <v>677</v>
      </c>
      <c r="D2563" t="s">
        <v>1462</v>
      </c>
      <c r="E2563" s="14" t="n">
        <v>0.25</v>
      </c>
      <c r="F2563" s="17" t="n">
        <v>129</v>
      </c>
      <c r="G2563" s="15" t="n">
        <v>-0.0519779227044399</v>
      </c>
      <c r="H2563" s="16" t="n">
        <v>-0.244536900183451</v>
      </c>
    </row>
    <row r="2564">
      <c r="A2564" t="s">
        <v>31</v>
      </c>
      <c r="B2564" t="s">
        <v>678</v>
      </c>
      <c r="C2564" t="s">
        <v>679</v>
      </c>
      <c r="D2564" t="s">
        <v>1462</v>
      </c>
      <c r="E2564" s="14" t="n">
        <v>0.25</v>
      </c>
      <c r="F2564" s="17" t="n">
        <v>87</v>
      </c>
      <c r="G2564" s="15" t="n">
        <v>-0.248630473842068</v>
      </c>
      <c r="H2564" s="16" t="n">
        <v>0.0261321158169134</v>
      </c>
    </row>
    <row r="2565">
      <c r="A2565" t="s">
        <v>31</v>
      </c>
      <c r="B2565" t="s">
        <v>678</v>
      </c>
      <c r="C2565" t="s">
        <v>680</v>
      </c>
      <c r="D2565" t="s">
        <v>1462</v>
      </c>
      <c r="E2565" s="14" t="n">
        <v>0.25</v>
      </c>
      <c r="F2565" s="17" t="n">
        <v>91</v>
      </c>
      <c r="G2565" s="15" t="n">
        <v>-0.249847706754774</v>
      </c>
      <c r="H2565" s="16" t="n">
        <v>-0.00872487417562529</v>
      </c>
    </row>
    <row r="2566">
      <c r="A2566" t="s">
        <v>30</v>
      </c>
      <c r="B2566" t="s">
        <v>681</v>
      </c>
      <c r="C2566" t="s">
        <v>682</v>
      </c>
      <c r="D2566" t="s">
        <v>1462</v>
      </c>
      <c r="E2566" s="14" t="n">
        <v>0.25</v>
      </c>
      <c r="F2566" s="17" t="n">
        <v>84</v>
      </c>
      <c r="G2566" s="15" t="n">
        <v>-0.244536900183451</v>
      </c>
      <c r="H2566" s="16" t="n">
        <v>0.0519779227044398</v>
      </c>
    </row>
    <row r="2567">
      <c r="A2567" t="s">
        <v>30</v>
      </c>
      <c r="B2567" t="s">
        <v>683</v>
      </c>
      <c r="C2567" t="s">
        <v>684</v>
      </c>
      <c r="D2567" t="s">
        <v>1462</v>
      </c>
      <c r="E2567" s="14" t="n">
        <v>0.25</v>
      </c>
      <c r="F2567" s="17" t="n">
        <v>157</v>
      </c>
      <c r="G2567" s="15" t="n">
        <v>0.173664592614749</v>
      </c>
      <c r="H2567" s="16" t="n">
        <v>-0.179834950084663</v>
      </c>
    </row>
    <row r="2568">
      <c r="A2568" t="s">
        <v>31</v>
      </c>
      <c r="B2568" t="s">
        <v>685</v>
      </c>
      <c r="C2568" t="s">
        <v>686</v>
      </c>
      <c r="D2568" t="s">
        <v>1462</v>
      </c>
      <c r="E2568" s="14" t="n">
        <v>0.25</v>
      </c>
      <c r="F2568" s="17" t="n">
        <v>121</v>
      </c>
      <c r="G2568" s="15" t="n">
        <v>-0.117367890696473</v>
      </c>
      <c r="H2568" s="16" t="n">
        <v>-0.220736898214732</v>
      </c>
    </row>
    <row r="2569">
      <c r="A2569" t="s">
        <v>32</v>
      </c>
      <c r="B2569" t="s">
        <v>687</v>
      </c>
      <c r="C2569" t="s">
        <v>688</v>
      </c>
      <c r="D2569" t="s">
        <v>1462</v>
      </c>
      <c r="E2569" s="14" t="n">
        <v>0.5</v>
      </c>
      <c r="F2569" s="17" t="n">
        <v>129</v>
      </c>
      <c r="G2569" s="15" t="n">
        <v>-0.10395584540888</v>
      </c>
      <c r="H2569" s="16" t="n">
        <v>-0.489073800366903</v>
      </c>
    </row>
    <row r="2570">
      <c r="A2570" t="s">
        <v>32</v>
      </c>
      <c r="B2570" t="s">
        <v>687</v>
      </c>
      <c r="C2570" t="s">
        <v>689</v>
      </c>
      <c r="D2570" t="s">
        <v>1462</v>
      </c>
      <c r="E2570" s="14" t="n">
        <v>0.75</v>
      </c>
      <c r="F2570" s="17" t="n">
        <v>18</v>
      </c>
      <c r="G2570" s="15" t="n">
        <v>0.606762745781211</v>
      </c>
      <c r="H2570" s="16" t="n">
        <v>0.440838939219355</v>
      </c>
    </row>
    <row r="2571">
      <c r="A2571" t="s">
        <v>31</v>
      </c>
      <c r="B2571" t="s">
        <v>690</v>
      </c>
      <c r="C2571" t="s">
        <v>691</v>
      </c>
      <c r="D2571" t="s">
        <v>1462</v>
      </c>
      <c r="E2571" s="14" t="n">
        <v>0.5</v>
      </c>
      <c r="F2571" s="17" t="n">
        <v>70</v>
      </c>
      <c r="G2571" s="15" t="n">
        <v>-0.383022221559489</v>
      </c>
      <c r="H2571" s="16" t="n">
        <v>0.32139380484327</v>
      </c>
    </row>
    <row r="2572">
      <c r="A2572" t="s">
        <v>31</v>
      </c>
      <c r="B2572" t="s">
        <v>690</v>
      </c>
      <c r="C2572" t="s">
        <v>692</v>
      </c>
      <c r="D2572" t="s">
        <v>1462</v>
      </c>
      <c r="E2572" s="14" t="n">
        <v>0.25</v>
      </c>
      <c r="F2572" s="17" t="n">
        <v>136</v>
      </c>
      <c r="G2572" s="15" t="n">
        <v>0.0087248741756251</v>
      </c>
      <c r="H2572" s="16" t="n">
        <v>-0.249847706754774</v>
      </c>
    </row>
    <row r="2573">
      <c r="A2573" t="s">
        <v>31</v>
      </c>
      <c r="B2573" t="s">
        <v>693</v>
      </c>
      <c r="C2573" t="s">
        <v>694</v>
      </c>
      <c r="D2573" t="s">
        <v>1462</v>
      </c>
      <c r="E2573" s="14" t="n">
        <v>0.25</v>
      </c>
      <c r="F2573" s="17" t="n">
        <v>176</v>
      </c>
      <c r="G2573" s="15" t="n">
        <v>0.247567017185393</v>
      </c>
      <c r="H2573" s="16" t="n">
        <v>-0.0347932752400164</v>
      </c>
    </row>
    <row r="2574">
      <c r="A2574" t="s">
        <v>31</v>
      </c>
      <c r="B2574" t="s">
        <v>693</v>
      </c>
      <c r="C2574" t="s">
        <v>695</v>
      </c>
      <c r="D2574" t="s">
        <v>1462</v>
      </c>
      <c r="E2574" s="14" t="n">
        <v>0.25</v>
      </c>
      <c r="F2574" s="17" t="n">
        <v>150</v>
      </c>
      <c r="G2574" s="15" t="n">
        <v>0.125</v>
      </c>
      <c r="H2574" s="16" t="n">
        <v>-0.21650635094611</v>
      </c>
    </row>
    <row r="2575">
      <c r="A2575" t="s">
        <v>30</v>
      </c>
      <c r="B2575" t="s">
        <v>696</v>
      </c>
      <c r="C2575" t="s">
        <v>697</v>
      </c>
      <c r="D2575" t="s">
        <v>1462</v>
      </c>
      <c r="E2575" s="14" t="n">
        <v>0.25</v>
      </c>
      <c r="F2575" s="17" t="n">
        <v>20</v>
      </c>
      <c r="G2575" s="15" t="n">
        <v>0.191511110779745</v>
      </c>
      <c r="H2575" s="16" t="n">
        <v>0.160696902421635</v>
      </c>
    </row>
    <row r="2576">
      <c r="A2576" t="s">
        <v>30</v>
      </c>
      <c r="B2576" t="s">
        <v>696</v>
      </c>
      <c r="C2576" t="s">
        <v>698</v>
      </c>
      <c r="D2576" t="s">
        <v>1462</v>
      </c>
      <c r="E2576" s="14" t="n">
        <v>0.25</v>
      </c>
      <c r="F2576" s="17" t="n">
        <v>52</v>
      </c>
      <c r="G2576" s="15" t="n">
        <v>-0.0604804738999169</v>
      </c>
      <c r="H2576" s="16" t="n">
        <v>0.242573931568999</v>
      </c>
    </row>
    <row r="2577">
      <c r="A2577" t="s">
        <v>32</v>
      </c>
      <c r="B2577" t="s">
        <v>699</v>
      </c>
      <c r="C2577" t="s">
        <v>700</v>
      </c>
      <c r="D2577" t="s">
        <v>1462</v>
      </c>
      <c r="E2577" s="14" t="n">
        <v>0.25</v>
      </c>
      <c r="F2577" s="17" t="n">
        <v>170</v>
      </c>
      <c r="G2577" s="15" t="n">
        <v>0.234923155196477</v>
      </c>
      <c r="H2577" s="16" t="n">
        <v>-0.0855050358314172</v>
      </c>
    </row>
    <row r="2578">
      <c r="A2578" t="s">
        <v>32</v>
      </c>
      <c r="B2578" t="s">
        <v>699</v>
      </c>
      <c r="C2578" t="s">
        <v>701</v>
      </c>
      <c r="D2578" t="s">
        <v>1462</v>
      </c>
      <c r="E2578" s="14" t="n">
        <v>0</v>
      </c>
      <c r="F2578" s="17" t="n">
        <v>113</v>
      </c>
      <c r="G2578" s="15" t="n">
        <v>0</v>
      </c>
      <c r="H2578" s="16" t="n">
        <v>0</v>
      </c>
    </row>
    <row r="2579">
      <c r="A2579" t="s">
        <v>32</v>
      </c>
      <c r="B2579" t="s">
        <v>702</v>
      </c>
      <c r="C2579" t="s">
        <v>703</v>
      </c>
      <c r="D2579" t="s">
        <v>1462</v>
      </c>
      <c r="E2579" s="14" t="n">
        <v>1.5</v>
      </c>
      <c r="F2579" s="17" t="n">
        <v>28</v>
      </c>
      <c r="G2579" s="15" t="n">
        <v>0.83878935520612</v>
      </c>
      <c r="H2579" s="16" t="n">
        <v>1.24355635883256</v>
      </c>
    </row>
    <row r="2580">
      <c r="A2580" t="s">
        <v>32</v>
      </c>
      <c r="B2580" t="s">
        <v>702</v>
      </c>
      <c r="C2580" t="s">
        <v>704</v>
      </c>
      <c r="D2580" t="s">
        <v>1462</v>
      </c>
      <c r="E2580" s="14" t="n">
        <v>0.25</v>
      </c>
      <c r="F2580" s="17" t="n">
        <v>7</v>
      </c>
      <c r="G2580" s="15" t="n">
        <v>0.242573931568999</v>
      </c>
      <c r="H2580" s="16" t="n">
        <v>0.0604804738999169</v>
      </c>
    </row>
    <row r="2581">
      <c r="A2581" t="s">
        <v>30</v>
      </c>
      <c r="B2581" t="s">
        <v>705</v>
      </c>
      <c r="C2581" t="s">
        <v>706</v>
      </c>
      <c r="D2581" t="s">
        <v>1462</v>
      </c>
      <c r="E2581" s="14" t="n">
        <v>0.25</v>
      </c>
      <c r="F2581" s="17" t="n">
        <v>142</v>
      </c>
      <c r="G2581" s="15" t="n">
        <v>0.0604804738999169</v>
      </c>
      <c r="H2581" s="16" t="n">
        <v>-0.242573931568999</v>
      </c>
    </row>
    <row r="2582">
      <c r="A2582" t="s">
        <v>31</v>
      </c>
      <c r="B2582" t="s">
        <v>707</v>
      </c>
      <c r="C2582" t="s">
        <v>708</v>
      </c>
      <c r="D2582" t="s">
        <v>1462</v>
      </c>
      <c r="E2582" s="14" t="n">
        <v>0.25</v>
      </c>
      <c r="F2582" s="17" t="n">
        <v>48</v>
      </c>
      <c r="G2582" s="15" t="n">
        <v>-0.0261321158169133</v>
      </c>
      <c r="H2582" s="16" t="n">
        <v>0.248630473842068</v>
      </c>
    </row>
    <row r="2583">
      <c r="A2583" t="s">
        <v>32</v>
      </c>
      <c r="B2583" t="s">
        <v>709</v>
      </c>
      <c r="C2583" t="s">
        <v>710</v>
      </c>
      <c r="D2583" t="s">
        <v>1462</v>
      </c>
      <c r="E2583" s="14" t="n">
        <v>0.25</v>
      </c>
      <c r="F2583" s="17" t="n">
        <v>96</v>
      </c>
      <c r="G2583" s="15" t="n">
        <v>-0.244536900183451</v>
      </c>
      <c r="H2583" s="16" t="n">
        <v>-0.0519779227044398</v>
      </c>
    </row>
    <row r="2584">
      <c r="A2584" t="s">
        <v>32</v>
      </c>
      <c r="B2584" t="s">
        <v>711</v>
      </c>
      <c r="C2584" t="s">
        <v>712</v>
      </c>
      <c r="D2584" t="s">
        <v>1462</v>
      </c>
      <c r="E2584" s="14" t="n">
        <v>0.25</v>
      </c>
      <c r="F2584" s="17" t="n">
        <v>91</v>
      </c>
      <c r="G2584" s="15" t="n">
        <v>-0.249847706754774</v>
      </c>
      <c r="H2584" s="16" t="n">
        <v>-0.00872487417562529</v>
      </c>
    </row>
    <row r="2585">
      <c r="A2585" t="s">
        <v>32</v>
      </c>
      <c r="B2585" t="s">
        <v>711</v>
      </c>
      <c r="C2585" t="s">
        <v>713</v>
      </c>
      <c r="D2585" t="s">
        <v>1462</v>
      </c>
      <c r="E2585" s="14" t="n">
        <v>0.75</v>
      </c>
      <c r="F2585" s="17" t="n">
        <v>164</v>
      </c>
      <c r="G2585" s="15" t="n">
        <v>0.636036072117319</v>
      </c>
      <c r="H2585" s="16" t="n">
        <v>-0.397439448174904</v>
      </c>
    </row>
    <row r="2586">
      <c r="A2586" t="s">
        <v>32</v>
      </c>
      <c r="B2586" t="s">
        <v>714</v>
      </c>
      <c r="C2586" t="s">
        <v>715</v>
      </c>
      <c r="D2586" t="s">
        <v>1462</v>
      </c>
      <c r="E2586" s="14" t="n">
        <v>0</v>
      </c>
      <c r="F2586" s="17" t="n">
        <v>58</v>
      </c>
      <c r="G2586" s="15" t="n">
        <v>0</v>
      </c>
      <c r="H2586" s="16" t="n">
        <v>0</v>
      </c>
    </row>
    <row r="2587">
      <c r="A2587" t="s">
        <v>32</v>
      </c>
      <c r="B2587" t="s">
        <v>714</v>
      </c>
      <c r="C2587" t="s">
        <v>716</v>
      </c>
      <c r="D2587" t="s">
        <v>1462</v>
      </c>
      <c r="E2587" s="14" t="n">
        <v>0.25</v>
      </c>
      <c r="F2587" s="17" t="n">
        <v>56</v>
      </c>
      <c r="G2587" s="15" t="n">
        <v>-0.093651648353978</v>
      </c>
      <c r="H2587" s="16" t="n">
        <v>0.231795963641697</v>
      </c>
    </row>
    <row r="2588">
      <c r="A2588" t="s">
        <v>31</v>
      </c>
      <c r="B2588" t="s">
        <v>717</v>
      </c>
      <c r="C2588" t="s">
        <v>718</v>
      </c>
      <c r="D2588" t="s">
        <v>1462</v>
      </c>
      <c r="E2588" s="14" t="n">
        <v>0.25</v>
      </c>
      <c r="F2588" s="17" t="n">
        <v>49</v>
      </c>
      <c r="G2588" s="15" t="n">
        <v>-0.0347932752400163</v>
      </c>
      <c r="H2588" s="16" t="n">
        <v>0.247567017185393</v>
      </c>
    </row>
    <row r="2589">
      <c r="A2589" t="s">
        <v>30</v>
      </c>
      <c r="B2589" t="s">
        <v>719</v>
      </c>
      <c r="C2589" t="s">
        <v>720</v>
      </c>
      <c r="D2589" t="s">
        <v>1462</v>
      </c>
      <c r="E2589" s="14" t="n">
        <v>0</v>
      </c>
      <c r="F2589" s="17" t="n">
        <v>148</v>
      </c>
      <c r="G2589" s="15" t="n">
        <v>0</v>
      </c>
      <c r="H2589" s="16" t="n">
        <v>0</v>
      </c>
    </row>
    <row r="2590">
      <c r="A2590" t="s">
        <v>30</v>
      </c>
      <c r="B2590" t="s">
        <v>719</v>
      </c>
      <c r="C2590" t="s">
        <v>721</v>
      </c>
      <c r="D2590" t="s">
        <v>1462</v>
      </c>
      <c r="E2590" s="14" t="n">
        <v>0.25</v>
      </c>
      <c r="F2590" s="17" t="n">
        <v>165</v>
      </c>
      <c r="G2590" s="15" t="n">
        <v>0.21650635094611</v>
      </c>
      <c r="H2590" s="16" t="n">
        <v>-0.125</v>
      </c>
    </row>
    <row r="2591">
      <c r="A2591" t="s">
        <v>30</v>
      </c>
      <c r="B2591" t="s">
        <v>722</v>
      </c>
      <c r="C2591" t="s">
        <v>723</v>
      </c>
      <c r="D2591" t="s">
        <v>1462</v>
      </c>
      <c r="E2591" s="14" t="n">
        <v>0.25</v>
      </c>
      <c r="F2591" s="17" t="n">
        <v>70</v>
      </c>
      <c r="G2591" s="15" t="n">
        <v>-0.191511110779744</v>
      </c>
      <c r="H2591" s="16" t="n">
        <v>0.160696902421635</v>
      </c>
    </row>
    <row r="2592">
      <c r="A2592" t="s">
        <v>30</v>
      </c>
      <c r="B2592" t="s">
        <v>722</v>
      </c>
      <c r="C2592" t="s">
        <v>724</v>
      </c>
      <c r="D2592" t="s">
        <v>1462</v>
      </c>
      <c r="E2592" s="14" t="n">
        <v>0.25</v>
      </c>
      <c r="F2592" s="17" t="n">
        <v>108</v>
      </c>
      <c r="G2592" s="15" t="n">
        <v>-0.202254248593737</v>
      </c>
      <c r="H2592" s="16" t="n">
        <v>-0.146946313073118</v>
      </c>
    </row>
    <row r="2593">
      <c r="A2593" t="s">
        <v>32</v>
      </c>
      <c r="B2593" t="s">
        <v>725</v>
      </c>
      <c r="C2593" t="s">
        <v>726</v>
      </c>
      <c r="D2593" t="s">
        <v>1462</v>
      </c>
      <c r="E2593" s="14" t="n">
        <v>1</v>
      </c>
      <c r="F2593" s="17" t="n">
        <v>158</v>
      </c>
      <c r="G2593" s="15" t="n">
        <v>0.719339800338651</v>
      </c>
      <c r="H2593" s="16" t="n">
        <v>-0.694658370458997</v>
      </c>
    </row>
    <row r="2594">
      <c r="A2594" t="s">
        <v>32</v>
      </c>
      <c r="B2594" t="s">
        <v>725</v>
      </c>
      <c r="C2594" t="s">
        <v>727</v>
      </c>
      <c r="D2594" t="s">
        <v>1462</v>
      </c>
      <c r="E2594" s="14" t="n">
        <v>0.25</v>
      </c>
      <c r="F2594" s="17" t="n">
        <v>28</v>
      </c>
      <c r="G2594" s="15" t="n">
        <v>0.139798225867687</v>
      </c>
      <c r="H2594" s="16" t="n">
        <v>0.20725939313876</v>
      </c>
    </row>
    <row r="2595">
      <c r="A2595" t="s">
        <v>30</v>
      </c>
      <c r="B2595" t="s">
        <v>728</v>
      </c>
      <c r="C2595" t="s">
        <v>729</v>
      </c>
      <c r="D2595" t="s">
        <v>1462</v>
      </c>
      <c r="E2595" s="14" t="n">
        <v>0.5</v>
      </c>
      <c r="F2595" s="17" t="n">
        <v>106</v>
      </c>
      <c r="G2595" s="15" t="n">
        <v>-0.424024048078213</v>
      </c>
      <c r="H2595" s="16" t="n">
        <v>-0.264959632116602</v>
      </c>
    </row>
    <row r="2596">
      <c r="A2596" t="s">
        <v>30</v>
      </c>
      <c r="B2596" t="s">
        <v>728</v>
      </c>
      <c r="C2596" t="s">
        <v>730</v>
      </c>
      <c r="D2596" t="s">
        <v>1462</v>
      </c>
      <c r="E2596" s="14" t="n">
        <v>0</v>
      </c>
      <c r="F2596" s="17" t="n">
        <v>21</v>
      </c>
      <c r="G2596" s="15" t="n">
        <v>0</v>
      </c>
      <c r="H2596" s="16" t="n">
        <v>0</v>
      </c>
    </row>
    <row r="2597">
      <c r="A2597" t="s">
        <v>30</v>
      </c>
      <c r="B2597" t="s">
        <v>731</v>
      </c>
      <c r="C2597" t="s">
        <v>732</v>
      </c>
      <c r="D2597" t="s">
        <v>1462</v>
      </c>
      <c r="E2597" s="14" t="n">
        <v>0.5</v>
      </c>
      <c r="F2597" s="17" t="n">
        <v>43</v>
      </c>
      <c r="G2597" s="15" t="n">
        <v>0.0348782368720626</v>
      </c>
      <c r="H2597" s="16" t="n">
        <v>0.498782025129912</v>
      </c>
    </row>
    <row r="2598">
      <c r="A2598" t="s">
        <v>30</v>
      </c>
      <c r="B2598" t="s">
        <v>731</v>
      </c>
      <c r="C2598" t="s">
        <v>733</v>
      </c>
      <c r="D2598" t="s">
        <v>1462</v>
      </c>
      <c r="E2598" s="14" t="n">
        <v>0.25</v>
      </c>
      <c r="F2598" s="17" t="n">
        <v>148</v>
      </c>
      <c r="G2598" s="15" t="n">
        <v>0.109592786697269</v>
      </c>
      <c r="H2598" s="16" t="n">
        <v>-0.224698511574792</v>
      </c>
    </row>
    <row r="2599">
      <c r="A2599" t="s">
        <v>30</v>
      </c>
      <c r="B2599" t="s">
        <v>734</v>
      </c>
      <c r="C2599" t="s">
        <v>735</v>
      </c>
      <c r="D2599" t="s">
        <v>1462</v>
      </c>
      <c r="E2599" s="14" t="n">
        <v>0.25</v>
      </c>
      <c r="F2599" s="17" t="n">
        <v>156</v>
      </c>
      <c r="G2599" s="15" t="n">
        <v>0.167282651589715</v>
      </c>
      <c r="H2599" s="16" t="n">
        <v>-0.185786206369349</v>
      </c>
    </row>
    <row r="2600">
      <c r="A2600" t="s">
        <v>30</v>
      </c>
      <c r="B2600" t="s">
        <v>734</v>
      </c>
      <c r="C2600" t="s">
        <v>736</v>
      </c>
      <c r="D2600" t="s">
        <v>1462</v>
      </c>
      <c r="E2600" s="14" t="n">
        <v>0</v>
      </c>
      <c r="F2600" s="17" t="n">
        <v>88</v>
      </c>
      <c r="G2600" s="15" t="n">
        <v>0</v>
      </c>
      <c r="H2600" s="16" t="n">
        <v>0</v>
      </c>
    </row>
    <row r="2601">
      <c r="A2601" t="s">
        <v>30</v>
      </c>
      <c r="B2601" t="s">
        <v>737</v>
      </c>
      <c r="C2601" t="s">
        <v>738</v>
      </c>
      <c r="D2601" t="s">
        <v>1462</v>
      </c>
      <c r="E2601" s="14" t="n">
        <v>0.5</v>
      </c>
      <c r="F2601" s="17" t="n">
        <v>4</v>
      </c>
      <c r="G2601" s="15" t="n">
        <v>0.495134034370785</v>
      </c>
      <c r="H2601" s="16" t="n">
        <v>0.0695865504800327</v>
      </c>
    </row>
    <row r="2602">
      <c r="A2602" t="s">
        <v>30</v>
      </c>
      <c r="B2602" t="s">
        <v>737</v>
      </c>
      <c r="C2602" t="s">
        <v>739</v>
      </c>
      <c r="D2602" t="s">
        <v>1462</v>
      </c>
      <c r="E2602" s="14" t="n">
        <v>0.25</v>
      </c>
      <c r="F2602" s="17" t="n">
        <v>175</v>
      </c>
      <c r="G2602" s="15" t="n">
        <v>0.246201938253052</v>
      </c>
      <c r="H2602" s="16" t="n">
        <v>-0.0434120444167326</v>
      </c>
    </row>
    <row r="2603">
      <c r="A2603" t="s">
        <v>31</v>
      </c>
      <c r="B2603" t="s">
        <v>740</v>
      </c>
      <c r="C2603" t="s">
        <v>741</v>
      </c>
      <c r="D2603" t="s">
        <v>1462</v>
      </c>
      <c r="E2603" s="14" t="n">
        <v>0.25</v>
      </c>
      <c r="F2603" s="17" t="n">
        <v>163</v>
      </c>
      <c r="G2603" s="15" t="n">
        <v>0.20725939313876</v>
      </c>
      <c r="H2603" s="16" t="n">
        <v>-0.139798225867687</v>
      </c>
    </row>
    <row r="2604">
      <c r="A2604" t="s">
        <v>31</v>
      </c>
      <c r="B2604" t="s">
        <v>740</v>
      </c>
      <c r="C2604" t="s">
        <v>742</v>
      </c>
      <c r="D2604" t="s">
        <v>1462</v>
      </c>
      <c r="E2604" s="14" t="n">
        <v>0</v>
      </c>
      <c r="F2604" s="17" t="n">
        <v>37</v>
      </c>
      <c r="G2604" s="15" t="n">
        <v>0</v>
      </c>
      <c r="H2604" s="16" t="n">
        <v>0</v>
      </c>
    </row>
    <row r="2605">
      <c r="A2605" t="s">
        <v>32</v>
      </c>
      <c r="B2605" t="s">
        <v>743</v>
      </c>
      <c r="C2605" t="s">
        <v>744</v>
      </c>
      <c r="D2605" t="s">
        <v>1462</v>
      </c>
      <c r="E2605" s="14" t="n">
        <v>0</v>
      </c>
      <c r="F2605" s="17" t="n">
        <v>1</v>
      </c>
      <c r="G2605" s="15" t="n">
        <v>0</v>
      </c>
      <c r="H2605" s="16" t="n">
        <v>0</v>
      </c>
    </row>
    <row r="2606">
      <c r="A2606" t="s">
        <v>32</v>
      </c>
      <c r="B2606" t="s">
        <v>743</v>
      </c>
      <c r="C2606" t="s">
        <v>745</v>
      </c>
      <c r="D2606" t="s">
        <v>1462</v>
      </c>
      <c r="E2606" s="14" t="n">
        <v>0</v>
      </c>
      <c r="F2606" s="17" t="n">
        <v>10</v>
      </c>
      <c r="G2606" s="15" t="n">
        <v>0</v>
      </c>
      <c r="H2606" s="16" t="n">
        <v>0</v>
      </c>
    </row>
    <row r="2607">
      <c r="A2607" t="s">
        <v>30</v>
      </c>
      <c r="B2607" t="s">
        <v>746</v>
      </c>
      <c r="C2607" t="s">
        <v>747</v>
      </c>
      <c r="D2607" t="s">
        <v>1462</v>
      </c>
      <c r="E2607" s="14" t="n">
        <v>0.25</v>
      </c>
      <c r="F2607" s="17" t="n">
        <v>85</v>
      </c>
      <c r="G2607" s="15" t="n">
        <v>-0.246201938253052</v>
      </c>
      <c r="H2607" s="16" t="n">
        <v>0.0434120444167327</v>
      </c>
    </row>
    <row r="2608">
      <c r="A2608" t="s">
        <v>32</v>
      </c>
      <c r="B2608" t="s">
        <v>748</v>
      </c>
      <c r="C2608" t="s">
        <v>749</v>
      </c>
      <c r="D2608" t="s">
        <v>1462</v>
      </c>
      <c r="E2608" s="14" t="n">
        <v>0.25</v>
      </c>
      <c r="F2608" s="17" t="n">
        <v>30</v>
      </c>
      <c r="G2608" s="15" t="n">
        <v>0.125</v>
      </c>
      <c r="H2608" s="16" t="n">
        <v>0.21650635094611</v>
      </c>
    </row>
    <row r="2609">
      <c r="A2609" t="s">
        <v>32</v>
      </c>
      <c r="B2609" t="s">
        <v>750</v>
      </c>
      <c r="C2609" t="s">
        <v>751</v>
      </c>
      <c r="D2609" t="s">
        <v>1462</v>
      </c>
      <c r="E2609" s="14" t="n">
        <v>0.5</v>
      </c>
      <c r="F2609" s="17" t="n">
        <v>2</v>
      </c>
      <c r="G2609" s="15" t="n">
        <v>0.498782025129912</v>
      </c>
      <c r="H2609" s="16" t="n">
        <v>0.0348782368720627</v>
      </c>
    </row>
    <row r="2610">
      <c r="A2610" t="s">
        <v>32</v>
      </c>
      <c r="B2610" t="s">
        <v>750</v>
      </c>
      <c r="C2610" t="s">
        <v>752</v>
      </c>
      <c r="D2610" t="s">
        <v>1462</v>
      </c>
      <c r="E2610" s="14" t="n">
        <v>0.5</v>
      </c>
      <c r="F2610" s="17" t="n">
        <v>164</v>
      </c>
      <c r="G2610" s="15" t="n">
        <v>0.424024048078213</v>
      </c>
      <c r="H2610" s="16" t="n">
        <v>-0.264959632116603</v>
      </c>
    </row>
    <row r="2611">
      <c r="A2611" t="s">
        <v>30</v>
      </c>
      <c r="B2611" t="s">
        <v>753</v>
      </c>
      <c r="C2611" t="s">
        <v>754</v>
      </c>
      <c r="D2611" t="s">
        <v>1462</v>
      </c>
      <c r="E2611" s="14" t="n">
        <v>0.25</v>
      </c>
      <c r="F2611" s="17" t="n">
        <v>120</v>
      </c>
      <c r="G2611" s="15" t="n">
        <v>-0.125</v>
      </c>
      <c r="H2611" s="16" t="n">
        <v>-0.21650635094611</v>
      </c>
    </row>
    <row r="2612">
      <c r="A2612" t="s">
        <v>30</v>
      </c>
      <c r="B2612" t="s">
        <v>753</v>
      </c>
      <c r="C2612" t="s">
        <v>755</v>
      </c>
      <c r="D2612" t="s">
        <v>1462</v>
      </c>
      <c r="E2612" s="14" t="n">
        <v>0.25</v>
      </c>
      <c r="F2612" s="17" t="n">
        <v>87</v>
      </c>
      <c r="G2612" s="15" t="n">
        <v>-0.248630473842068</v>
      </c>
      <c r="H2612" s="16" t="n">
        <v>0.0261321158169134</v>
      </c>
    </row>
    <row r="2613">
      <c r="A2613" t="s">
        <v>30</v>
      </c>
      <c r="B2613" t="s">
        <v>756</v>
      </c>
      <c r="C2613" t="s">
        <v>757</v>
      </c>
      <c r="D2613" t="s">
        <v>1462</v>
      </c>
      <c r="E2613" s="14" t="n">
        <v>0.25</v>
      </c>
      <c r="F2613" s="17" t="n">
        <v>178</v>
      </c>
      <c r="G2613" s="15" t="n">
        <v>0.249391012564956</v>
      </c>
      <c r="H2613" s="16" t="n">
        <v>-0.0174391184360313</v>
      </c>
    </row>
    <row r="2614">
      <c r="A2614" t="s">
        <v>30</v>
      </c>
      <c r="B2614" t="s">
        <v>756</v>
      </c>
      <c r="C2614" t="s">
        <v>758</v>
      </c>
      <c r="D2614" t="s">
        <v>1462</v>
      </c>
      <c r="E2614" s="14" t="n">
        <v>0.25</v>
      </c>
      <c r="F2614" s="17" t="n">
        <v>172</v>
      </c>
      <c r="G2614" s="15" t="n">
        <v>0.24031542398458</v>
      </c>
      <c r="H2614" s="16" t="n">
        <v>-0.0689093389542497</v>
      </c>
    </row>
    <row r="2615">
      <c r="A2615" t="s">
        <v>31</v>
      </c>
      <c r="B2615" t="s">
        <v>759</v>
      </c>
      <c r="C2615" t="s">
        <v>760</v>
      </c>
      <c r="D2615" t="s">
        <v>1462</v>
      </c>
      <c r="E2615" s="14" t="n">
        <v>0.25</v>
      </c>
      <c r="F2615" s="17" t="n">
        <v>103</v>
      </c>
      <c r="G2615" s="15" t="n">
        <v>-0.224698511574792</v>
      </c>
      <c r="H2615" s="16" t="n">
        <v>-0.109592786697269</v>
      </c>
    </row>
    <row r="2616">
      <c r="A2616" t="s">
        <v>31</v>
      </c>
      <c r="B2616" t="s">
        <v>759</v>
      </c>
      <c r="C2616" t="s">
        <v>761</v>
      </c>
      <c r="D2616" t="s">
        <v>1462</v>
      </c>
      <c r="E2616" s="14" t="n">
        <v>0.25</v>
      </c>
      <c r="F2616" s="17" t="n">
        <v>28</v>
      </c>
      <c r="G2616" s="15" t="n">
        <v>0.139798225867687</v>
      </c>
      <c r="H2616" s="16" t="n">
        <v>0.20725939313876</v>
      </c>
    </row>
    <row r="2617">
      <c r="A2617" t="s">
        <v>32</v>
      </c>
      <c r="B2617" t="s">
        <v>762</v>
      </c>
      <c r="C2617" t="s">
        <v>763</v>
      </c>
      <c r="D2617" t="s">
        <v>1462</v>
      </c>
      <c r="E2617" s="14" t="n">
        <v>0.25</v>
      </c>
      <c r="F2617" s="17" t="n">
        <v>12</v>
      </c>
      <c r="G2617" s="15" t="n">
        <v>0.22838636441065</v>
      </c>
      <c r="H2617" s="16" t="n">
        <v>0.10168416076895</v>
      </c>
    </row>
    <row r="2618">
      <c r="A2618" t="s">
        <v>32</v>
      </c>
      <c r="B2618" t="s">
        <v>762</v>
      </c>
      <c r="C2618" t="s">
        <v>764</v>
      </c>
      <c r="D2618" t="s">
        <v>1462</v>
      </c>
      <c r="E2618" s="14" t="n">
        <v>0.25</v>
      </c>
      <c r="F2618" s="17" t="n">
        <v>9</v>
      </c>
      <c r="G2618" s="15" t="n">
        <v>0.237764129073788</v>
      </c>
      <c r="H2618" s="16" t="n">
        <v>0.0772542485937368</v>
      </c>
    </row>
    <row r="2619">
      <c r="A2619" t="s">
        <v>32</v>
      </c>
      <c r="B2619" t="s">
        <v>765</v>
      </c>
      <c r="C2619" t="s">
        <v>766</v>
      </c>
      <c r="D2619" t="s">
        <v>1462</v>
      </c>
      <c r="E2619" s="14" t="n">
        <v>0.25</v>
      </c>
      <c r="F2619" s="17" t="n">
        <v>30</v>
      </c>
      <c r="G2619" s="15" t="n">
        <v>0.125</v>
      </c>
      <c r="H2619" s="16" t="n">
        <v>0.21650635094611</v>
      </c>
    </row>
    <row r="2620">
      <c r="A2620" t="s">
        <v>32</v>
      </c>
      <c r="B2620" t="s">
        <v>765</v>
      </c>
      <c r="C2620" t="s">
        <v>767</v>
      </c>
      <c r="D2620" t="s">
        <v>1462</v>
      </c>
      <c r="E2620" s="14" t="n">
        <v>0.25</v>
      </c>
      <c r="F2620" s="17" t="n">
        <v>139</v>
      </c>
      <c r="G2620" s="15" t="n">
        <v>0.0347932752400164</v>
      </c>
      <c r="H2620" s="16" t="n">
        <v>-0.247567017185393</v>
      </c>
    </row>
    <row r="2621">
      <c r="A2621" t="s">
        <v>30</v>
      </c>
      <c r="B2621" t="s">
        <v>768</v>
      </c>
      <c r="C2621" t="s">
        <v>769</v>
      </c>
      <c r="D2621" t="s">
        <v>1462</v>
      </c>
      <c r="E2621" s="14" t="n">
        <v>0.25</v>
      </c>
      <c r="F2621" s="17" t="n">
        <v>133</v>
      </c>
      <c r="G2621" s="15" t="n">
        <v>-0.0174391184360314</v>
      </c>
      <c r="H2621" s="16" t="n">
        <v>-0.249391012564956</v>
      </c>
    </row>
    <row r="2622">
      <c r="A2622" t="s">
        <v>30</v>
      </c>
      <c r="B2622" t="s">
        <v>768</v>
      </c>
      <c r="C2622" t="s">
        <v>770</v>
      </c>
      <c r="D2622" t="s">
        <v>1462</v>
      </c>
      <c r="E2622" s="14" t="n">
        <v>0.5</v>
      </c>
      <c r="F2622" s="17" t="n">
        <v>24</v>
      </c>
      <c r="G2622" s="15" t="n">
        <v>0.334565303179429</v>
      </c>
      <c r="H2622" s="16" t="n">
        <v>0.371572412738697</v>
      </c>
    </row>
    <row r="2623">
      <c r="A2623" t="s">
        <v>31</v>
      </c>
      <c r="B2623" t="s">
        <v>771</v>
      </c>
      <c r="C2623" t="s">
        <v>772</v>
      </c>
      <c r="D2623" t="s">
        <v>1462</v>
      </c>
      <c r="E2623" s="14" t="n">
        <v>0.25</v>
      </c>
      <c r="F2623" s="17" t="n">
        <v>2</v>
      </c>
      <c r="G2623" s="15" t="n">
        <v>0.249391012564956</v>
      </c>
      <c r="H2623" s="16" t="n">
        <v>0.0174391184360313</v>
      </c>
    </row>
    <row r="2624">
      <c r="A2624" t="s">
        <v>31</v>
      </c>
      <c r="B2624" t="s">
        <v>771</v>
      </c>
      <c r="C2624" t="s">
        <v>773</v>
      </c>
      <c r="D2624" t="s">
        <v>1462</v>
      </c>
      <c r="E2624" s="14" t="n">
        <v>0.25</v>
      </c>
      <c r="F2624" s="17" t="n">
        <v>168</v>
      </c>
      <c r="G2624" s="15" t="n">
        <v>0.22838636441065</v>
      </c>
      <c r="H2624" s="16" t="n">
        <v>-0.10168416076895</v>
      </c>
    </row>
    <row r="2625">
      <c r="A2625" t="s">
        <v>30</v>
      </c>
      <c r="B2625" t="s">
        <v>774</v>
      </c>
      <c r="C2625" t="s">
        <v>775</v>
      </c>
      <c r="D2625" t="s">
        <v>1462</v>
      </c>
      <c r="E2625" s="14" t="n">
        <v>0.5</v>
      </c>
      <c r="F2625" s="17" t="n">
        <v>156</v>
      </c>
      <c r="G2625" s="15" t="n">
        <v>0.334565303179429</v>
      </c>
      <c r="H2625" s="16" t="n">
        <v>-0.371572412738697</v>
      </c>
    </row>
    <row r="2626">
      <c r="A2626" t="s">
        <v>30</v>
      </c>
      <c r="B2626" t="s">
        <v>774</v>
      </c>
      <c r="C2626" t="s">
        <v>776</v>
      </c>
      <c r="D2626" t="s">
        <v>1462</v>
      </c>
      <c r="E2626" s="14" t="n">
        <v>0.5</v>
      </c>
      <c r="F2626" s="17" t="n">
        <v>24</v>
      </c>
      <c r="G2626" s="15" t="n">
        <v>0.334565303179429</v>
      </c>
      <c r="H2626" s="16" t="n">
        <v>0.371572412738697</v>
      </c>
    </row>
    <row r="2627">
      <c r="A2627" t="s">
        <v>32</v>
      </c>
      <c r="B2627" t="s">
        <v>777</v>
      </c>
      <c r="C2627" t="s">
        <v>778</v>
      </c>
      <c r="D2627" t="s">
        <v>1462</v>
      </c>
      <c r="E2627" s="14" t="n">
        <v>0.25</v>
      </c>
      <c r="F2627" s="17" t="n">
        <v>87</v>
      </c>
      <c r="G2627" s="15" t="n">
        <v>-0.248630473842068</v>
      </c>
      <c r="H2627" s="16" t="n">
        <v>0.0261321158169134</v>
      </c>
    </row>
    <row r="2628">
      <c r="A2628" t="s">
        <v>32</v>
      </c>
      <c r="B2628" t="s">
        <v>777</v>
      </c>
      <c r="C2628" t="s">
        <v>779</v>
      </c>
      <c r="D2628" t="s">
        <v>1462</v>
      </c>
      <c r="E2628" s="14" t="n">
        <v>0.25</v>
      </c>
      <c r="F2628" s="17" t="n">
        <v>112</v>
      </c>
      <c r="G2628" s="15" t="n">
        <v>-0.179834950084663</v>
      </c>
      <c r="H2628" s="16" t="n">
        <v>-0.173664592614749</v>
      </c>
    </row>
    <row r="2629">
      <c r="A2629" t="s">
        <v>30</v>
      </c>
      <c r="B2629" t="s">
        <v>780</v>
      </c>
      <c r="C2629" t="s">
        <v>781</v>
      </c>
      <c r="D2629" t="s">
        <v>1462</v>
      </c>
      <c r="E2629" s="14" t="n">
        <v>0</v>
      </c>
      <c r="F2629" s="17" t="n">
        <v>141</v>
      </c>
      <c r="G2629" s="15" t="n">
        <v>0</v>
      </c>
      <c r="H2629" s="16" t="n">
        <v>0</v>
      </c>
    </row>
    <row r="2630">
      <c r="A2630" t="s">
        <v>30</v>
      </c>
      <c r="B2630" t="s">
        <v>780</v>
      </c>
      <c r="C2630" t="s">
        <v>782</v>
      </c>
      <c r="D2630" t="s">
        <v>1462</v>
      </c>
      <c r="E2630" s="14" t="n">
        <v>0</v>
      </c>
      <c r="F2630" s="17" t="n">
        <v>9</v>
      </c>
      <c r="G2630" s="15" t="n">
        <v>0</v>
      </c>
      <c r="H2630" s="16" t="n">
        <v>0</v>
      </c>
    </row>
    <row r="2631">
      <c r="A2631" t="s">
        <v>30</v>
      </c>
      <c r="B2631" t="s">
        <v>783</v>
      </c>
      <c r="C2631" t="s">
        <v>784</v>
      </c>
      <c r="D2631" t="s">
        <v>1462</v>
      </c>
      <c r="E2631" s="14" t="n">
        <v>0.25</v>
      </c>
      <c r="F2631" s="17" t="n">
        <v>37</v>
      </c>
      <c r="G2631" s="15" t="n">
        <v>0.0689093389542498</v>
      </c>
      <c r="H2631" s="16" t="n">
        <v>0.24031542398458</v>
      </c>
    </row>
    <row r="2632">
      <c r="A2632" t="s">
        <v>30</v>
      </c>
      <c r="B2632" t="s">
        <v>783</v>
      </c>
      <c r="C2632" t="s">
        <v>785</v>
      </c>
      <c r="D2632" t="s">
        <v>1462</v>
      </c>
      <c r="E2632" s="14" t="n">
        <v>0.25</v>
      </c>
      <c r="F2632" s="17" t="n">
        <v>2</v>
      </c>
      <c r="G2632" s="15" t="n">
        <v>0.249391012564956</v>
      </c>
      <c r="H2632" s="16" t="n">
        <v>0.0174391184360313</v>
      </c>
    </row>
    <row r="2633">
      <c r="A2633" t="s">
        <v>31</v>
      </c>
      <c r="B2633" t="s">
        <v>786</v>
      </c>
      <c r="C2633" t="s">
        <v>787</v>
      </c>
      <c r="D2633" t="s">
        <v>1462</v>
      </c>
      <c r="E2633" s="14" t="n">
        <v>0.25</v>
      </c>
      <c r="F2633" s="17" t="n">
        <v>45</v>
      </c>
      <c r="G2633" s="15" t="n">
        <v>0</v>
      </c>
      <c r="H2633" s="16" t="n">
        <v>0.25</v>
      </c>
    </row>
    <row r="2634">
      <c r="A2634" t="s">
        <v>31</v>
      </c>
      <c r="B2634" t="s">
        <v>786</v>
      </c>
      <c r="C2634" t="s">
        <v>788</v>
      </c>
      <c r="D2634" t="s">
        <v>1462</v>
      </c>
      <c r="E2634" s="14" t="n">
        <v>0.25</v>
      </c>
      <c r="F2634" s="17" t="n">
        <v>121</v>
      </c>
      <c r="G2634" s="15" t="n">
        <v>-0.117367890696473</v>
      </c>
      <c r="H2634" s="16" t="n">
        <v>-0.220736898214732</v>
      </c>
    </row>
    <row r="2635">
      <c r="A2635" t="s">
        <v>31</v>
      </c>
      <c r="B2635" t="s">
        <v>789</v>
      </c>
      <c r="C2635" t="s">
        <v>790</v>
      </c>
      <c r="D2635" t="s">
        <v>1462</v>
      </c>
      <c r="E2635" s="14" t="n">
        <v>0.25</v>
      </c>
      <c r="F2635" s="17" t="n">
        <v>20</v>
      </c>
      <c r="G2635" s="15" t="n">
        <v>0.191511110779745</v>
      </c>
      <c r="H2635" s="16" t="n">
        <v>0.160696902421635</v>
      </c>
    </row>
    <row r="2636">
      <c r="A2636" t="s">
        <v>31</v>
      </c>
      <c r="B2636" t="s">
        <v>789</v>
      </c>
      <c r="C2636" t="s">
        <v>791</v>
      </c>
      <c r="D2636" t="s">
        <v>1462</v>
      </c>
      <c r="E2636" s="14" t="n">
        <v>0.25</v>
      </c>
      <c r="F2636" s="17" t="n">
        <v>147</v>
      </c>
      <c r="G2636" s="15" t="n">
        <v>0.10168416076895</v>
      </c>
      <c r="H2636" s="16" t="n">
        <v>-0.22838636441065</v>
      </c>
    </row>
    <row r="2637">
      <c r="A2637" t="s">
        <v>32</v>
      </c>
      <c r="B2637" t="s">
        <v>792</v>
      </c>
      <c r="C2637" t="s">
        <v>793</v>
      </c>
      <c r="D2637" t="s">
        <v>1462</v>
      </c>
      <c r="E2637" s="14" t="n">
        <v>0</v>
      </c>
      <c r="F2637" s="17" t="n">
        <v>146</v>
      </c>
      <c r="G2637" s="15" t="n">
        <v>0</v>
      </c>
      <c r="H2637" s="16" t="n">
        <v>0</v>
      </c>
    </row>
    <row r="2638">
      <c r="A2638" t="s">
        <v>32</v>
      </c>
      <c r="B2638" t="s">
        <v>792</v>
      </c>
      <c r="C2638" t="s">
        <v>794</v>
      </c>
      <c r="D2638" t="s">
        <v>1462</v>
      </c>
      <c r="E2638" s="14" t="n">
        <v>0.5</v>
      </c>
      <c r="F2638" s="17" t="n">
        <v>41</v>
      </c>
      <c r="G2638" s="15" t="n">
        <v>0.0695865504800327</v>
      </c>
      <c r="H2638" s="16" t="n">
        <v>0.495134034370785</v>
      </c>
    </row>
    <row r="2639">
      <c r="A2639" t="s">
        <v>32</v>
      </c>
      <c r="B2639" t="s">
        <v>795</v>
      </c>
      <c r="C2639" t="s">
        <v>796</v>
      </c>
      <c r="D2639" t="s">
        <v>1462</v>
      </c>
      <c r="E2639" s="14" t="n">
        <v>0.25</v>
      </c>
      <c r="F2639" s="17" t="n">
        <v>153</v>
      </c>
      <c r="G2639" s="15" t="n">
        <v>0.146946313073118</v>
      </c>
      <c r="H2639" s="16" t="n">
        <v>-0.202254248593737</v>
      </c>
    </row>
    <row r="2640">
      <c r="A2640" t="s">
        <v>32</v>
      </c>
      <c r="B2640" t="s">
        <v>795</v>
      </c>
      <c r="C2640" t="s">
        <v>797</v>
      </c>
      <c r="D2640" t="s">
        <v>1462</v>
      </c>
      <c r="E2640" s="14" t="n">
        <v>0.25</v>
      </c>
      <c r="F2640" s="17" t="n">
        <v>6</v>
      </c>
      <c r="G2640" s="15" t="n">
        <v>0.244536900183451</v>
      </c>
      <c r="H2640" s="16" t="n">
        <v>0.0519779227044398</v>
      </c>
    </row>
    <row r="2641">
      <c r="A2641" t="s">
        <v>31</v>
      </c>
      <c r="B2641" t="s">
        <v>798</v>
      </c>
      <c r="C2641" t="s">
        <v>799</v>
      </c>
      <c r="D2641" t="s">
        <v>1462</v>
      </c>
      <c r="E2641" s="14" t="n">
        <v>0.5</v>
      </c>
      <c r="F2641" s="17" t="n">
        <v>115</v>
      </c>
      <c r="G2641" s="15" t="n">
        <v>-0.32139380484327</v>
      </c>
      <c r="H2641" s="16" t="n">
        <v>-0.383022221559489</v>
      </c>
    </row>
    <row r="2642">
      <c r="A2642" t="s">
        <v>31</v>
      </c>
      <c r="B2642" t="s">
        <v>798</v>
      </c>
      <c r="C2642" t="s">
        <v>800</v>
      </c>
      <c r="D2642" t="s">
        <v>1462</v>
      </c>
      <c r="E2642" s="14" t="n">
        <v>0.25</v>
      </c>
      <c r="F2642" s="17" t="n">
        <v>130</v>
      </c>
      <c r="G2642" s="15" t="n">
        <v>-0.0434120444167326</v>
      </c>
      <c r="H2642" s="16" t="n">
        <v>-0.246201938253052</v>
      </c>
    </row>
    <row r="2643">
      <c r="A2643" t="s">
        <v>31</v>
      </c>
      <c r="B2643" t="s">
        <v>801</v>
      </c>
      <c r="C2643" t="s">
        <v>802</v>
      </c>
      <c r="D2643" t="s">
        <v>1462</v>
      </c>
      <c r="E2643" s="14" t="n">
        <v>0.25</v>
      </c>
      <c r="F2643" s="17" t="n">
        <v>161</v>
      </c>
      <c r="G2643" s="15" t="n">
        <v>0.197002688401681</v>
      </c>
      <c r="H2643" s="16" t="n">
        <v>-0.153915368831415</v>
      </c>
    </row>
    <row r="2644">
      <c r="A2644" t="s">
        <v>31</v>
      </c>
      <c r="B2644" t="s">
        <v>801</v>
      </c>
      <c r="C2644" t="s">
        <v>803</v>
      </c>
      <c r="D2644" t="s">
        <v>1462</v>
      </c>
      <c r="E2644" s="14" t="n">
        <v>0.25</v>
      </c>
      <c r="F2644" s="17" t="n">
        <v>32</v>
      </c>
      <c r="G2644" s="15" t="n">
        <v>0.109592786697269</v>
      </c>
      <c r="H2644" s="16" t="n">
        <v>0.224698511574792</v>
      </c>
    </row>
    <row r="2645">
      <c r="A2645" t="s">
        <v>31</v>
      </c>
      <c r="B2645" t="s">
        <v>804</v>
      </c>
      <c r="C2645" t="s">
        <v>805</v>
      </c>
      <c r="D2645" t="s">
        <v>1462</v>
      </c>
      <c r="E2645" s="14" t="n">
        <v>0</v>
      </c>
      <c r="F2645" s="17" t="n">
        <v>54</v>
      </c>
      <c r="G2645" s="15" t="n">
        <v>0</v>
      </c>
      <c r="H2645" s="16" t="n">
        <v>0</v>
      </c>
    </row>
    <row r="2646">
      <c r="A2646" t="s">
        <v>31</v>
      </c>
      <c r="B2646" t="s">
        <v>806</v>
      </c>
      <c r="C2646" t="s">
        <v>807</v>
      </c>
      <c r="D2646" t="s">
        <v>1462</v>
      </c>
      <c r="E2646" s="14" t="n">
        <v>0.25</v>
      </c>
      <c r="F2646" s="17" t="n">
        <v>39</v>
      </c>
      <c r="G2646" s="15" t="n">
        <v>0.0519779227044398</v>
      </c>
      <c r="H2646" s="16" t="n">
        <v>0.244536900183451</v>
      </c>
    </row>
    <row r="2647">
      <c r="A2647" t="s">
        <v>31</v>
      </c>
      <c r="B2647" t="s">
        <v>806</v>
      </c>
      <c r="C2647" t="s">
        <v>808</v>
      </c>
      <c r="D2647" t="s">
        <v>1462</v>
      </c>
      <c r="E2647" s="14" t="n">
        <v>0.25</v>
      </c>
      <c r="F2647" s="17" t="n">
        <v>162</v>
      </c>
      <c r="G2647" s="15" t="n">
        <v>0.202254248593737</v>
      </c>
      <c r="H2647" s="16" t="n">
        <v>-0.146946313073118</v>
      </c>
    </row>
    <row r="2648">
      <c r="A2648" t="s">
        <v>32</v>
      </c>
      <c r="B2648" t="s">
        <v>809</v>
      </c>
      <c r="C2648" t="s">
        <v>810</v>
      </c>
      <c r="D2648" t="s">
        <v>1462</v>
      </c>
      <c r="E2648" s="14" t="n">
        <v>0.25</v>
      </c>
      <c r="F2648" s="17" t="n">
        <v>41</v>
      </c>
      <c r="G2648" s="15" t="n">
        <v>0.0347932752400164</v>
      </c>
      <c r="H2648" s="16" t="n">
        <v>0.247567017185393</v>
      </c>
    </row>
    <row r="2649">
      <c r="A2649" t="s">
        <v>32</v>
      </c>
      <c r="B2649" t="s">
        <v>809</v>
      </c>
      <c r="C2649" t="s">
        <v>811</v>
      </c>
      <c r="D2649" t="s">
        <v>1462</v>
      </c>
      <c r="E2649" s="14" t="n">
        <v>0.25</v>
      </c>
      <c r="F2649" s="17" t="n">
        <v>107</v>
      </c>
      <c r="G2649" s="15" t="n">
        <v>-0.20725939313876</v>
      </c>
      <c r="H2649" s="16" t="n">
        <v>-0.139798225867687</v>
      </c>
    </row>
    <row r="2650">
      <c r="A2650" t="s">
        <v>30</v>
      </c>
      <c r="B2650" t="s">
        <v>812</v>
      </c>
      <c r="C2650" t="s">
        <v>813</v>
      </c>
      <c r="D2650" t="s">
        <v>1462</v>
      </c>
      <c r="E2650" s="14" t="n">
        <v>0.5</v>
      </c>
      <c r="F2650" s="17" t="n">
        <v>126</v>
      </c>
      <c r="G2650" s="15" t="n">
        <v>-0.154508497187474</v>
      </c>
      <c r="H2650" s="16" t="n">
        <v>-0.475528258147577</v>
      </c>
    </row>
    <row r="2651">
      <c r="A2651" t="s">
        <v>30</v>
      </c>
      <c r="B2651" t="s">
        <v>812</v>
      </c>
      <c r="C2651" t="s">
        <v>814</v>
      </c>
      <c r="D2651" t="s">
        <v>1462</v>
      </c>
      <c r="E2651" s="14" t="n">
        <v>0.25</v>
      </c>
      <c r="F2651" s="17" t="n">
        <v>35</v>
      </c>
      <c r="G2651" s="15" t="n">
        <v>0.0855050358314172</v>
      </c>
      <c r="H2651" s="16" t="n">
        <v>0.234923155196477</v>
      </c>
    </row>
    <row r="2652">
      <c r="A2652" t="s">
        <v>30</v>
      </c>
      <c r="B2652" t="s">
        <v>815</v>
      </c>
      <c r="C2652" t="s">
        <v>816</v>
      </c>
      <c r="D2652" t="s">
        <v>1462</v>
      </c>
      <c r="E2652" s="14" t="n">
        <v>0.25</v>
      </c>
      <c r="F2652" s="17" t="n">
        <v>144</v>
      </c>
      <c r="G2652" s="15" t="n">
        <v>0.0772542485937368</v>
      </c>
      <c r="H2652" s="16" t="n">
        <v>-0.237764129073788</v>
      </c>
    </row>
    <row r="2653">
      <c r="A2653" t="s">
        <v>30</v>
      </c>
      <c r="B2653" t="s">
        <v>815</v>
      </c>
      <c r="C2653" t="s">
        <v>817</v>
      </c>
      <c r="D2653" t="s">
        <v>1462</v>
      </c>
      <c r="E2653" s="14" t="n">
        <v>0.25</v>
      </c>
      <c r="F2653" s="17" t="n">
        <v>19</v>
      </c>
      <c r="G2653" s="15" t="n">
        <v>0.19700268840168</v>
      </c>
      <c r="H2653" s="16" t="n">
        <v>0.153915368831415</v>
      </c>
    </row>
    <row r="2654">
      <c r="A2654" t="s">
        <v>32</v>
      </c>
      <c r="B2654" t="s">
        <v>818</v>
      </c>
      <c r="C2654" t="s">
        <v>819</v>
      </c>
      <c r="D2654" t="s">
        <v>1462</v>
      </c>
      <c r="E2654" s="14" t="n">
        <v>0.25</v>
      </c>
      <c r="F2654" s="17" t="n">
        <v>105</v>
      </c>
      <c r="G2654" s="15" t="n">
        <v>-0.21650635094611</v>
      </c>
      <c r="H2654" s="16" t="n">
        <v>-0.125</v>
      </c>
    </row>
    <row r="2655">
      <c r="A2655" t="s">
        <v>31</v>
      </c>
      <c r="B2655" t="s">
        <v>820</v>
      </c>
      <c r="C2655" t="s">
        <v>821</v>
      </c>
      <c r="D2655" t="s">
        <v>1462</v>
      </c>
      <c r="E2655" s="14" t="n">
        <v>0.25</v>
      </c>
      <c r="F2655" s="17" t="n">
        <v>114</v>
      </c>
      <c r="G2655" s="15" t="n">
        <v>-0.167282651589715</v>
      </c>
      <c r="H2655" s="16" t="n">
        <v>-0.185786206369349</v>
      </c>
    </row>
    <row r="2656">
      <c r="A2656" t="s">
        <v>31</v>
      </c>
      <c r="B2656" t="s">
        <v>820</v>
      </c>
      <c r="C2656" t="s">
        <v>822</v>
      </c>
      <c r="D2656" t="s">
        <v>1462</v>
      </c>
      <c r="E2656" s="14" t="n">
        <v>0</v>
      </c>
      <c r="F2656" s="17" t="n">
        <v>0</v>
      </c>
      <c r="G2656" s="15" t="n">
        <v>0</v>
      </c>
      <c r="H2656" s="16" t="n">
        <v>0</v>
      </c>
    </row>
    <row r="2657">
      <c r="A2657" t="s">
        <v>30</v>
      </c>
      <c r="B2657" t="s">
        <v>823</v>
      </c>
      <c r="C2657" t="s">
        <v>824</v>
      </c>
      <c r="D2657" t="s">
        <v>1462</v>
      </c>
      <c r="E2657" s="14" t="n">
        <v>0.25</v>
      </c>
      <c r="F2657" s="17" t="n">
        <v>123</v>
      </c>
      <c r="G2657" s="15" t="n">
        <v>-0.10168416076895</v>
      </c>
      <c r="H2657" s="16" t="n">
        <v>-0.22838636441065</v>
      </c>
    </row>
    <row r="2658">
      <c r="A2658" t="s">
        <v>30</v>
      </c>
      <c r="B2658" t="s">
        <v>823</v>
      </c>
      <c r="C2658" t="s">
        <v>825</v>
      </c>
      <c r="D2658" t="s">
        <v>1462</v>
      </c>
      <c r="E2658" s="14" t="n">
        <v>0.25</v>
      </c>
      <c r="F2658" s="17" t="n">
        <v>61</v>
      </c>
      <c r="G2658" s="15" t="n">
        <v>-0.132479816058301</v>
      </c>
      <c r="H2658" s="16" t="n">
        <v>0.212012024039107</v>
      </c>
    </row>
    <row r="2659">
      <c r="A2659" t="s">
        <v>31</v>
      </c>
      <c r="B2659" t="s">
        <v>826</v>
      </c>
      <c r="C2659" t="s">
        <v>827</v>
      </c>
      <c r="D2659" t="s">
        <v>1462</v>
      </c>
      <c r="E2659" s="14" t="n">
        <v>0.25</v>
      </c>
      <c r="F2659" s="17" t="n">
        <v>36</v>
      </c>
      <c r="G2659" s="15" t="n">
        <v>0.0772542485937369</v>
      </c>
      <c r="H2659" s="16" t="n">
        <v>0.237764129073788</v>
      </c>
    </row>
    <row r="2660">
      <c r="A2660" t="s">
        <v>31</v>
      </c>
      <c r="B2660" t="s">
        <v>828</v>
      </c>
      <c r="C2660" t="s">
        <v>829</v>
      </c>
      <c r="D2660" t="s">
        <v>1462</v>
      </c>
      <c r="E2660" s="14" t="n">
        <v>0</v>
      </c>
      <c r="F2660" s="17" t="n">
        <v>98</v>
      </c>
      <c r="G2660" s="15" t="n">
        <v>0</v>
      </c>
      <c r="H2660" s="16" t="n">
        <v>0</v>
      </c>
    </row>
    <row r="2661">
      <c r="A2661" t="s">
        <v>30</v>
      </c>
      <c r="B2661" t="s">
        <v>830</v>
      </c>
      <c r="C2661" t="s">
        <v>831</v>
      </c>
      <c r="D2661" t="s">
        <v>1462</v>
      </c>
      <c r="E2661" s="14" t="n">
        <v>0.25</v>
      </c>
      <c r="F2661" s="17" t="n">
        <v>161</v>
      </c>
      <c r="G2661" s="15" t="n">
        <v>0.197002688401681</v>
      </c>
      <c r="H2661" s="16" t="n">
        <v>-0.153915368831415</v>
      </c>
    </row>
    <row r="2662">
      <c r="A2662" t="s">
        <v>30</v>
      </c>
      <c r="B2662" t="s">
        <v>830</v>
      </c>
      <c r="C2662" t="s">
        <v>832</v>
      </c>
      <c r="D2662" t="s">
        <v>1462</v>
      </c>
      <c r="E2662" s="14" t="n">
        <v>0</v>
      </c>
      <c r="F2662" s="17" t="n">
        <v>142</v>
      </c>
      <c r="G2662" s="15" t="n">
        <v>0</v>
      </c>
      <c r="H2662" s="16" t="n">
        <v>0</v>
      </c>
    </row>
    <row r="2663">
      <c r="A2663" t="s">
        <v>32</v>
      </c>
      <c r="B2663" t="s">
        <v>833</v>
      </c>
      <c r="C2663" t="s">
        <v>834</v>
      </c>
      <c r="D2663" t="s">
        <v>1462</v>
      </c>
      <c r="E2663" s="14" t="n">
        <v>0.75</v>
      </c>
      <c r="F2663" s="17" t="n">
        <v>170</v>
      </c>
      <c r="G2663" s="15" t="n">
        <v>0.704769465589431</v>
      </c>
      <c r="H2663" s="16" t="n">
        <v>-0.256515107494252</v>
      </c>
    </row>
    <row r="2664">
      <c r="A2664" t="s">
        <v>30</v>
      </c>
      <c r="B2664" t="s">
        <v>835</v>
      </c>
      <c r="C2664" t="s">
        <v>836</v>
      </c>
      <c r="D2664" t="s">
        <v>1462</v>
      </c>
      <c r="E2664" s="14" t="n">
        <v>0.5</v>
      </c>
      <c r="F2664" s="17" t="n">
        <v>122</v>
      </c>
      <c r="G2664" s="15" t="n">
        <v>-0.219185573394539</v>
      </c>
      <c r="H2664" s="16" t="n">
        <v>-0.449397023149584</v>
      </c>
    </row>
    <row r="2665">
      <c r="A2665" t="s">
        <v>30</v>
      </c>
      <c r="B2665" t="s">
        <v>835</v>
      </c>
      <c r="C2665" t="s">
        <v>837</v>
      </c>
      <c r="D2665" t="s">
        <v>1462</v>
      </c>
      <c r="E2665" s="14" t="n">
        <v>0.25</v>
      </c>
      <c r="F2665" s="17" t="n">
        <v>52</v>
      </c>
      <c r="G2665" s="15" t="n">
        <v>-0.0604804738999169</v>
      </c>
      <c r="H2665" s="16" t="n">
        <v>0.242573931568999</v>
      </c>
    </row>
    <row r="2666">
      <c r="A2666" t="s">
        <v>30</v>
      </c>
      <c r="B2666" t="s">
        <v>838</v>
      </c>
      <c r="C2666" t="s">
        <v>839</v>
      </c>
      <c r="D2666" t="s">
        <v>1462</v>
      </c>
      <c r="E2666" s="14" t="n">
        <v>0.25</v>
      </c>
      <c r="F2666" s="17" t="n">
        <v>16</v>
      </c>
      <c r="G2666" s="15" t="n">
        <v>0.212012024039106</v>
      </c>
      <c r="H2666" s="16" t="n">
        <v>0.132479816058301</v>
      </c>
    </row>
    <row r="2667">
      <c r="A2667" t="s">
        <v>31</v>
      </c>
      <c r="B2667" t="s">
        <v>840</v>
      </c>
      <c r="C2667" t="s">
        <v>841</v>
      </c>
      <c r="D2667" t="s">
        <v>1462</v>
      </c>
      <c r="E2667" s="14" t="n">
        <v>0.25</v>
      </c>
      <c r="F2667" s="17" t="n">
        <v>7</v>
      </c>
      <c r="G2667" s="15" t="n">
        <v>0.242573931568999</v>
      </c>
      <c r="H2667" s="16" t="n">
        <v>0.0604804738999169</v>
      </c>
    </row>
    <row r="2668">
      <c r="A2668" t="s">
        <v>30</v>
      </c>
      <c r="B2668" t="s">
        <v>842</v>
      </c>
      <c r="C2668" t="s">
        <v>843</v>
      </c>
      <c r="D2668" t="s">
        <v>1462</v>
      </c>
      <c r="E2668" s="14" t="n">
        <v>0.25</v>
      </c>
      <c r="F2668" s="17" t="n">
        <v>141</v>
      </c>
      <c r="G2668" s="15" t="n">
        <v>0.0519779227044399</v>
      </c>
      <c r="H2668" s="16" t="n">
        <v>-0.244536900183451</v>
      </c>
    </row>
    <row r="2669">
      <c r="A2669" t="s">
        <v>30</v>
      </c>
      <c r="B2669" t="s">
        <v>842</v>
      </c>
      <c r="C2669" t="s">
        <v>844</v>
      </c>
      <c r="D2669" t="s">
        <v>1462</v>
      </c>
      <c r="E2669" s="14" t="n">
        <v>0</v>
      </c>
      <c r="F2669" s="17" t="n">
        <v>135</v>
      </c>
      <c r="G2669" s="15" t="n">
        <v>0</v>
      </c>
      <c r="H2669" s="16" t="n">
        <v>0</v>
      </c>
    </row>
    <row r="2670">
      <c r="A2670" t="s">
        <v>32</v>
      </c>
      <c r="B2670" t="s">
        <v>845</v>
      </c>
      <c r="C2670" t="s">
        <v>846</v>
      </c>
      <c r="D2670" t="s">
        <v>1462</v>
      </c>
      <c r="E2670" s="14" t="n">
        <v>0.75</v>
      </c>
      <c r="F2670" s="17" t="n">
        <v>147</v>
      </c>
      <c r="G2670" s="15" t="n">
        <v>0.30505248230685</v>
      </c>
      <c r="H2670" s="16" t="n">
        <v>-0.685159093231951</v>
      </c>
    </row>
    <row r="2671">
      <c r="A2671" t="s">
        <v>32</v>
      </c>
      <c r="B2671" t="s">
        <v>845</v>
      </c>
      <c r="C2671" t="s">
        <v>847</v>
      </c>
      <c r="D2671" t="s">
        <v>1462</v>
      </c>
      <c r="E2671" s="14" t="n">
        <v>0.5</v>
      </c>
      <c r="F2671" s="17" t="n">
        <v>49</v>
      </c>
      <c r="G2671" s="15" t="n">
        <v>-0.0695865504800326</v>
      </c>
      <c r="H2671" s="16" t="n">
        <v>0.495134034370785</v>
      </c>
    </row>
    <row r="2672">
      <c r="A2672" t="s">
        <v>31</v>
      </c>
      <c r="B2672" t="s">
        <v>848</v>
      </c>
      <c r="C2672" t="s">
        <v>849</v>
      </c>
      <c r="D2672" t="s">
        <v>1462</v>
      </c>
      <c r="E2672" s="14" t="n">
        <v>0</v>
      </c>
      <c r="F2672" s="17" t="n">
        <v>35</v>
      </c>
      <c r="G2672" s="15" t="n">
        <v>0</v>
      </c>
      <c r="H2672" s="16" t="n">
        <v>0</v>
      </c>
    </row>
    <row r="2673">
      <c r="A2673" t="s">
        <v>31</v>
      </c>
      <c r="B2673" t="s">
        <v>848</v>
      </c>
      <c r="C2673" t="s">
        <v>850</v>
      </c>
      <c r="D2673" t="s">
        <v>1462</v>
      </c>
      <c r="E2673" s="14" t="n">
        <v>0.25</v>
      </c>
      <c r="F2673" s="17" t="n">
        <v>170</v>
      </c>
      <c r="G2673" s="15" t="n">
        <v>0.234923155196477</v>
      </c>
      <c r="H2673" s="16" t="n">
        <v>-0.0855050358314172</v>
      </c>
    </row>
    <row r="2674">
      <c r="A2674" t="s">
        <v>31</v>
      </c>
      <c r="B2674" t="s">
        <v>851</v>
      </c>
      <c r="C2674" t="s">
        <v>852</v>
      </c>
      <c r="D2674" t="s">
        <v>1462</v>
      </c>
      <c r="E2674" s="14" t="n">
        <v>0.25</v>
      </c>
      <c r="F2674" s="17" t="n">
        <v>140</v>
      </c>
      <c r="G2674" s="15" t="n">
        <v>0.0434120444167325</v>
      </c>
      <c r="H2674" s="16" t="n">
        <v>-0.246201938253052</v>
      </c>
    </row>
    <row r="2675">
      <c r="A2675" t="s">
        <v>31</v>
      </c>
      <c r="B2675" t="s">
        <v>851</v>
      </c>
      <c r="C2675" t="s">
        <v>853</v>
      </c>
      <c r="D2675" t="s">
        <v>1462</v>
      </c>
      <c r="E2675" s="14" t="n">
        <v>0.25</v>
      </c>
      <c r="F2675" s="17" t="n">
        <v>58</v>
      </c>
      <c r="G2675" s="15" t="n">
        <v>-0.109592786697269</v>
      </c>
      <c r="H2675" s="16" t="n">
        <v>0.224698511574792</v>
      </c>
    </row>
    <row r="2676">
      <c r="A2676" t="s">
        <v>32</v>
      </c>
      <c r="B2676" t="s">
        <v>854</v>
      </c>
      <c r="C2676" t="s">
        <v>855</v>
      </c>
      <c r="D2676" t="s">
        <v>1462</v>
      </c>
      <c r="E2676" s="14" t="n">
        <v>0.25</v>
      </c>
      <c r="F2676" s="17" t="n">
        <v>43</v>
      </c>
      <c r="G2676" s="15" t="n">
        <v>0.0174391184360313</v>
      </c>
      <c r="H2676" s="16" t="n">
        <v>0.249391012564956</v>
      </c>
    </row>
    <row r="2677">
      <c r="A2677" t="s">
        <v>32</v>
      </c>
      <c r="B2677" t="s">
        <v>854</v>
      </c>
      <c r="C2677" t="s">
        <v>856</v>
      </c>
      <c r="D2677" t="s">
        <v>1462</v>
      </c>
      <c r="E2677" s="14" t="n">
        <v>0.25</v>
      </c>
      <c r="F2677" s="17" t="n">
        <v>129</v>
      </c>
      <c r="G2677" s="15" t="n">
        <v>-0.0519779227044399</v>
      </c>
      <c r="H2677" s="16" t="n">
        <v>-0.244536900183451</v>
      </c>
    </row>
    <row r="2678">
      <c r="A2678" t="s">
        <v>30</v>
      </c>
      <c r="B2678" t="s">
        <v>857</v>
      </c>
      <c r="C2678" t="s">
        <v>858</v>
      </c>
      <c r="D2678" t="s">
        <v>1462</v>
      </c>
      <c r="E2678" s="14" t="n">
        <v>0.5</v>
      </c>
      <c r="F2678" s="17" t="n">
        <v>127</v>
      </c>
      <c r="G2678" s="15" t="n">
        <v>-0.137818677908499</v>
      </c>
      <c r="H2678" s="16" t="n">
        <v>-0.48063084796916</v>
      </c>
    </row>
    <row r="2679">
      <c r="A2679" t="s">
        <v>30</v>
      </c>
      <c r="B2679" t="s">
        <v>857</v>
      </c>
      <c r="C2679" t="s">
        <v>859</v>
      </c>
      <c r="D2679" t="s">
        <v>1462</v>
      </c>
      <c r="E2679" s="14" t="n">
        <v>0.25</v>
      </c>
      <c r="F2679" s="17" t="n">
        <v>71</v>
      </c>
      <c r="G2679" s="15" t="n">
        <v>-0.19700268840168</v>
      </c>
      <c r="H2679" s="16" t="n">
        <v>0.153915368831415</v>
      </c>
    </row>
    <row r="2680">
      <c r="A2680" t="s">
        <v>30</v>
      </c>
      <c r="B2680" t="s">
        <v>860</v>
      </c>
      <c r="C2680" t="s">
        <v>861</v>
      </c>
      <c r="D2680" t="s">
        <v>1462</v>
      </c>
      <c r="E2680" s="14" t="n">
        <v>0.25</v>
      </c>
      <c r="F2680" s="17" t="n">
        <v>31</v>
      </c>
      <c r="G2680" s="15" t="n">
        <v>0.117367890696473</v>
      </c>
      <c r="H2680" s="16" t="n">
        <v>0.220736898214732</v>
      </c>
    </row>
    <row r="2681">
      <c r="A2681" t="s">
        <v>30</v>
      </c>
      <c r="B2681" t="s">
        <v>860</v>
      </c>
      <c r="C2681" t="s">
        <v>862</v>
      </c>
      <c r="D2681" t="s">
        <v>1462</v>
      </c>
      <c r="E2681" s="14" t="n">
        <v>0.25</v>
      </c>
      <c r="F2681" s="17" t="n">
        <v>127</v>
      </c>
      <c r="G2681" s="15" t="n">
        <v>-0.0689093389542497</v>
      </c>
      <c r="H2681" s="16" t="n">
        <v>-0.24031542398458</v>
      </c>
    </row>
    <row r="2682">
      <c r="A2682" t="s">
        <v>31</v>
      </c>
      <c r="B2682" t="s">
        <v>863</v>
      </c>
      <c r="C2682" t="s">
        <v>864</v>
      </c>
      <c r="D2682" t="s">
        <v>1462</v>
      </c>
      <c r="E2682" s="14" t="n">
        <v>0.25</v>
      </c>
      <c r="F2682" s="17" t="n">
        <v>151</v>
      </c>
      <c r="G2682" s="15" t="n">
        <v>0.132479816058301</v>
      </c>
      <c r="H2682" s="16" t="n">
        <v>-0.212012024039106</v>
      </c>
    </row>
    <row r="2683">
      <c r="A2683" t="s">
        <v>31</v>
      </c>
      <c r="B2683" t="s">
        <v>863</v>
      </c>
      <c r="C2683" t="s">
        <v>865</v>
      </c>
      <c r="D2683" t="s">
        <v>1462</v>
      </c>
      <c r="E2683" s="14" t="n">
        <v>0.25</v>
      </c>
      <c r="F2683" s="17" t="n">
        <v>31</v>
      </c>
      <c r="G2683" s="15" t="n">
        <v>0.117367890696473</v>
      </c>
      <c r="H2683" s="16" t="n">
        <v>0.220736898214732</v>
      </c>
    </row>
    <row r="2684">
      <c r="A2684" t="s">
        <v>30</v>
      </c>
      <c r="B2684" t="s">
        <v>866</v>
      </c>
      <c r="C2684" t="s">
        <v>867</v>
      </c>
      <c r="D2684" t="s">
        <v>1462</v>
      </c>
      <c r="E2684" s="14" t="n">
        <v>0.5</v>
      </c>
      <c r="F2684" s="17" t="n">
        <v>130</v>
      </c>
      <c r="G2684" s="15" t="n">
        <v>-0.0868240888334652</v>
      </c>
      <c r="H2684" s="16" t="n">
        <v>-0.492403876506104</v>
      </c>
    </row>
    <row r="2685">
      <c r="A2685" t="s">
        <v>32</v>
      </c>
      <c r="B2685" t="s">
        <v>868</v>
      </c>
      <c r="C2685" t="s">
        <v>869</v>
      </c>
      <c r="D2685" t="s">
        <v>1462</v>
      </c>
      <c r="E2685" s="14" t="n">
        <v>0.25</v>
      </c>
      <c r="F2685" s="17" t="n">
        <v>173</v>
      </c>
      <c r="G2685" s="15" t="n">
        <v>0.242573931568999</v>
      </c>
      <c r="H2685" s="16" t="n">
        <v>-0.0604804738999169</v>
      </c>
    </row>
    <row r="2686">
      <c r="A2686" t="s">
        <v>31</v>
      </c>
      <c r="B2686" t="s">
        <v>870</v>
      </c>
      <c r="C2686" t="s">
        <v>871</v>
      </c>
      <c r="D2686" t="s">
        <v>1462</v>
      </c>
      <c r="E2686" s="14" t="n">
        <v>0</v>
      </c>
      <c r="F2686" s="17" t="n">
        <v>39</v>
      </c>
      <c r="G2686" s="15" t="n">
        <v>0</v>
      </c>
      <c r="H2686" s="16" t="n">
        <v>0</v>
      </c>
    </row>
    <row r="2687">
      <c r="A2687" t="s">
        <v>31</v>
      </c>
      <c r="B2687" t="s">
        <v>872</v>
      </c>
      <c r="C2687" t="s">
        <v>873</v>
      </c>
      <c r="D2687" t="s">
        <v>1462</v>
      </c>
      <c r="E2687" s="14" t="n">
        <v>0.25</v>
      </c>
      <c r="F2687" s="17" t="n">
        <v>54</v>
      </c>
      <c r="G2687" s="15" t="n">
        <v>-0.0772542485937368</v>
      </c>
      <c r="H2687" s="16" t="n">
        <v>0.237764129073788</v>
      </c>
    </row>
    <row r="2688">
      <c r="A2688" t="s">
        <v>31</v>
      </c>
      <c r="B2688" t="s">
        <v>872</v>
      </c>
      <c r="C2688" t="s">
        <v>874</v>
      </c>
      <c r="D2688" t="s">
        <v>1462</v>
      </c>
      <c r="E2688" s="14" t="n">
        <v>0.25</v>
      </c>
      <c r="F2688" s="17" t="n">
        <v>137</v>
      </c>
      <c r="G2688" s="15" t="n">
        <v>0.0174391184360313</v>
      </c>
      <c r="H2688" s="16" t="n">
        <v>-0.249391012564956</v>
      </c>
    </row>
    <row r="2689">
      <c r="A2689" t="s">
        <v>32</v>
      </c>
      <c r="B2689" t="s">
        <v>875</v>
      </c>
      <c r="C2689" t="s">
        <v>876</v>
      </c>
      <c r="D2689" t="s">
        <v>1462</v>
      </c>
      <c r="E2689" s="14" t="n">
        <v>0.25</v>
      </c>
      <c r="F2689" s="17" t="n">
        <v>75</v>
      </c>
      <c r="G2689" s="15" t="n">
        <v>-0.21650635094611</v>
      </c>
      <c r="H2689" s="16" t="n">
        <v>0.125</v>
      </c>
    </row>
    <row r="2690">
      <c r="A2690" t="s">
        <v>32</v>
      </c>
      <c r="B2690" t="s">
        <v>875</v>
      </c>
      <c r="C2690" t="s">
        <v>877</v>
      </c>
      <c r="D2690" t="s">
        <v>1462</v>
      </c>
      <c r="E2690" s="14" t="n">
        <v>0.25</v>
      </c>
      <c r="F2690" s="17" t="n">
        <v>97</v>
      </c>
      <c r="G2690" s="15" t="n">
        <v>-0.242573931568999</v>
      </c>
      <c r="H2690" s="16" t="n">
        <v>-0.0604804738999169</v>
      </c>
    </row>
    <row r="2691">
      <c r="A2691" t="s">
        <v>31</v>
      </c>
      <c r="B2691" t="s">
        <v>878</v>
      </c>
      <c r="C2691" t="s">
        <v>879</v>
      </c>
      <c r="D2691" t="s">
        <v>1462</v>
      </c>
      <c r="E2691" s="14" t="n">
        <v>0.25</v>
      </c>
      <c r="F2691" s="17" t="n">
        <v>16</v>
      </c>
      <c r="G2691" s="15" t="n">
        <v>0.212012024039106</v>
      </c>
      <c r="H2691" s="16" t="n">
        <v>0.132479816058301</v>
      </c>
    </row>
    <row r="2692">
      <c r="A2692" t="s">
        <v>31</v>
      </c>
      <c r="B2692" t="s">
        <v>878</v>
      </c>
      <c r="C2692" t="s">
        <v>880</v>
      </c>
      <c r="D2692" t="s">
        <v>1462</v>
      </c>
      <c r="E2692" s="14" t="n">
        <v>0</v>
      </c>
      <c r="F2692" s="17" t="n">
        <v>97</v>
      </c>
      <c r="G2692" s="15" t="n">
        <v>0</v>
      </c>
      <c r="H2692" s="16" t="n">
        <v>0</v>
      </c>
    </row>
    <row r="2693">
      <c r="A2693" t="s">
        <v>32</v>
      </c>
      <c r="B2693" t="s">
        <v>881</v>
      </c>
      <c r="C2693" t="s">
        <v>882</v>
      </c>
      <c r="D2693" t="s">
        <v>1462</v>
      </c>
      <c r="E2693" s="14" t="n">
        <v>0.25</v>
      </c>
      <c r="F2693" s="17" t="n">
        <v>154</v>
      </c>
      <c r="G2693" s="15" t="n">
        <v>0.153915368831414</v>
      </c>
      <c r="H2693" s="16" t="n">
        <v>-0.197002688401681</v>
      </c>
    </row>
    <row r="2694">
      <c r="A2694" t="s">
        <v>30</v>
      </c>
      <c r="B2694" t="s">
        <v>883</v>
      </c>
      <c r="C2694" t="s">
        <v>884</v>
      </c>
      <c r="D2694" t="s">
        <v>1462</v>
      </c>
      <c r="E2694" s="14" t="n">
        <v>0.25</v>
      </c>
      <c r="F2694" s="17" t="n">
        <v>77</v>
      </c>
      <c r="G2694" s="15" t="n">
        <v>-0.224698511574792</v>
      </c>
      <c r="H2694" s="16" t="n">
        <v>0.109592786697269</v>
      </c>
    </row>
    <row r="2695">
      <c r="A2695" t="s">
        <v>30</v>
      </c>
      <c r="B2695" t="s">
        <v>883</v>
      </c>
      <c r="C2695" t="s">
        <v>885</v>
      </c>
      <c r="D2695" t="s">
        <v>1462</v>
      </c>
      <c r="E2695" s="14" t="n">
        <v>0.25</v>
      </c>
      <c r="F2695" s="17" t="n">
        <v>84</v>
      </c>
      <c r="G2695" s="15" t="n">
        <v>-0.244536900183451</v>
      </c>
      <c r="H2695" s="16" t="n">
        <v>0.0519779227044398</v>
      </c>
    </row>
    <row r="2696">
      <c r="A2696" t="s">
        <v>30</v>
      </c>
      <c r="B2696" t="s">
        <v>886</v>
      </c>
      <c r="C2696" t="s">
        <v>887</v>
      </c>
      <c r="D2696" t="s">
        <v>1462</v>
      </c>
      <c r="E2696" s="14" t="n">
        <v>1</v>
      </c>
      <c r="F2696" s="17" t="n">
        <v>3</v>
      </c>
      <c r="G2696" s="15" t="n">
        <v>0.994521895368273</v>
      </c>
      <c r="H2696" s="16" t="n">
        <v>0.104528463267653</v>
      </c>
    </row>
    <row r="2697">
      <c r="A2697" t="s">
        <v>30</v>
      </c>
      <c r="B2697" t="s">
        <v>886</v>
      </c>
      <c r="C2697" t="s">
        <v>888</v>
      </c>
      <c r="D2697" t="s">
        <v>1462</v>
      </c>
      <c r="E2697" s="14" t="n">
        <v>0.75</v>
      </c>
      <c r="F2697" s="17" t="n">
        <v>166</v>
      </c>
      <c r="G2697" s="15" t="n">
        <v>0.662210694644195</v>
      </c>
      <c r="H2697" s="16" t="n">
        <v>-0.352103672089418</v>
      </c>
    </row>
    <row r="2698">
      <c r="A2698" t="s">
        <v>31</v>
      </c>
      <c r="B2698" t="s">
        <v>889</v>
      </c>
      <c r="C2698" t="s">
        <v>890</v>
      </c>
      <c r="D2698" t="s">
        <v>1462</v>
      </c>
      <c r="E2698" s="14" t="n">
        <v>0.25</v>
      </c>
      <c r="F2698" s="17" t="n">
        <v>155</v>
      </c>
      <c r="G2698" s="15" t="n">
        <v>0.160696902421635</v>
      </c>
      <c r="H2698" s="16" t="n">
        <v>-0.191511110779744</v>
      </c>
    </row>
    <row r="2699">
      <c r="A2699" t="s">
        <v>31</v>
      </c>
      <c r="B2699" t="s">
        <v>889</v>
      </c>
      <c r="C2699" t="s">
        <v>891</v>
      </c>
      <c r="D2699" t="s">
        <v>1462</v>
      </c>
      <c r="E2699" s="14" t="n">
        <v>0.25</v>
      </c>
      <c r="F2699" s="17" t="n">
        <v>30</v>
      </c>
      <c r="G2699" s="15" t="n">
        <v>0.125</v>
      </c>
      <c r="H2699" s="16" t="n">
        <v>0.21650635094611</v>
      </c>
    </row>
    <row r="2700">
      <c r="A2700" t="s">
        <v>32</v>
      </c>
      <c r="B2700" t="s">
        <v>892</v>
      </c>
      <c r="C2700" t="s">
        <v>893</v>
      </c>
      <c r="D2700" t="s">
        <v>1462</v>
      </c>
      <c r="E2700" s="14" t="n">
        <v>0</v>
      </c>
      <c r="F2700" s="17" t="n">
        <v>24</v>
      </c>
      <c r="G2700" s="15" t="n">
        <v>0</v>
      </c>
      <c r="H2700" s="16" t="n">
        <v>0</v>
      </c>
    </row>
    <row r="2701">
      <c r="A2701" t="s">
        <v>32</v>
      </c>
      <c r="B2701" t="s">
        <v>892</v>
      </c>
      <c r="C2701" t="s">
        <v>894</v>
      </c>
      <c r="D2701" t="s">
        <v>1462</v>
      </c>
      <c r="E2701" s="14" t="n">
        <v>0.25</v>
      </c>
      <c r="F2701" s="17" t="n">
        <v>35</v>
      </c>
      <c r="G2701" s="15" t="n">
        <v>0.0855050358314172</v>
      </c>
      <c r="H2701" s="16" t="n">
        <v>0.234923155196477</v>
      </c>
    </row>
    <row r="2702">
      <c r="A2702" t="s">
        <v>32</v>
      </c>
      <c r="B2702" t="s">
        <v>895</v>
      </c>
      <c r="C2702" t="s">
        <v>896</v>
      </c>
      <c r="D2702" t="s">
        <v>1462</v>
      </c>
      <c r="E2702" s="14" t="n">
        <v>0.25</v>
      </c>
      <c r="F2702" s="17" t="n">
        <v>95</v>
      </c>
      <c r="G2702" s="15" t="n">
        <v>-0.246201938253052</v>
      </c>
      <c r="H2702" s="16" t="n">
        <v>-0.0434120444167327</v>
      </c>
    </row>
    <row r="2703">
      <c r="A2703" t="s">
        <v>32</v>
      </c>
      <c r="B2703" t="s">
        <v>895</v>
      </c>
      <c r="C2703" t="s">
        <v>897</v>
      </c>
      <c r="D2703" t="s">
        <v>1462</v>
      </c>
      <c r="E2703" s="14" t="n">
        <v>0.25</v>
      </c>
      <c r="F2703" s="17" t="n">
        <v>75</v>
      </c>
      <c r="G2703" s="15" t="n">
        <v>-0.21650635094611</v>
      </c>
      <c r="H2703" s="16" t="n">
        <v>0.125</v>
      </c>
    </row>
    <row r="2704">
      <c r="A2704" t="s">
        <v>30</v>
      </c>
      <c r="B2704" t="s">
        <v>898</v>
      </c>
      <c r="C2704" t="s">
        <v>899</v>
      </c>
      <c r="D2704" t="s">
        <v>1462</v>
      </c>
      <c r="E2704" s="14" t="n">
        <v>0.25</v>
      </c>
      <c r="F2704" s="17" t="n">
        <v>30</v>
      </c>
      <c r="G2704" s="15" t="n">
        <v>0.125</v>
      </c>
      <c r="H2704" s="16" t="n">
        <v>0.21650635094611</v>
      </c>
    </row>
    <row r="2705">
      <c r="A2705" t="s">
        <v>30</v>
      </c>
      <c r="B2705" t="s">
        <v>898</v>
      </c>
      <c r="C2705" t="s">
        <v>900</v>
      </c>
      <c r="D2705" t="s">
        <v>1462</v>
      </c>
      <c r="E2705" s="14" t="n">
        <v>0.25</v>
      </c>
      <c r="F2705" s="17" t="n">
        <v>143</v>
      </c>
      <c r="G2705" s="15" t="n">
        <v>0.0689093389542496</v>
      </c>
      <c r="H2705" s="16" t="n">
        <v>-0.24031542398458</v>
      </c>
    </row>
    <row r="2706">
      <c r="A2706" t="s">
        <v>32</v>
      </c>
      <c r="B2706" t="s">
        <v>901</v>
      </c>
      <c r="C2706" t="s">
        <v>902</v>
      </c>
      <c r="D2706" t="s">
        <v>1462</v>
      </c>
      <c r="E2706" s="14" t="n">
        <v>0.5</v>
      </c>
      <c r="F2706" s="17" t="n">
        <v>5</v>
      </c>
      <c r="G2706" s="15" t="n">
        <v>0.492403876506104</v>
      </c>
      <c r="H2706" s="16" t="n">
        <v>0.0868240888334652</v>
      </c>
    </row>
    <row r="2707">
      <c r="A2707" t="s">
        <v>31</v>
      </c>
      <c r="B2707" t="s">
        <v>903</v>
      </c>
      <c r="C2707" t="s">
        <v>904</v>
      </c>
      <c r="D2707" t="s">
        <v>1462</v>
      </c>
      <c r="E2707" s="14" t="n">
        <v>0.25</v>
      </c>
      <c r="F2707" s="17" t="n">
        <v>129</v>
      </c>
      <c r="G2707" s="15" t="n">
        <v>-0.0519779227044399</v>
      </c>
      <c r="H2707" s="16" t="n">
        <v>-0.244536900183451</v>
      </c>
    </row>
    <row r="2708">
      <c r="A2708" t="s">
        <v>31</v>
      </c>
      <c r="B2708" t="s">
        <v>903</v>
      </c>
      <c r="C2708" t="s">
        <v>905</v>
      </c>
      <c r="D2708" t="s">
        <v>1462</v>
      </c>
      <c r="E2708" s="14" t="n">
        <v>0</v>
      </c>
      <c r="F2708" s="17" t="n">
        <v>16</v>
      </c>
      <c r="G2708" s="15" t="n">
        <v>0</v>
      </c>
      <c r="H2708" s="16" t="n">
        <v>0</v>
      </c>
    </row>
    <row r="2709">
      <c r="A2709" t="s">
        <v>32</v>
      </c>
      <c r="B2709" t="s">
        <v>906</v>
      </c>
      <c r="C2709" t="s">
        <v>907</v>
      </c>
      <c r="D2709" t="s">
        <v>1462</v>
      </c>
      <c r="E2709" s="14" t="n">
        <v>0.25</v>
      </c>
      <c r="F2709" s="17" t="n">
        <v>149</v>
      </c>
      <c r="G2709" s="15" t="n">
        <v>0.117367890696473</v>
      </c>
      <c r="H2709" s="16" t="n">
        <v>-0.220736898214732</v>
      </c>
    </row>
    <row r="2710">
      <c r="A2710" t="s">
        <v>32</v>
      </c>
      <c r="B2710" t="s">
        <v>906</v>
      </c>
      <c r="C2710" t="s">
        <v>908</v>
      </c>
      <c r="D2710" t="s">
        <v>1462</v>
      </c>
      <c r="E2710" s="14" t="n">
        <v>0.25</v>
      </c>
      <c r="F2710" s="17" t="n">
        <v>17</v>
      </c>
      <c r="G2710" s="15" t="n">
        <v>0.20725939313876</v>
      </c>
      <c r="H2710" s="16" t="n">
        <v>0.139798225867687</v>
      </c>
    </row>
    <row r="2711">
      <c r="A2711" t="s">
        <v>30</v>
      </c>
      <c r="B2711" t="s">
        <v>909</v>
      </c>
      <c r="C2711" t="s">
        <v>910</v>
      </c>
      <c r="D2711" t="s">
        <v>1462</v>
      </c>
      <c r="E2711" s="14" t="n">
        <v>0</v>
      </c>
      <c r="F2711" s="17" t="n">
        <v>172</v>
      </c>
      <c r="G2711" s="15" t="n">
        <v>0</v>
      </c>
      <c r="H2711" s="16" t="n">
        <v>0</v>
      </c>
    </row>
    <row r="2712">
      <c r="A2712" t="s">
        <v>32</v>
      </c>
      <c r="B2712" t="s">
        <v>911</v>
      </c>
      <c r="C2712" t="s">
        <v>912</v>
      </c>
      <c r="D2712" t="s">
        <v>1462</v>
      </c>
      <c r="E2712" s="14" t="n">
        <v>0</v>
      </c>
      <c r="F2712" s="17" t="n">
        <v>18</v>
      </c>
      <c r="G2712" s="15" t="n">
        <v>0</v>
      </c>
      <c r="H2712" s="16" t="n">
        <v>0</v>
      </c>
    </row>
    <row r="2713">
      <c r="A2713" t="s">
        <v>30</v>
      </c>
      <c r="B2713" t="s">
        <v>913</v>
      </c>
      <c r="C2713" t="s">
        <v>914</v>
      </c>
      <c r="D2713" t="s">
        <v>1462</v>
      </c>
      <c r="E2713" s="14" t="n">
        <v>0</v>
      </c>
      <c r="F2713" s="17" t="n">
        <v>76</v>
      </c>
      <c r="G2713" s="15" t="n">
        <v>0</v>
      </c>
      <c r="H2713" s="16" t="n">
        <v>0</v>
      </c>
    </row>
    <row r="2714">
      <c r="A2714" t="s">
        <v>30</v>
      </c>
      <c r="B2714" t="s">
        <v>913</v>
      </c>
      <c r="C2714" t="s">
        <v>915</v>
      </c>
      <c r="D2714" t="s">
        <v>1462</v>
      </c>
      <c r="E2714" s="14" t="n">
        <v>0</v>
      </c>
      <c r="F2714" s="17" t="n">
        <v>96</v>
      </c>
      <c r="G2714" s="15" t="n">
        <v>0</v>
      </c>
      <c r="H2714" s="16" t="n">
        <v>0</v>
      </c>
    </row>
    <row r="2715">
      <c r="A2715" t="s">
        <v>30</v>
      </c>
      <c r="B2715" t="s">
        <v>916</v>
      </c>
      <c r="C2715" t="s">
        <v>917</v>
      </c>
      <c r="D2715" t="s">
        <v>1462</v>
      </c>
      <c r="E2715" s="14" t="n">
        <v>0</v>
      </c>
      <c r="F2715" s="17" t="n">
        <v>76</v>
      </c>
      <c r="G2715" s="15" t="n">
        <v>0</v>
      </c>
      <c r="H2715" s="16" t="n">
        <v>0</v>
      </c>
    </row>
    <row r="2716">
      <c r="A2716" t="s">
        <v>30</v>
      </c>
      <c r="B2716" t="s">
        <v>916</v>
      </c>
      <c r="C2716" t="s">
        <v>918</v>
      </c>
      <c r="D2716" t="s">
        <v>1462</v>
      </c>
      <c r="E2716" s="14" t="n">
        <v>0.25</v>
      </c>
      <c r="F2716" s="17" t="n">
        <v>0</v>
      </c>
      <c r="G2716" s="15" t="n">
        <v>0.25</v>
      </c>
      <c r="H2716" s="16" t="n">
        <v>0</v>
      </c>
    </row>
    <row r="2717">
      <c r="A2717" t="s">
        <v>30</v>
      </c>
      <c r="B2717" t="s">
        <v>919</v>
      </c>
      <c r="C2717" t="s">
        <v>920</v>
      </c>
      <c r="D2717" t="s">
        <v>1462</v>
      </c>
      <c r="E2717" s="14" t="n">
        <v>0.75</v>
      </c>
      <c r="F2717" s="17" t="n">
        <v>42</v>
      </c>
      <c r="G2717" s="15" t="n">
        <v>0.0783963474507401</v>
      </c>
      <c r="H2717" s="16" t="n">
        <v>0.745891421526205</v>
      </c>
    </row>
    <row r="2718">
      <c r="A2718" t="s">
        <v>30</v>
      </c>
      <c r="B2718" t="s">
        <v>921</v>
      </c>
      <c r="C2718" t="s">
        <v>922</v>
      </c>
      <c r="D2718" t="s">
        <v>1462</v>
      </c>
      <c r="E2718" s="14" t="n">
        <v>0.25</v>
      </c>
      <c r="F2718" s="17" t="n">
        <v>77</v>
      </c>
      <c r="G2718" s="15" t="n">
        <v>-0.224698511574792</v>
      </c>
      <c r="H2718" s="16" t="n">
        <v>0.109592786697269</v>
      </c>
    </row>
    <row r="2719">
      <c r="A2719" t="s">
        <v>30</v>
      </c>
      <c r="B2719" t="s">
        <v>921</v>
      </c>
      <c r="C2719" t="s">
        <v>923</v>
      </c>
      <c r="D2719" t="s">
        <v>1462</v>
      </c>
      <c r="E2719" s="14" t="n">
        <v>0.25</v>
      </c>
      <c r="F2719" s="17" t="n">
        <v>92</v>
      </c>
      <c r="G2719" s="15" t="n">
        <v>-0.249391012564956</v>
      </c>
      <c r="H2719" s="16" t="n">
        <v>-0.0174391184360313</v>
      </c>
    </row>
    <row r="2720">
      <c r="A2720" t="s">
        <v>30</v>
      </c>
      <c r="B2720" t="s">
        <v>924</v>
      </c>
      <c r="C2720" t="s">
        <v>925</v>
      </c>
      <c r="D2720" t="s">
        <v>1462</v>
      </c>
      <c r="E2720" s="14" t="n">
        <v>0</v>
      </c>
      <c r="F2720" s="17" t="n">
        <v>40</v>
      </c>
      <c r="G2720" s="15" t="n">
        <v>0</v>
      </c>
      <c r="H2720" s="16" t="n">
        <v>0</v>
      </c>
    </row>
    <row r="2721">
      <c r="A2721" t="s">
        <v>30</v>
      </c>
      <c r="B2721" t="s">
        <v>924</v>
      </c>
      <c r="C2721" t="s">
        <v>926</v>
      </c>
      <c r="D2721" t="s">
        <v>1462</v>
      </c>
      <c r="E2721" s="14" t="n">
        <v>0.5</v>
      </c>
      <c r="F2721" s="17" t="n">
        <v>37</v>
      </c>
      <c r="G2721" s="15" t="n">
        <v>0.1378186779085</v>
      </c>
      <c r="H2721" s="16" t="n">
        <v>0.480630847969159</v>
      </c>
    </row>
    <row r="2722">
      <c r="A2722" t="s">
        <v>30</v>
      </c>
      <c r="B2722" t="s">
        <v>927</v>
      </c>
      <c r="C2722" t="s">
        <v>928</v>
      </c>
      <c r="D2722" t="s">
        <v>1462</v>
      </c>
      <c r="E2722" s="14" t="n">
        <v>0</v>
      </c>
      <c r="F2722" s="17" t="n">
        <v>161</v>
      </c>
      <c r="G2722" s="15" t="n">
        <v>0</v>
      </c>
      <c r="H2722" s="16" t="n">
        <v>0</v>
      </c>
    </row>
    <row r="2723">
      <c r="A2723" t="s">
        <v>30</v>
      </c>
      <c r="B2723" t="s">
        <v>929</v>
      </c>
      <c r="C2723" t="s">
        <v>930</v>
      </c>
      <c r="D2723" t="s">
        <v>1462</v>
      </c>
      <c r="E2723" s="14" t="n">
        <v>0.25</v>
      </c>
      <c r="F2723" s="17" t="n">
        <v>24</v>
      </c>
      <c r="G2723" s="15" t="n">
        <v>0.167282651589715</v>
      </c>
      <c r="H2723" s="16" t="n">
        <v>0.185786206369349</v>
      </c>
    </row>
    <row r="2724">
      <c r="A2724" t="s">
        <v>30</v>
      </c>
      <c r="B2724" t="s">
        <v>929</v>
      </c>
      <c r="C2724" t="s">
        <v>931</v>
      </c>
      <c r="D2724" t="s">
        <v>1462</v>
      </c>
      <c r="E2724" s="14" t="n">
        <v>0.25</v>
      </c>
      <c r="F2724" s="17" t="n">
        <v>21</v>
      </c>
      <c r="G2724" s="15" t="n">
        <v>0.185786206369349</v>
      </c>
      <c r="H2724" s="16" t="n">
        <v>0.167282651589715</v>
      </c>
    </row>
    <row r="2725">
      <c r="A2725" t="s">
        <v>30</v>
      </c>
      <c r="B2725" t="s">
        <v>932</v>
      </c>
      <c r="C2725" t="s">
        <v>933</v>
      </c>
      <c r="D2725" t="s">
        <v>1462</v>
      </c>
      <c r="E2725" s="14" t="n">
        <v>0.25</v>
      </c>
      <c r="F2725" s="17" t="n">
        <v>92</v>
      </c>
      <c r="G2725" s="15" t="n">
        <v>-0.249391012564956</v>
      </c>
      <c r="H2725" s="16" t="n">
        <v>-0.0174391184360313</v>
      </c>
    </row>
    <row r="2726">
      <c r="A2726" t="s">
        <v>30</v>
      </c>
      <c r="B2726" t="s">
        <v>932</v>
      </c>
      <c r="C2726" t="s">
        <v>934</v>
      </c>
      <c r="D2726" t="s">
        <v>1462</v>
      </c>
      <c r="E2726" s="14" t="n">
        <v>0.25</v>
      </c>
      <c r="F2726" s="17" t="n">
        <v>80</v>
      </c>
      <c r="G2726" s="15" t="n">
        <v>-0.234923155196477</v>
      </c>
      <c r="H2726" s="16" t="n">
        <v>0.0855050358314172</v>
      </c>
    </row>
    <row r="2727">
      <c r="A2727" t="s">
        <v>31</v>
      </c>
      <c r="B2727" t="s">
        <v>935</v>
      </c>
      <c r="C2727" t="s">
        <v>936</v>
      </c>
      <c r="D2727" t="s">
        <v>1462</v>
      </c>
      <c r="E2727" s="14" t="n">
        <v>0.25</v>
      </c>
      <c r="F2727" s="17" t="n">
        <v>167</v>
      </c>
      <c r="G2727" s="15" t="n">
        <v>0.224698511574792</v>
      </c>
      <c r="H2727" s="16" t="n">
        <v>-0.109592786697269</v>
      </c>
    </row>
    <row r="2728">
      <c r="A2728" t="s">
        <v>31</v>
      </c>
      <c r="B2728" t="s">
        <v>937</v>
      </c>
      <c r="C2728" t="s">
        <v>938</v>
      </c>
      <c r="D2728" t="s">
        <v>1462</v>
      </c>
      <c r="E2728" s="14" t="n">
        <v>0.25</v>
      </c>
      <c r="F2728" s="17" t="n">
        <v>45</v>
      </c>
      <c r="G2728" s="15" t="n">
        <v>0</v>
      </c>
      <c r="H2728" s="16" t="n">
        <v>0.25</v>
      </c>
    </row>
    <row r="2729">
      <c r="A2729" t="s">
        <v>31</v>
      </c>
      <c r="B2729" t="s">
        <v>939</v>
      </c>
      <c r="C2729" t="s">
        <v>940</v>
      </c>
      <c r="D2729" t="s">
        <v>1462</v>
      </c>
      <c r="E2729" s="14" t="n">
        <v>0.75</v>
      </c>
      <c r="F2729" s="17" t="n">
        <v>50</v>
      </c>
      <c r="G2729" s="15" t="n">
        <v>-0.130236133250198</v>
      </c>
      <c r="H2729" s="16" t="n">
        <v>0.738605814759156</v>
      </c>
    </row>
    <row r="2730">
      <c r="A2730" t="s">
        <v>30</v>
      </c>
      <c r="B2730" t="s">
        <v>941</v>
      </c>
      <c r="C2730" t="s">
        <v>942</v>
      </c>
      <c r="D2730" t="s">
        <v>1462</v>
      </c>
      <c r="E2730" s="14" t="n">
        <v>0.25</v>
      </c>
      <c r="F2730" s="17" t="n">
        <v>7</v>
      </c>
      <c r="G2730" s="15" t="n">
        <v>0.242573931568999</v>
      </c>
      <c r="H2730" s="16" t="n">
        <v>0.0604804738999169</v>
      </c>
    </row>
    <row r="2731">
      <c r="A2731" t="s">
        <v>30</v>
      </c>
      <c r="B2731" t="s">
        <v>941</v>
      </c>
      <c r="C2731" t="s">
        <v>943</v>
      </c>
      <c r="D2731" t="s">
        <v>1462</v>
      </c>
      <c r="E2731" s="14" t="n">
        <v>0.25</v>
      </c>
      <c r="F2731" s="17" t="n">
        <v>33</v>
      </c>
      <c r="G2731" s="15" t="n">
        <v>0.10168416076895</v>
      </c>
      <c r="H2731" s="16" t="n">
        <v>0.22838636441065</v>
      </c>
    </row>
    <row r="2732">
      <c r="A2732" t="s">
        <v>30</v>
      </c>
      <c r="B2732" t="s">
        <v>944</v>
      </c>
      <c r="C2732" t="s">
        <v>945</v>
      </c>
      <c r="D2732" t="s">
        <v>1462</v>
      </c>
      <c r="E2732" s="14" t="n">
        <v>0.25</v>
      </c>
      <c r="F2732" s="17" t="n">
        <v>126</v>
      </c>
      <c r="G2732" s="15" t="n">
        <v>-0.0772542485937369</v>
      </c>
      <c r="H2732" s="16" t="n">
        <v>-0.237764129073788</v>
      </c>
    </row>
    <row r="2733">
      <c r="A2733" t="s">
        <v>31</v>
      </c>
      <c r="B2733" t="s">
        <v>946</v>
      </c>
      <c r="C2733" t="s">
        <v>947</v>
      </c>
      <c r="D2733" t="s">
        <v>1462</v>
      </c>
      <c r="E2733" s="14" t="n">
        <v>0.5</v>
      </c>
      <c r="F2733" s="17" t="n">
        <v>108</v>
      </c>
      <c r="G2733" s="15" t="n">
        <v>-0.404508497187474</v>
      </c>
      <c r="H2733" s="16" t="n">
        <v>-0.293892626146237</v>
      </c>
    </row>
    <row r="2734">
      <c r="A2734" t="s">
        <v>31</v>
      </c>
      <c r="B2734" t="s">
        <v>946</v>
      </c>
      <c r="C2734" t="s">
        <v>948</v>
      </c>
      <c r="D2734" t="s">
        <v>1462</v>
      </c>
      <c r="E2734" s="14" t="n">
        <v>0.25</v>
      </c>
      <c r="F2734" s="17" t="n">
        <v>66</v>
      </c>
      <c r="G2734" s="15" t="n">
        <v>-0.167282651589714</v>
      </c>
      <c r="H2734" s="16" t="n">
        <v>0.185786206369349</v>
      </c>
    </row>
    <row r="2735">
      <c r="A2735" t="s">
        <v>32</v>
      </c>
      <c r="B2735" t="s">
        <v>949</v>
      </c>
      <c r="C2735" t="s">
        <v>950</v>
      </c>
      <c r="D2735" t="s">
        <v>1462</v>
      </c>
      <c r="E2735" s="14" t="n">
        <v>0</v>
      </c>
      <c r="F2735" s="17" t="n">
        <v>167</v>
      </c>
      <c r="G2735" s="15" t="n">
        <v>0</v>
      </c>
      <c r="H2735" s="16" t="n">
        <v>0</v>
      </c>
    </row>
    <row r="2736">
      <c r="A2736" t="s">
        <v>32</v>
      </c>
      <c r="B2736" t="s">
        <v>949</v>
      </c>
      <c r="C2736" t="s">
        <v>951</v>
      </c>
      <c r="D2736" t="s">
        <v>1462</v>
      </c>
      <c r="E2736" s="14" t="n">
        <v>0.25</v>
      </c>
      <c r="F2736" s="17" t="n">
        <v>87</v>
      </c>
      <c r="G2736" s="15" t="n">
        <v>-0.248630473842068</v>
      </c>
      <c r="H2736" s="16" t="n">
        <v>0.0261321158169134</v>
      </c>
    </row>
    <row r="2737">
      <c r="A2737" t="s">
        <v>32</v>
      </c>
      <c r="B2737" t="s">
        <v>952</v>
      </c>
      <c r="C2737" t="s">
        <v>953</v>
      </c>
      <c r="D2737" t="s">
        <v>1462</v>
      </c>
      <c r="E2737" s="14" t="n">
        <v>0.25</v>
      </c>
      <c r="F2737" s="17" t="n">
        <v>165</v>
      </c>
      <c r="G2737" s="15" t="n">
        <v>0.21650635094611</v>
      </c>
      <c r="H2737" s="16" t="n">
        <v>-0.125</v>
      </c>
    </row>
    <row r="2738">
      <c r="A2738" t="s">
        <v>32</v>
      </c>
      <c r="B2738" t="s">
        <v>952</v>
      </c>
      <c r="C2738" t="s">
        <v>954</v>
      </c>
      <c r="D2738" t="s">
        <v>1462</v>
      </c>
      <c r="E2738" s="14" t="n">
        <v>0</v>
      </c>
      <c r="F2738" s="17" t="n">
        <v>159</v>
      </c>
      <c r="G2738" s="15" t="n">
        <v>0</v>
      </c>
      <c r="H2738" s="16" t="n">
        <v>0</v>
      </c>
    </row>
    <row r="2739">
      <c r="A2739" t="s">
        <v>32</v>
      </c>
      <c r="B2739" t="s">
        <v>955</v>
      </c>
      <c r="C2739" t="s">
        <v>956</v>
      </c>
      <c r="D2739" t="s">
        <v>1462</v>
      </c>
      <c r="E2739" s="14" t="n">
        <v>0.25</v>
      </c>
      <c r="F2739" s="17" t="n">
        <v>156</v>
      </c>
      <c r="G2739" s="15" t="n">
        <v>0.167282651589715</v>
      </c>
      <c r="H2739" s="16" t="n">
        <v>-0.185786206369349</v>
      </c>
    </row>
    <row r="2740">
      <c r="A2740" t="s">
        <v>32</v>
      </c>
      <c r="B2740" t="s">
        <v>955</v>
      </c>
      <c r="C2740" t="s">
        <v>957</v>
      </c>
      <c r="D2740" t="s">
        <v>1462</v>
      </c>
      <c r="E2740" s="14" t="n">
        <v>0</v>
      </c>
      <c r="F2740" s="17" t="n">
        <v>131</v>
      </c>
      <c r="G2740" s="15" t="n">
        <v>0</v>
      </c>
      <c r="H2740" s="16" t="n">
        <v>0</v>
      </c>
    </row>
    <row r="2741">
      <c r="A2741" t="s">
        <v>30</v>
      </c>
      <c r="B2741" t="s">
        <v>958</v>
      </c>
      <c r="C2741" t="s">
        <v>959</v>
      </c>
      <c r="D2741" t="s">
        <v>1462</v>
      </c>
      <c r="E2741" s="14" t="n">
        <v>0.5</v>
      </c>
      <c r="F2741" s="17" t="n">
        <v>40</v>
      </c>
      <c r="G2741" s="15" t="n">
        <v>0.0868240888334652</v>
      </c>
      <c r="H2741" s="16" t="n">
        <v>0.492403876506104</v>
      </c>
    </row>
    <row r="2742">
      <c r="A2742" t="s">
        <v>30</v>
      </c>
      <c r="B2742" t="s">
        <v>960</v>
      </c>
      <c r="C2742" t="s">
        <v>961</v>
      </c>
      <c r="D2742" t="s">
        <v>1462</v>
      </c>
      <c r="E2742" s="14" t="n">
        <v>0.25</v>
      </c>
      <c r="F2742" s="17" t="n">
        <v>130</v>
      </c>
      <c r="G2742" s="15" t="n">
        <v>-0.0434120444167326</v>
      </c>
      <c r="H2742" s="16" t="n">
        <v>-0.246201938253052</v>
      </c>
    </row>
    <row r="2743">
      <c r="A2743" t="s">
        <v>30</v>
      </c>
      <c r="B2743" t="s">
        <v>960</v>
      </c>
      <c r="C2743" t="s">
        <v>962</v>
      </c>
      <c r="D2743" t="s">
        <v>1462</v>
      </c>
      <c r="E2743" s="14" t="n">
        <v>0</v>
      </c>
      <c r="F2743" s="17" t="n">
        <v>12</v>
      </c>
      <c r="G2743" s="15" t="n">
        <v>0</v>
      </c>
      <c r="H2743" s="16" t="n">
        <v>0</v>
      </c>
    </row>
    <row r="2744">
      <c r="A2744" t="s">
        <v>31</v>
      </c>
      <c r="B2744" t="s">
        <v>963</v>
      </c>
      <c r="C2744" t="s">
        <v>964</v>
      </c>
      <c r="D2744" t="s">
        <v>1462</v>
      </c>
      <c r="E2744" s="14" t="n">
        <v>0</v>
      </c>
      <c r="F2744" s="17" t="n">
        <v>153</v>
      </c>
      <c r="G2744" s="15" t="n">
        <v>0</v>
      </c>
      <c r="H2744" s="16" t="n">
        <v>0</v>
      </c>
    </row>
    <row r="2745">
      <c r="A2745" t="s">
        <v>31</v>
      </c>
      <c r="B2745" t="s">
        <v>963</v>
      </c>
      <c r="C2745" t="s">
        <v>965</v>
      </c>
      <c r="D2745" t="s">
        <v>1462</v>
      </c>
      <c r="E2745" s="14" t="n">
        <v>0.25</v>
      </c>
      <c r="F2745" s="17" t="n">
        <v>47</v>
      </c>
      <c r="G2745" s="15" t="n">
        <v>-0.0174391184360313</v>
      </c>
      <c r="H2745" s="16" t="n">
        <v>0.249391012564956</v>
      </c>
    </row>
    <row r="2746">
      <c r="A2746" t="s">
        <v>31</v>
      </c>
      <c r="B2746" t="s">
        <v>966</v>
      </c>
      <c r="C2746" t="s">
        <v>967</v>
      </c>
      <c r="D2746" t="s">
        <v>1462</v>
      </c>
      <c r="E2746" s="14" t="n">
        <v>0.25</v>
      </c>
      <c r="F2746" s="17" t="n">
        <v>73</v>
      </c>
      <c r="G2746" s="15" t="n">
        <v>-0.20725939313876</v>
      </c>
      <c r="H2746" s="16" t="n">
        <v>0.139798225867687</v>
      </c>
    </row>
    <row r="2747">
      <c r="A2747" t="s">
        <v>31</v>
      </c>
      <c r="B2747" t="s">
        <v>966</v>
      </c>
      <c r="C2747" t="s">
        <v>968</v>
      </c>
      <c r="D2747" t="s">
        <v>1462</v>
      </c>
      <c r="E2747" s="14" t="n">
        <v>0.5</v>
      </c>
      <c r="F2747" s="17" t="n">
        <v>117</v>
      </c>
      <c r="G2747" s="15" t="n">
        <v>-0.293892626146237</v>
      </c>
      <c r="H2747" s="16" t="n">
        <v>-0.404508497187474</v>
      </c>
    </row>
    <row r="2748">
      <c r="A2748" t="s">
        <v>32</v>
      </c>
      <c r="B2748" t="s">
        <v>969</v>
      </c>
      <c r="C2748" t="s">
        <v>970</v>
      </c>
      <c r="D2748" t="s">
        <v>1462</v>
      </c>
      <c r="E2748" s="14" t="n">
        <v>0</v>
      </c>
      <c r="F2748" s="17" t="n">
        <v>102</v>
      </c>
      <c r="G2748" s="15" t="n">
        <v>0</v>
      </c>
      <c r="H2748" s="16" t="n">
        <v>0</v>
      </c>
    </row>
    <row r="2749">
      <c r="A2749" t="s">
        <v>30</v>
      </c>
      <c r="B2749" t="s">
        <v>971</v>
      </c>
      <c r="C2749" t="s">
        <v>972</v>
      </c>
      <c r="D2749" t="s">
        <v>1462</v>
      </c>
      <c r="E2749" s="14" t="n">
        <v>0</v>
      </c>
      <c r="F2749" s="17" t="n">
        <v>148</v>
      </c>
      <c r="G2749" s="15" t="n">
        <v>0</v>
      </c>
      <c r="H2749" s="16" t="n">
        <v>0</v>
      </c>
    </row>
    <row r="2750">
      <c r="A2750" t="s">
        <v>30</v>
      </c>
      <c r="B2750" t="s">
        <v>971</v>
      </c>
      <c r="C2750" t="s">
        <v>973</v>
      </c>
      <c r="D2750" t="s">
        <v>1462</v>
      </c>
      <c r="E2750" s="14" t="n">
        <v>0.25</v>
      </c>
      <c r="F2750" s="17" t="n">
        <v>135</v>
      </c>
      <c r="G2750" s="15" t="n">
        <v>0</v>
      </c>
      <c r="H2750" s="16" t="n">
        <v>-0.25</v>
      </c>
    </row>
    <row r="2751">
      <c r="A2751" t="s">
        <v>30</v>
      </c>
      <c r="B2751" t="s">
        <v>974</v>
      </c>
      <c r="C2751" t="s">
        <v>975</v>
      </c>
      <c r="D2751" t="s">
        <v>1462</v>
      </c>
      <c r="E2751" s="14" t="n">
        <v>0.5</v>
      </c>
      <c r="F2751" s="17" t="n">
        <v>17</v>
      </c>
      <c r="G2751" s="15" t="n">
        <v>0.414518786277521</v>
      </c>
      <c r="H2751" s="16" t="n">
        <v>0.279596451735373</v>
      </c>
    </row>
    <row r="2752">
      <c r="A2752" t="s">
        <v>31</v>
      </c>
      <c r="B2752" t="s">
        <v>976</v>
      </c>
      <c r="C2752" t="s">
        <v>977</v>
      </c>
      <c r="D2752" t="s">
        <v>1462</v>
      </c>
      <c r="E2752" s="14" t="n">
        <v>0.5</v>
      </c>
      <c r="F2752" s="17" t="n">
        <v>96</v>
      </c>
      <c r="G2752" s="15" t="n">
        <v>-0.489073800366903</v>
      </c>
      <c r="H2752" s="16" t="n">
        <v>-0.10395584540888</v>
      </c>
    </row>
    <row r="2753">
      <c r="A2753" t="s">
        <v>31</v>
      </c>
      <c r="B2753" t="s">
        <v>976</v>
      </c>
      <c r="C2753" t="s">
        <v>978</v>
      </c>
      <c r="D2753" t="s">
        <v>1462</v>
      </c>
      <c r="E2753" s="14" t="n">
        <v>0</v>
      </c>
      <c r="F2753" s="17" t="n">
        <v>156</v>
      </c>
      <c r="G2753" s="15" t="n">
        <v>0</v>
      </c>
      <c r="H2753" s="16" t="n">
        <v>0</v>
      </c>
    </row>
    <row r="2754">
      <c r="A2754" t="s">
        <v>32</v>
      </c>
      <c r="B2754" t="s">
        <v>979</v>
      </c>
      <c r="C2754" t="s">
        <v>980</v>
      </c>
      <c r="D2754" t="s">
        <v>1462</v>
      </c>
      <c r="E2754" s="14" t="n">
        <v>0.5</v>
      </c>
      <c r="F2754" s="17" t="n">
        <v>166</v>
      </c>
      <c r="G2754" s="15" t="n">
        <v>0.441473796429463</v>
      </c>
      <c r="H2754" s="16" t="n">
        <v>-0.234735781392945</v>
      </c>
    </row>
    <row r="2755">
      <c r="A2755" t="s">
        <v>32</v>
      </c>
      <c r="B2755" t="s">
        <v>979</v>
      </c>
      <c r="C2755" t="s">
        <v>981</v>
      </c>
      <c r="D2755" t="s">
        <v>1462</v>
      </c>
      <c r="E2755" s="14" t="n">
        <v>0.25</v>
      </c>
      <c r="F2755" s="17" t="n">
        <v>9</v>
      </c>
      <c r="G2755" s="15" t="n">
        <v>0.237764129073788</v>
      </c>
      <c r="H2755" s="16" t="n">
        <v>0.0772542485937368</v>
      </c>
    </row>
    <row r="2756">
      <c r="A2756" t="s">
        <v>32</v>
      </c>
      <c r="B2756" t="s">
        <v>982</v>
      </c>
      <c r="C2756" t="s">
        <v>983</v>
      </c>
      <c r="D2756" t="s">
        <v>1462</v>
      </c>
      <c r="E2756" s="14" t="n">
        <v>0.25</v>
      </c>
      <c r="F2756" s="17" t="n">
        <v>80</v>
      </c>
      <c r="G2756" s="15" t="n">
        <v>-0.234923155196477</v>
      </c>
      <c r="H2756" s="16" t="n">
        <v>0.0855050358314172</v>
      </c>
    </row>
    <row r="2757">
      <c r="A2757" t="s">
        <v>32</v>
      </c>
      <c r="B2757" t="s">
        <v>982</v>
      </c>
      <c r="C2757" t="s">
        <v>984</v>
      </c>
      <c r="D2757" t="s">
        <v>1462</v>
      </c>
      <c r="E2757" s="14" t="n">
        <v>0.25</v>
      </c>
      <c r="F2757" s="17" t="n">
        <v>76</v>
      </c>
      <c r="G2757" s="15" t="n">
        <v>-0.220736898214732</v>
      </c>
      <c r="H2757" s="16" t="n">
        <v>0.117367890696473</v>
      </c>
    </row>
    <row r="2758">
      <c r="A2758" t="s">
        <v>30</v>
      </c>
      <c r="B2758" t="s">
        <v>985</v>
      </c>
      <c r="C2758" t="s">
        <v>986</v>
      </c>
      <c r="D2758" t="s">
        <v>1462</v>
      </c>
      <c r="E2758" s="14" t="n">
        <v>0.25</v>
      </c>
      <c r="F2758" s="17" t="n">
        <v>8</v>
      </c>
      <c r="G2758" s="15" t="n">
        <v>0.24031542398458</v>
      </c>
      <c r="H2758" s="16" t="n">
        <v>0.0689093389542498</v>
      </c>
    </row>
    <row r="2759">
      <c r="A2759" t="s">
        <v>30</v>
      </c>
      <c r="B2759" t="s">
        <v>985</v>
      </c>
      <c r="C2759" t="s">
        <v>987</v>
      </c>
      <c r="D2759" t="s">
        <v>1462</v>
      </c>
      <c r="E2759" s="14" t="n">
        <v>0.5</v>
      </c>
      <c r="F2759" s="17" t="n">
        <v>7</v>
      </c>
      <c r="G2759" s="15" t="n">
        <v>0.485147863137998</v>
      </c>
      <c r="H2759" s="16" t="n">
        <v>0.120960947799834</v>
      </c>
    </row>
    <row r="2760">
      <c r="A2760" t="s">
        <v>30</v>
      </c>
      <c r="B2760" t="s">
        <v>988</v>
      </c>
      <c r="C2760" t="s">
        <v>989</v>
      </c>
      <c r="D2760" t="s">
        <v>1462</v>
      </c>
      <c r="E2760" s="14" t="n">
        <v>0.5</v>
      </c>
      <c r="F2760" s="17" t="n">
        <v>153</v>
      </c>
      <c r="G2760" s="15" t="n">
        <v>0.293892626146236</v>
      </c>
      <c r="H2760" s="16" t="n">
        <v>-0.404508497187474</v>
      </c>
    </row>
    <row r="2761">
      <c r="A2761" t="s">
        <v>32</v>
      </c>
      <c r="B2761" t="s">
        <v>990</v>
      </c>
      <c r="C2761" t="s">
        <v>991</v>
      </c>
      <c r="D2761" t="s">
        <v>1462</v>
      </c>
      <c r="E2761" s="14" t="n">
        <v>0.25</v>
      </c>
      <c r="F2761" s="17" t="n">
        <v>59</v>
      </c>
      <c r="G2761" s="15" t="n">
        <v>-0.117367890696473</v>
      </c>
      <c r="H2761" s="16" t="n">
        <v>0.220736898214732</v>
      </c>
    </row>
    <row r="2762">
      <c r="A2762" t="s">
        <v>32</v>
      </c>
      <c r="B2762" t="s">
        <v>992</v>
      </c>
      <c r="C2762" t="s">
        <v>993</v>
      </c>
      <c r="D2762" t="s">
        <v>1462</v>
      </c>
      <c r="E2762" s="14" t="n">
        <v>0.25</v>
      </c>
      <c r="F2762" s="17" t="n">
        <v>157</v>
      </c>
      <c r="G2762" s="15" t="n">
        <v>0.173664592614749</v>
      </c>
      <c r="H2762" s="16" t="n">
        <v>-0.179834950084663</v>
      </c>
    </row>
    <row r="2763">
      <c r="A2763" t="s">
        <v>30</v>
      </c>
      <c r="B2763" t="s">
        <v>994</v>
      </c>
      <c r="C2763" t="s">
        <v>995</v>
      </c>
      <c r="D2763" t="s">
        <v>1462</v>
      </c>
      <c r="E2763" s="14" t="n">
        <v>0.25</v>
      </c>
      <c r="F2763" s="17" t="n">
        <v>1</v>
      </c>
      <c r="G2763" s="15" t="n">
        <v>0.249847706754774</v>
      </c>
      <c r="H2763" s="16" t="n">
        <v>0.00872487417562524</v>
      </c>
    </row>
    <row r="2764">
      <c r="A2764" t="s">
        <v>30</v>
      </c>
      <c r="B2764" t="s">
        <v>994</v>
      </c>
      <c r="C2764" t="s">
        <v>996</v>
      </c>
      <c r="D2764" t="s">
        <v>1462</v>
      </c>
      <c r="E2764" s="14" t="n">
        <v>0.25</v>
      </c>
      <c r="F2764" s="17" t="n">
        <v>173</v>
      </c>
      <c r="G2764" s="15" t="n">
        <v>0.242573931568999</v>
      </c>
      <c r="H2764" s="16" t="n">
        <v>-0.0604804738999169</v>
      </c>
    </row>
    <row r="2765">
      <c r="A2765" t="s">
        <v>31</v>
      </c>
      <c r="B2765" t="s">
        <v>997</v>
      </c>
      <c r="C2765" t="s">
        <v>998</v>
      </c>
      <c r="D2765" t="s">
        <v>1462</v>
      </c>
      <c r="E2765" s="14" t="n">
        <v>0.25</v>
      </c>
      <c r="F2765" s="17" t="n">
        <v>112</v>
      </c>
      <c r="G2765" s="15" t="n">
        <v>-0.179834950084663</v>
      </c>
      <c r="H2765" s="16" t="n">
        <v>-0.173664592614749</v>
      </c>
    </row>
    <row r="2766">
      <c r="A2766" t="s">
        <v>31</v>
      </c>
      <c r="B2766" t="s">
        <v>997</v>
      </c>
      <c r="C2766" t="s">
        <v>999</v>
      </c>
      <c r="D2766" t="s">
        <v>1462</v>
      </c>
      <c r="E2766" s="14" t="n">
        <v>0.5</v>
      </c>
      <c r="F2766" s="17" t="n">
        <v>126</v>
      </c>
      <c r="G2766" s="15" t="n">
        <v>-0.154508497187474</v>
      </c>
      <c r="H2766" s="16" t="n">
        <v>-0.475528258147577</v>
      </c>
    </row>
    <row r="2767">
      <c r="A2767" t="s">
        <v>31</v>
      </c>
      <c r="B2767" t="s">
        <v>1000</v>
      </c>
      <c r="C2767" t="s">
        <v>1001</v>
      </c>
      <c r="D2767" t="s">
        <v>1462</v>
      </c>
      <c r="E2767" s="14" t="n">
        <v>0.25</v>
      </c>
      <c r="F2767" s="17" t="n">
        <v>22</v>
      </c>
      <c r="G2767" s="15" t="n">
        <v>0.179834950084663</v>
      </c>
      <c r="H2767" s="16" t="n">
        <v>0.173664592614749</v>
      </c>
    </row>
    <row r="2768">
      <c r="A2768" t="s">
        <v>31</v>
      </c>
      <c r="B2768" t="s">
        <v>1002</v>
      </c>
      <c r="C2768" t="s">
        <v>1003</v>
      </c>
      <c r="D2768" t="s">
        <v>1462</v>
      </c>
      <c r="E2768" s="14" t="n">
        <v>0.25</v>
      </c>
      <c r="F2768" s="17" t="n">
        <v>15</v>
      </c>
      <c r="G2768" s="15" t="n">
        <v>0.21650635094611</v>
      </c>
      <c r="H2768" s="16" t="n">
        <v>0.125</v>
      </c>
    </row>
    <row r="2769">
      <c r="A2769" t="s">
        <v>31</v>
      </c>
      <c r="B2769" t="s">
        <v>1004</v>
      </c>
      <c r="C2769" t="s">
        <v>1005</v>
      </c>
      <c r="D2769" t="s">
        <v>1462</v>
      </c>
      <c r="E2769" s="14" t="n">
        <v>0.5</v>
      </c>
      <c r="F2769" s="17" t="n">
        <v>83</v>
      </c>
      <c r="G2769" s="15" t="n">
        <v>-0.485147863137998</v>
      </c>
      <c r="H2769" s="16" t="n">
        <v>0.120960947799834</v>
      </c>
    </row>
    <row r="2770">
      <c r="A2770" t="s">
        <v>31</v>
      </c>
      <c r="B2770" t="s">
        <v>1004</v>
      </c>
      <c r="C2770" t="s">
        <v>1006</v>
      </c>
      <c r="D2770" t="s">
        <v>1462</v>
      </c>
      <c r="E2770" s="14" t="n">
        <v>0.25</v>
      </c>
      <c r="F2770" s="17" t="n">
        <v>102</v>
      </c>
      <c r="G2770" s="15" t="n">
        <v>-0.22838636441065</v>
      </c>
      <c r="H2770" s="16" t="n">
        <v>-0.10168416076895</v>
      </c>
    </row>
    <row r="2771">
      <c r="A2771" t="s">
        <v>31</v>
      </c>
      <c r="B2771" t="s">
        <v>1007</v>
      </c>
      <c r="C2771" t="s">
        <v>1008</v>
      </c>
      <c r="D2771" t="s">
        <v>1462</v>
      </c>
      <c r="E2771" s="14" t="n">
        <v>0.25</v>
      </c>
      <c r="F2771" s="17" t="n">
        <v>129</v>
      </c>
      <c r="G2771" s="15" t="n">
        <v>-0.0519779227044399</v>
      </c>
      <c r="H2771" s="16" t="n">
        <v>-0.244536900183451</v>
      </c>
    </row>
    <row r="2772">
      <c r="A2772" t="s">
        <v>31</v>
      </c>
      <c r="B2772" t="s">
        <v>1007</v>
      </c>
      <c r="C2772" t="s">
        <v>1009</v>
      </c>
      <c r="D2772" t="s">
        <v>1462</v>
      </c>
      <c r="E2772" s="14" t="n">
        <v>0.25</v>
      </c>
      <c r="F2772" s="17" t="n">
        <v>115</v>
      </c>
      <c r="G2772" s="15" t="n">
        <v>-0.160696902421635</v>
      </c>
      <c r="H2772" s="16" t="n">
        <v>-0.191511110779745</v>
      </c>
    </row>
    <row r="2773">
      <c r="A2773" t="s">
        <v>30</v>
      </c>
      <c r="B2773" t="s">
        <v>1010</v>
      </c>
      <c r="C2773" t="s">
        <v>1011</v>
      </c>
      <c r="D2773" t="s">
        <v>1462</v>
      </c>
      <c r="E2773" s="14" t="n">
        <v>0.25</v>
      </c>
      <c r="F2773" s="17" t="n">
        <v>21</v>
      </c>
      <c r="G2773" s="15" t="n">
        <v>0.185786206369349</v>
      </c>
      <c r="H2773" s="16" t="n">
        <v>0.167282651589715</v>
      </c>
    </row>
    <row r="2774">
      <c r="A2774" t="s">
        <v>30</v>
      </c>
      <c r="B2774" t="s">
        <v>1010</v>
      </c>
      <c r="C2774" t="s">
        <v>1012</v>
      </c>
      <c r="D2774" t="s">
        <v>1462</v>
      </c>
      <c r="E2774" s="14" t="n">
        <v>0.5</v>
      </c>
      <c r="F2774" s="17" t="n">
        <v>158</v>
      </c>
      <c r="G2774" s="15" t="n">
        <v>0.359669900169325</v>
      </c>
      <c r="H2774" s="16" t="n">
        <v>-0.347329185229499</v>
      </c>
    </row>
    <row r="2775">
      <c r="A2775" t="s">
        <v>31</v>
      </c>
      <c r="B2775" t="s">
        <v>1013</v>
      </c>
      <c r="C2775" t="s">
        <v>1014</v>
      </c>
      <c r="D2775" t="s">
        <v>1462</v>
      </c>
      <c r="E2775" s="14" t="n">
        <v>0</v>
      </c>
      <c r="F2775" s="17" t="n">
        <v>60</v>
      </c>
      <c r="G2775" s="15" t="n">
        <v>0</v>
      </c>
      <c r="H2775" s="16" t="n">
        <v>0</v>
      </c>
    </row>
    <row r="2776">
      <c r="A2776" t="s">
        <v>31</v>
      </c>
      <c r="B2776" t="s">
        <v>1013</v>
      </c>
      <c r="C2776" t="s">
        <v>1015</v>
      </c>
      <c r="D2776" t="s">
        <v>1462</v>
      </c>
      <c r="E2776" s="14" t="n">
        <v>0</v>
      </c>
      <c r="F2776" s="17" t="n">
        <v>50</v>
      </c>
      <c r="G2776" s="15" t="n">
        <v>0</v>
      </c>
      <c r="H2776" s="16" t="n">
        <v>0</v>
      </c>
    </row>
    <row r="2777">
      <c r="A2777" t="s">
        <v>31</v>
      </c>
      <c r="B2777" t="s">
        <v>1016</v>
      </c>
      <c r="C2777" t="s">
        <v>1017</v>
      </c>
      <c r="D2777" t="s">
        <v>1462</v>
      </c>
      <c r="E2777" s="14" t="n">
        <v>0.25</v>
      </c>
      <c r="F2777" s="17" t="n">
        <v>58</v>
      </c>
      <c r="G2777" s="15" t="n">
        <v>-0.109592786697269</v>
      </c>
      <c r="H2777" s="16" t="n">
        <v>0.224698511574792</v>
      </c>
    </row>
    <row r="2778">
      <c r="A2778" t="s">
        <v>31</v>
      </c>
      <c r="B2778" t="s">
        <v>1016</v>
      </c>
      <c r="C2778" t="s">
        <v>1018</v>
      </c>
      <c r="D2778" t="s">
        <v>1462</v>
      </c>
      <c r="E2778" s="14" t="n">
        <v>0.25</v>
      </c>
      <c r="F2778" s="17" t="n">
        <v>166</v>
      </c>
      <c r="G2778" s="15" t="n">
        <v>0.220736898214732</v>
      </c>
      <c r="H2778" s="16" t="n">
        <v>-0.117367890696473</v>
      </c>
    </row>
    <row r="2779">
      <c r="A2779" t="s">
        <v>31</v>
      </c>
      <c r="B2779" t="s">
        <v>1019</v>
      </c>
      <c r="C2779" t="s">
        <v>1020</v>
      </c>
      <c r="D2779" t="s">
        <v>1462</v>
      </c>
      <c r="E2779" s="14" t="n">
        <v>0.25</v>
      </c>
      <c r="F2779" s="17" t="n">
        <v>147</v>
      </c>
      <c r="G2779" s="15" t="n">
        <v>0.10168416076895</v>
      </c>
      <c r="H2779" s="16" t="n">
        <v>-0.22838636441065</v>
      </c>
    </row>
    <row r="2780">
      <c r="A2780" t="s">
        <v>31</v>
      </c>
      <c r="B2780" t="s">
        <v>1021</v>
      </c>
      <c r="C2780" t="s">
        <v>1022</v>
      </c>
      <c r="D2780" t="s">
        <v>1462</v>
      </c>
      <c r="E2780" s="14" t="n">
        <v>0.25</v>
      </c>
      <c r="F2780" s="17" t="n">
        <v>99</v>
      </c>
      <c r="G2780" s="15" t="n">
        <v>-0.237764129073788</v>
      </c>
      <c r="H2780" s="16" t="n">
        <v>-0.077254248593737</v>
      </c>
    </row>
    <row r="2781">
      <c r="A2781" t="s">
        <v>31</v>
      </c>
      <c r="B2781" t="s">
        <v>1021</v>
      </c>
      <c r="C2781" t="s">
        <v>1023</v>
      </c>
      <c r="D2781" t="s">
        <v>1462</v>
      </c>
      <c r="E2781" s="14" t="n">
        <v>0.5</v>
      </c>
      <c r="F2781" s="17" t="n">
        <v>36</v>
      </c>
      <c r="G2781" s="15" t="n">
        <v>0.154508497187474</v>
      </c>
      <c r="H2781" s="16" t="n">
        <v>0.475528258147577</v>
      </c>
    </row>
    <row r="2782">
      <c r="A2782" t="s">
        <v>30</v>
      </c>
      <c r="B2782" t="s">
        <v>1024</v>
      </c>
      <c r="C2782" t="s">
        <v>1025</v>
      </c>
      <c r="D2782" t="s">
        <v>1462</v>
      </c>
      <c r="E2782" s="14" t="n">
        <v>0.5</v>
      </c>
      <c r="F2782" s="17" t="n">
        <v>29</v>
      </c>
      <c r="G2782" s="15" t="n">
        <v>0.264959632116602</v>
      </c>
      <c r="H2782" s="16" t="n">
        <v>0.424024048078213</v>
      </c>
    </row>
    <row r="2783">
      <c r="A2783" t="s">
        <v>30</v>
      </c>
      <c r="B2783" t="s">
        <v>1024</v>
      </c>
      <c r="C2783" t="s">
        <v>1026</v>
      </c>
      <c r="D2783" t="s">
        <v>1462</v>
      </c>
      <c r="E2783" s="14" t="n">
        <v>0.5</v>
      </c>
      <c r="F2783" s="17" t="n">
        <v>162</v>
      </c>
      <c r="G2783" s="15" t="n">
        <v>0.404508497187474</v>
      </c>
      <c r="H2783" s="16" t="n">
        <v>-0.293892626146237</v>
      </c>
    </row>
    <row r="2784">
      <c r="A2784" t="s">
        <v>31</v>
      </c>
      <c r="B2784" t="s">
        <v>1027</v>
      </c>
      <c r="C2784" t="s">
        <v>1028</v>
      </c>
      <c r="D2784" t="s">
        <v>1462</v>
      </c>
      <c r="E2784" s="14" t="n">
        <v>0.25</v>
      </c>
      <c r="F2784" s="17" t="n">
        <v>155</v>
      </c>
      <c r="G2784" s="15" t="n">
        <v>0.160696902421635</v>
      </c>
      <c r="H2784" s="16" t="n">
        <v>-0.191511110779744</v>
      </c>
    </row>
    <row r="2785">
      <c r="A2785" t="s">
        <v>30</v>
      </c>
      <c r="B2785" t="s">
        <v>1029</v>
      </c>
      <c r="C2785" t="s">
        <v>1030</v>
      </c>
      <c r="D2785" t="s">
        <v>1462</v>
      </c>
      <c r="E2785" s="14" t="n">
        <v>0</v>
      </c>
      <c r="F2785" s="17" t="n">
        <v>49</v>
      </c>
      <c r="G2785" s="15" t="n">
        <v>0</v>
      </c>
      <c r="H2785" s="16" t="n">
        <v>0</v>
      </c>
    </row>
    <row r="2786">
      <c r="A2786" t="s">
        <v>30</v>
      </c>
      <c r="B2786" t="s">
        <v>1031</v>
      </c>
      <c r="C2786" t="s">
        <v>1032</v>
      </c>
      <c r="D2786" t="s">
        <v>1462</v>
      </c>
      <c r="E2786" s="14" t="n">
        <v>0.25</v>
      </c>
      <c r="F2786" s="17" t="n">
        <v>80</v>
      </c>
      <c r="G2786" s="15" t="n">
        <v>-0.234923155196477</v>
      </c>
      <c r="H2786" s="16" t="n">
        <v>0.0855050358314172</v>
      </c>
    </row>
    <row r="2787">
      <c r="A2787" t="s">
        <v>30</v>
      </c>
      <c r="B2787" t="s">
        <v>1033</v>
      </c>
      <c r="C2787" t="s">
        <v>1034</v>
      </c>
      <c r="D2787" t="s">
        <v>1462</v>
      </c>
      <c r="E2787" s="14" t="n">
        <v>0.25</v>
      </c>
      <c r="F2787" s="17" t="n">
        <v>170</v>
      </c>
      <c r="G2787" s="15" t="n">
        <v>0.234923155196477</v>
      </c>
      <c r="H2787" s="16" t="n">
        <v>-0.0855050358314172</v>
      </c>
    </row>
    <row r="2788">
      <c r="A2788" t="s">
        <v>30</v>
      </c>
      <c r="B2788" t="s">
        <v>1033</v>
      </c>
      <c r="C2788" t="s">
        <v>1035</v>
      </c>
      <c r="D2788" t="s">
        <v>1462</v>
      </c>
      <c r="E2788" s="14" t="n">
        <v>0.25</v>
      </c>
      <c r="F2788" s="17" t="n">
        <v>19</v>
      </c>
      <c r="G2788" s="15" t="n">
        <v>0.19700268840168</v>
      </c>
      <c r="H2788" s="16" t="n">
        <v>0.153915368831415</v>
      </c>
    </row>
    <row r="2789">
      <c r="A2789" t="s">
        <v>31</v>
      </c>
      <c r="B2789" t="s">
        <v>1036</v>
      </c>
      <c r="C2789" t="s">
        <v>1037</v>
      </c>
      <c r="D2789" t="s">
        <v>1462</v>
      </c>
      <c r="E2789" s="14" t="n">
        <v>0.25</v>
      </c>
      <c r="F2789" s="17" t="n">
        <v>135</v>
      </c>
      <c r="G2789" s="15" t="n">
        <v>0</v>
      </c>
      <c r="H2789" s="16" t="n">
        <v>-0.25</v>
      </c>
    </row>
    <row r="2790">
      <c r="A2790" t="s">
        <v>30</v>
      </c>
      <c r="B2790" t="s">
        <v>1038</v>
      </c>
      <c r="C2790" t="s">
        <v>1039</v>
      </c>
      <c r="D2790" t="s">
        <v>1462</v>
      </c>
      <c r="E2790" s="14" t="n">
        <v>0</v>
      </c>
      <c r="F2790" s="17" t="n">
        <v>110</v>
      </c>
      <c r="G2790" s="15" t="n">
        <v>0</v>
      </c>
      <c r="H2790" s="16" t="n">
        <v>0</v>
      </c>
    </row>
    <row r="2791">
      <c r="A2791" t="s">
        <v>30</v>
      </c>
      <c r="B2791" t="s">
        <v>1040</v>
      </c>
      <c r="C2791" t="s">
        <v>1041</v>
      </c>
      <c r="D2791" t="s">
        <v>1462</v>
      </c>
      <c r="E2791" s="14" t="n">
        <v>0</v>
      </c>
      <c r="F2791" s="17" t="n">
        <v>172</v>
      </c>
      <c r="G2791" s="15" t="n">
        <v>0</v>
      </c>
      <c r="H2791" s="16" t="n">
        <v>0</v>
      </c>
    </row>
    <row r="2792">
      <c r="A2792" t="s">
        <v>32</v>
      </c>
      <c r="B2792" t="s">
        <v>1042</v>
      </c>
      <c r="C2792" t="s">
        <v>1043</v>
      </c>
      <c r="D2792" t="s">
        <v>1462</v>
      </c>
      <c r="E2792" s="14" t="n">
        <v>0</v>
      </c>
      <c r="F2792" s="17" t="n">
        <v>57</v>
      </c>
      <c r="G2792" s="15" t="n">
        <v>0</v>
      </c>
      <c r="H2792" s="16" t="n">
        <v>0</v>
      </c>
    </row>
    <row r="2793">
      <c r="A2793" t="s">
        <v>32</v>
      </c>
      <c r="B2793" t="s">
        <v>1042</v>
      </c>
      <c r="C2793" t="s">
        <v>1044</v>
      </c>
      <c r="D2793" t="s">
        <v>1462</v>
      </c>
      <c r="E2793" s="14" t="n">
        <v>0.25</v>
      </c>
      <c r="F2793" s="17" t="n">
        <v>49</v>
      </c>
      <c r="G2793" s="15" t="n">
        <v>-0.0347932752400163</v>
      </c>
      <c r="H2793" s="16" t="n">
        <v>0.247567017185393</v>
      </c>
    </row>
    <row r="2794">
      <c r="A2794" t="s">
        <v>31</v>
      </c>
      <c r="B2794" t="s">
        <v>1045</v>
      </c>
      <c r="C2794" t="s">
        <v>1046</v>
      </c>
      <c r="D2794" t="s">
        <v>1462</v>
      </c>
      <c r="E2794" s="14" t="n">
        <v>0.25</v>
      </c>
      <c r="F2794" s="17" t="n">
        <v>144</v>
      </c>
      <c r="G2794" s="15" t="n">
        <v>0.0772542485937368</v>
      </c>
      <c r="H2794" s="16" t="n">
        <v>-0.237764129073788</v>
      </c>
    </row>
    <row r="2795">
      <c r="A2795" t="s">
        <v>32</v>
      </c>
      <c r="B2795" t="s">
        <v>1047</v>
      </c>
      <c r="C2795" t="s">
        <v>1048</v>
      </c>
      <c r="D2795" t="s">
        <v>1462</v>
      </c>
      <c r="E2795" s="14" t="n">
        <v>0.25</v>
      </c>
      <c r="F2795" s="17" t="n">
        <v>70</v>
      </c>
      <c r="G2795" s="15" t="n">
        <v>-0.191511110779744</v>
      </c>
      <c r="H2795" s="16" t="n">
        <v>0.160696902421635</v>
      </c>
    </row>
    <row r="2796">
      <c r="A2796" t="s">
        <v>32</v>
      </c>
      <c r="B2796" t="s">
        <v>1047</v>
      </c>
      <c r="C2796" t="s">
        <v>1049</v>
      </c>
      <c r="D2796" t="s">
        <v>1462</v>
      </c>
      <c r="E2796" s="14" t="n">
        <v>0.25</v>
      </c>
      <c r="F2796" s="17" t="n">
        <v>147</v>
      </c>
      <c r="G2796" s="15" t="n">
        <v>0.10168416076895</v>
      </c>
      <c r="H2796" s="16" t="n">
        <v>-0.22838636441065</v>
      </c>
    </row>
    <row r="2797">
      <c r="A2797" t="s">
        <v>30</v>
      </c>
      <c r="B2797" t="s">
        <v>1050</v>
      </c>
      <c r="C2797" t="s">
        <v>1051</v>
      </c>
      <c r="D2797" t="s">
        <v>1462</v>
      </c>
      <c r="E2797" s="14" t="n">
        <v>0.25</v>
      </c>
      <c r="F2797" s="17" t="n">
        <v>155</v>
      </c>
      <c r="G2797" s="15" t="n">
        <v>0.160696902421635</v>
      </c>
      <c r="H2797" s="16" t="n">
        <v>-0.191511110779744</v>
      </c>
    </row>
    <row r="2798">
      <c r="A2798" t="s">
        <v>30</v>
      </c>
      <c r="B2798" t="s">
        <v>1050</v>
      </c>
      <c r="C2798" t="s">
        <v>1052</v>
      </c>
      <c r="D2798" t="s">
        <v>1462</v>
      </c>
      <c r="E2798" s="14" t="n">
        <v>0.5</v>
      </c>
      <c r="F2798" s="17" t="n">
        <v>20</v>
      </c>
      <c r="G2798" s="15" t="n">
        <v>0.383022221559489</v>
      </c>
      <c r="H2798" s="16" t="n">
        <v>0.32139380484327</v>
      </c>
    </row>
    <row r="2799">
      <c r="A2799" t="s">
        <v>30</v>
      </c>
      <c r="B2799" t="s">
        <v>1053</v>
      </c>
      <c r="C2799" t="s">
        <v>1054</v>
      </c>
      <c r="D2799" t="s">
        <v>1462</v>
      </c>
      <c r="E2799" s="14" t="n">
        <v>0.25</v>
      </c>
      <c r="F2799" s="17" t="n">
        <v>149</v>
      </c>
      <c r="G2799" s="15" t="n">
        <v>0.117367890696473</v>
      </c>
      <c r="H2799" s="16" t="n">
        <v>-0.220736898214732</v>
      </c>
    </row>
    <row r="2800">
      <c r="A2800" t="s">
        <v>30</v>
      </c>
      <c r="B2800" t="s">
        <v>1053</v>
      </c>
      <c r="C2800" t="s">
        <v>1055</v>
      </c>
      <c r="D2800" t="s">
        <v>1462</v>
      </c>
      <c r="E2800" s="14" t="n">
        <v>0.25</v>
      </c>
      <c r="F2800" s="17" t="n">
        <v>28</v>
      </c>
      <c r="G2800" s="15" t="n">
        <v>0.139798225867687</v>
      </c>
      <c r="H2800" s="16" t="n">
        <v>0.20725939313876</v>
      </c>
    </row>
    <row r="2801">
      <c r="A2801" t="s">
        <v>32</v>
      </c>
      <c r="B2801" t="s">
        <v>1056</v>
      </c>
      <c r="C2801" t="s">
        <v>1057</v>
      </c>
      <c r="D2801" t="s">
        <v>1462</v>
      </c>
      <c r="E2801" s="14" t="n">
        <v>0</v>
      </c>
      <c r="F2801" s="17" t="n">
        <v>97</v>
      </c>
      <c r="G2801" s="15" t="n">
        <v>0</v>
      </c>
      <c r="H2801" s="16" t="n">
        <v>0</v>
      </c>
    </row>
    <row r="2802">
      <c r="A2802" t="s">
        <v>30</v>
      </c>
      <c r="B2802" t="s">
        <v>1058</v>
      </c>
      <c r="C2802" t="s">
        <v>1059</v>
      </c>
      <c r="D2802" t="s">
        <v>1462</v>
      </c>
      <c r="E2802" s="14" t="n">
        <v>0</v>
      </c>
      <c r="F2802" s="17" t="n">
        <v>110</v>
      </c>
      <c r="G2802" s="15" t="n">
        <v>0</v>
      </c>
      <c r="H2802" s="16" t="n">
        <v>0</v>
      </c>
    </row>
    <row r="2803">
      <c r="A2803" t="s">
        <v>30</v>
      </c>
      <c r="B2803" t="s">
        <v>1058</v>
      </c>
      <c r="C2803" t="s">
        <v>1060</v>
      </c>
      <c r="D2803" t="s">
        <v>1462</v>
      </c>
      <c r="E2803" s="14" t="n">
        <v>0</v>
      </c>
      <c r="F2803" s="17" t="n">
        <v>119</v>
      </c>
      <c r="G2803" s="15" t="n">
        <v>0</v>
      </c>
      <c r="H2803" s="16" t="n">
        <v>0</v>
      </c>
    </row>
    <row r="2804">
      <c r="A2804" t="s">
        <v>31</v>
      </c>
      <c r="B2804" t="s">
        <v>1061</v>
      </c>
      <c r="C2804" t="s">
        <v>1062</v>
      </c>
      <c r="D2804" t="s">
        <v>1462</v>
      </c>
      <c r="E2804" s="14" t="n">
        <v>0.25</v>
      </c>
      <c r="F2804" s="17" t="n">
        <v>170</v>
      </c>
      <c r="G2804" s="15" t="n">
        <v>0.234923155196477</v>
      </c>
      <c r="H2804" s="16" t="n">
        <v>-0.0855050358314172</v>
      </c>
    </row>
    <row r="2805">
      <c r="A2805" t="s">
        <v>31</v>
      </c>
      <c r="B2805" t="s">
        <v>1061</v>
      </c>
      <c r="C2805" t="s">
        <v>1063</v>
      </c>
      <c r="D2805" t="s">
        <v>1462</v>
      </c>
      <c r="E2805" s="14" t="n">
        <v>0.25</v>
      </c>
      <c r="F2805" s="17" t="n">
        <v>177</v>
      </c>
      <c r="G2805" s="15" t="n">
        <v>0.248630473842068</v>
      </c>
      <c r="H2805" s="16" t="n">
        <v>-0.0261321158169134</v>
      </c>
    </row>
    <row r="2806">
      <c r="A2806" t="s">
        <v>32</v>
      </c>
      <c r="B2806" t="s">
        <v>1064</v>
      </c>
      <c r="C2806" t="s">
        <v>1065</v>
      </c>
      <c r="D2806" t="s">
        <v>1462</v>
      </c>
      <c r="E2806" s="14" t="n">
        <v>0</v>
      </c>
      <c r="F2806" s="17" t="n">
        <v>126</v>
      </c>
      <c r="G2806" s="15" t="n">
        <v>0</v>
      </c>
      <c r="H2806" s="16" t="n">
        <v>0</v>
      </c>
    </row>
    <row r="2807">
      <c r="A2807" t="s">
        <v>32</v>
      </c>
      <c r="B2807" t="s">
        <v>1064</v>
      </c>
      <c r="C2807" t="s">
        <v>1066</v>
      </c>
      <c r="D2807" t="s">
        <v>1462</v>
      </c>
      <c r="E2807" s="14" t="n">
        <v>0.75</v>
      </c>
      <c r="F2807" s="17" t="n">
        <v>142</v>
      </c>
      <c r="G2807" s="15" t="n">
        <v>0.181441421699751</v>
      </c>
      <c r="H2807" s="16" t="n">
        <v>-0.727721794706997</v>
      </c>
    </row>
    <row r="2808">
      <c r="A2808" t="s">
        <v>32</v>
      </c>
      <c r="B2808" t="s">
        <v>1067</v>
      </c>
      <c r="C2808" t="s">
        <v>1068</v>
      </c>
      <c r="D2808" t="s">
        <v>1462</v>
      </c>
      <c r="E2808" s="14" t="n">
        <v>0.25</v>
      </c>
      <c r="F2808" s="17" t="n">
        <v>129</v>
      </c>
      <c r="G2808" s="15" t="n">
        <v>-0.0519779227044399</v>
      </c>
      <c r="H2808" s="16" t="n">
        <v>-0.244536900183451</v>
      </c>
    </row>
    <row r="2809">
      <c r="A2809" t="s">
        <v>30</v>
      </c>
      <c r="B2809" t="s">
        <v>1069</v>
      </c>
      <c r="C2809" t="s">
        <v>1070</v>
      </c>
      <c r="D2809" t="s">
        <v>1462</v>
      </c>
      <c r="E2809" s="14" t="n">
        <v>0</v>
      </c>
      <c r="F2809" s="17" t="n">
        <v>51</v>
      </c>
      <c r="G2809" s="15" t="n">
        <v>0</v>
      </c>
      <c r="H2809" s="16" t="n">
        <v>0</v>
      </c>
    </row>
    <row r="2810">
      <c r="A2810" t="s">
        <v>30</v>
      </c>
      <c r="B2810" t="s">
        <v>1069</v>
      </c>
      <c r="C2810" t="s">
        <v>1071</v>
      </c>
      <c r="D2810" t="s">
        <v>1462</v>
      </c>
      <c r="E2810" s="14" t="n">
        <v>0.25</v>
      </c>
      <c r="F2810" s="17" t="n">
        <v>155</v>
      </c>
      <c r="G2810" s="15" t="n">
        <v>0.160696902421635</v>
      </c>
      <c r="H2810" s="16" t="n">
        <v>-0.191511110779744</v>
      </c>
    </row>
    <row r="2811">
      <c r="A2811" t="s">
        <v>30</v>
      </c>
      <c r="B2811" t="s">
        <v>1072</v>
      </c>
      <c r="C2811" t="s">
        <v>1073</v>
      </c>
      <c r="D2811" t="s">
        <v>1462</v>
      </c>
      <c r="E2811" s="14" t="n">
        <v>0.25</v>
      </c>
      <c r="F2811" s="17" t="n">
        <v>110</v>
      </c>
      <c r="G2811" s="15" t="n">
        <v>-0.191511110779745</v>
      </c>
      <c r="H2811" s="16" t="n">
        <v>-0.160696902421635</v>
      </c>
    </row>
    <row r="2812">
      <c r="A2812" t="s">
        <v>30</v>
      </c>
      <c r="B2812" t="s">
        <v>1072</v>
      </c>
      <c r="C2812" t="s">
        <v>1074</v>
      </c>
      <c r="D2812" t="s">
        <v>1462</v>
      </c>
      <c r="E2812" s="14" t="n">
        <v>0.25</v>
      </c>
      <c r="F2812" s="17" t="n">
        <v>69</v>
      </c>
      <c r="G2812" s="15" t="n">
        <v>-0.185786206369349</v>
      </c>
      <c r="H2812" s="16" t="n">
        <v>0.167282651589715</v>
      </c>
    </row>
    <row r="2813">
      <c r="A2813" t="s">
        <v>30</v>
      </c>
      <c r="B2813" t="s">
        <v>1075</v>
      </c>
      <c r="C2813" t="s">
        <v>1076</v>
      </c>
      <c r="D2813" t="s">
        <v>1462</v>
      </c>
      <c r="E2813" s="14" t="n">
        <v>0.25</v>
      </c>
      <c r="F2813" s="17" t="n">
        <v>6</v>
      </c>
      <c r="G2813" s="15" t="n">
        <v>0.244536900183451</v>
      </c>
      <c r="H2813" s="16" t="n">
        <v>0.0519779227044398</v>
      </c>
    </row>
    <row r="2814">
      <c r="A2814" t="s">
        <v>30</v>
      </c>
      <c r="B2814" t="s">
        <v>1075</v>
      </c>
      <c r="C2814" t="s">
        <v>1077</v>
      </c>
      <c r="D2814" t="s">
        <v>1462</v>
      </c>
      <c r="E2814" s="14" t="n">
        <v>0.25</v>
      </c>
      <c r="F2814" s="17" t="n">
        <v>79</v>
      </c>
      <c r="G2814" s="15" t="n">
        <v>-0.231795963641697</v>
      </c>
      <c r="H2814" s="16" t="n">
        <v>0.0936516483539781</v>
      </c>
    </row>
    <row r="2815">
      <c r="A2815" t="s">
        <v>31</v>
      </c>
      <c r="B2815" t="s">
        <v>1078</v>
      </c>
      <c r="C2815" t="s">
        <v>1079</v>
      </c>
      <c r="D2815" t="s">
        <v>1462</v>
      </c>
      <c r="E2815" s="14" t="n">
        <v>0</v>
      </c>
      <c r="F2815" s="17" t="n">
        <v>90</v>
      </c>
      <c r="G2815" s="15" t="n">
        <v>0</v>
      </c>
      <c r="H2815" s="16" t="n">
        <v>0</v>
      </c>
    </row>
    <row r="2816">
      <c r="A2816" t="s">
        <v>31</v>
      </c>
      <c r="B2816" t="s">
        <v>1078</v>
      </c>
      <c r="C2816" t="s">
        <v>1080</v>
      </c>
      <c r="D2816" t="s">
        <v>1462</v>
      </c>
      <c r="E2816" s="14" t="n">
        <v>0.25</v>
      </c>
      <c r="F2816" s="17" t="n">
        <v>26</v>
      </c>
      <c r="G2816" s="15" t="n">
        <v>0.153915368831415</v>
      </c>
      <c r="H2816" s="16" t="n">
        <v>0.19700268840168</v>
      </c>
    </row>
    <row r="2817">
      <c r="A2817" t="s">
        <v>30</v>
      </c>
      <c r="B2817" t="s">
        <v>1081</v>
      </c>
      <c r="C2817" t="s">
        <v>1082</v>
      </c>
      <c r="D2817" t="s">
        <v>1462</v>
      </c>
      <c r="E2817" s="14" t="n">
        <v>0.5</v>
      </c>
      <c r="F2817" s="17" t="n">
        <v>8</v>
      </c>
      <c r="G2817" s="15" t="n">
        <v>0.480630847969159</v>
      </c>
      <c r="H2817" s="16" t="n">
        <v>0.1378186779085</v>
      </c>
    </row>
    <row r="2818">
      <c r="A2818" t="s">
        <v>30</v>
      </c>
      <c r="B2818" t="s">
        <v>1081</v>
      </c>
      <c r="C2818" t="s">
        <v>1083</v>
      </c>
      <c r="D2818" t="s">
        <v>1462</v>
      </c>
      <c r="E2818" s="14" t="n">
        <v>0.25</v>
      </c>
      <c r="F2818" s="17" t="n">
        <v>177</v>
      </c>
      <c r="G2818" s="15" t="n">
        <v>0.248630473842068</v>
      </c>
      <c r="H2818" s="16" t="n">
        <v>-0.0261321158169134</v>
      </c>
    </row>
    <row r="2819">
      <c r="A2819" t="s">
        <v>30</v>
      </c>
      <c r="B2819" t="s">
        <v>1084</v>
      </c>
      <c r="C2819" t="s">
        <v>1085</v>
      </c>
      <c r="D2819" t="s">
        <v>1462</v>
      </c>
      <c r="E2819" s="14" t="n">
        <v>1</v>
      </c>
      <c r="F2819" s="17" t="n">
        <v>122</v>
      </c>
      <c r="G2819" s="15" t="n">
        <v>-0.438371146789078</v>
      </c>
      <c r="H2819" s="16" t="n">
        <v>-0.898794046299167</v>
      </c>
    </row>
    <row r="2820">
      <c r="A2820" t="s">
        <v>31</v>
      </c>
      <c r="B2820" t="s">
        <v>1086</v>
      </c>
      <c r="C2820" t="s">
        <v>1087</v>
      </c>
      <c r="D2820" t="s">
        <v>1462</v>
      </c>
      <c r="E2820" s="14" t="n">
        <v>0.25</v>
      </c>
      <c r="F2820" s="17" t="n">
        <v>0</v>
      </c>
      <c r="G2820" s="15" t="n">
        <v>0.25</v>
      </c>
      <c r="H2820" s="16" t="n">
        <v>0</v>
      </c>
    </row>
    <row r="2821">
      <c r="A2821" t="s">
        <v>31</v>
      </c>
      <c r="B2821" t="s">
        <v>1086</v>
      </c>
      <c r="C2821" t="s">
        <v>1088</v>
      </c>
      <c r="D2821" t="s">
        <v>1462</v>
      </c>
      <c r="E2821" s="14" t="n">
        <v>0</v>
      </c>
      <c r="F2821" s="17" t="n">
        <v>72</v>
      </c>
      <c r="G2821" s="15" t="n">
        <v>0</v>
      </c>
      <c r="H2821" s="16" t="n">
        <v>0</v>
      </c>
    </row>
    <row r="2822">
      <c r="A2822" t="s">
        <v>32</v>
      </c>
      <c r="B2822" t="s">
        <v>1089</v>
      </c>
      <c r="C2822" t="s">
        <v>1090</v>
      </c>
      <c r="D2822" t="s">
        <v>1462</v>
      </c>
      <c r="E2822" s="14" t="n">
        <v>0.25</v>
      </c>
      <c r="F2822" s="17" t="n">
        <v>163</v>
      </c>
      <c r="G2822" s="15" t="n">
        <v>0.20725939313876</v>
      </c>
      <c r="H2822" s="16" t="n">
        <v>-0.139798225867687</v>
      </c>
    </row>
    <row r="2823">
      <c r="A2823" t="s">
        <v>32</v>
      </c>
      <c r="B2823" t="s">
        <v>1089</v>
      </c>
      <c r="C2823" t="s">
        <v>1091</v>
      </c>
      <c r="D2823" t="s">
        <v>1462</v>
      </c>
      <c r="E2823" s="14" t="n">
        <v>0.25</v>
      </c>
      <c r="F2823" s="17" t="n">
        <v>46</v>
      </c>
      <c r="G2823" s="15" t="n">
        <v>-0.00872487417562518</v>
      </c>
      <c r="H2823" s="16" t="n">
        <v>0.249847706754774</v>
      </c>
    </row>
    <row r="2824">
      <c r="A2824" t="s">
        <v>30</v>
      </c>
      <c r="B2824" t="s">
        <v>1092</v>
      </c>
      <c r="C2824" t="s">
        <v>1093</v>
      </c>
      <c r="D2824" t="s">
        <v>1462</v>
      </c>
      <c r="E2824" s="14" t="n">
        <v>0</v>
      </c>
      <c r="F2824" s="17" t="n">
        <v>104</v>
      </c>
      <c r="G2824" s="15" t="n">
        <v>0</v>
      </c>
      <c r="H2824" s="16" t="n">
        <v>0</v>
      </c>
    </row>
    <row r="2825">
      <c r="A2825" t="s">
        <v>30</v>
      </c>
      <c r="B2825" t="s">
        <v>1094</v>
      </c>
      <c r="C2825" t="s">
        <v>1095</v>
      </c>
      <c r="D2825" t="s">
        <v>1462</v>
      </c>
      <c r="E2825" s="14" t="n">
        <v>0.5</v>
      </c>
      <c r="F2825" s="17" t="n">
        <v>174</v>
      </c>
      <c r="G2825" s="15" t="n">
        <v>0.489073800366903</v>
      </c>
      <c r="H2825" s="16" t="n">
        <v>-0.10395584540888</v>
      </c>
    </row>
    <row r="2826">
      <c r="A2826" t="s">
        <v>30</v>
      </c>
      <c r="B2826" t="s">
        <v>1094</v>
      </c>
      <c r="C2826" t="s">
        <v>1096</v>
      </c>
      <c r="D2826" t="s">
        <v>1462</v>
      </c>
      <c r="E2826" s="14" t="n">
        <v>0.75</v>
      </c>
      <c r="F2826" s="17" t="n">
        <v>1</v>
      </c>
      <c r="G2826" s="15" t="n">
        <v>0.749543120264322</v>
      </c>
      <c r="H2826" s="16" t="n">
        <v>0.0261746225268757</v>
      </c>
    </row>
    <row r="2827">
      <c r="A2827" t="s">
        <v>30</v>
      </c>
      <c r="B2827" t="s">
        <v>1097</v>
      </c>
      <c r="C2827" t="s">
        <v>1098</v>
      </c>
      <c r="D2827" t="s">
        <v>1462</v>
      </c>
      <c r="E2827" s="14" t="n">
        <v>0.5</v>
      </c>
      <c r="F2827" s="17" t="n">
        <v>161</v>
      </c>
      <c r="G2827" s="15" t="n">
        <v>0.394005376803361</v>
      </c>
      <c r="H2827" s="16" t="n">
        <v>-0.307830737662829</v>
      </c>
    </row>
    <row r="2828">
      <c r="A2828" t="s">
        <v>31</v>
      </c>
      <c r="B2828" t="s">
        <v>1099</v>
      </c>
      <c r="C2828" t="s">
        <v>1100</v>
      </c>
      <c r="D2828" t="s">
        <v>1462</v>
      </c>
      <c r="E2828" s="14" t="n">
        <v>0.25</v>
      </c>
      <c r="F2828" s="17" t="n">
        <v>29</v>
      </c>
      <c r="G2828" s="15" t="n">
        <v>0.132479816058301</v>
      </c>
      <c r="H2828" s="16" t="n">
        <v>0.212012024039106</v>
      </c>
    </row>
    <row r="2829">
      <c r="A2829" t="s">
        <v>32</v>
      </c>
      <c r="B2829" t="s">
        <v>1101</v>
      </c>
      <c r="C2829" t="s">
        <v>1102</v>
      </c>
      <c r="D2829" t="s">
        <v>1462</v>
      </c>
      <c r="E2829" s="14" t="n">
        <v>0.25</v>
      </c>
      <c r="F2829" s="17" t="n">
        <v>52</v>
      </c>
      <c r="G2829" s="15" t="n">
        <v>-0.0604804738999169</v>
      </c>
      <c r="H2829" s="16" t="n">
        <v>0.242573931568999</v>
      </c>
    </row>
    <row r="2830">
      <c r="A2830" t="s">
        <v>32</v>
      </c>
      <c r="B2830" t="s">
        <v>1101</v>
      </c>
      <c r="C2830" t="s">
        <v>1103</v>
      </c>
      <c r="D2830" t="s">
        <v>1462</v>
      </c>
      <c r="E2830" s="14" t="n">
        <v>0.25</v>
      </c>
      <c r="F2830" s="17" t="n">
        <v>2</v>
      </c>
      <c r="G2830" s="15" t="n">
        <v>0.249391012564956</v>
      </c>
      <c r="H2830" s="16" t="n">
        <v>0.0174391184360313</v>
      </c>
    </row>
    <row r="2831">
      <c r="A2831" t="s">
        <v>30</v>
      </c>
      <c r="B2831" t="s">
        <v>1104</v>
      </c>
      <c r="C2831" t="s">
        <v>1105</v>
      </c>
      <c r="D2831" t="s">
        <v>1462</v>
      </c>
      <c r="E2831" s="14" t="n">
        <v>1.5</v>
      </c>
      <c r="F2831" s="17" t="n">
        <v>55</v>
      </c>
      <c r="G2831" s="15" t="n">
        <v>-0.513030214988503</v>
      </c>
      <c r="H2831" s="16" t="n">
        <v>1.40953893117886</v>
      </c>
    </row>
    <row r="2832">
      <c r="A2832" t="s">
        <v>30</v>
      </c>
      <c r="B2832" t="s">
        <v>1104</v>
      </c>
      <c r="C2832" t="s">
        <v>1106</v>
      </c>
      <c r="D2832" t="s">
        <v>1462</v>
      </c>
      <c r="E2832" s="14" t="n">
        <v>0.5</v>
      </c>
      <c r="F2832" s="17" t="n">
        <v>77</v>
      </c>
      <c r="G2832" s="15" t="n">
        <v>-0.449397023149583</v>
      </c>
      <c r="H2832" s="16" t="n">
        <v>0.219185573394539</v>
      </c>
    </row>
    <row r="2833">
      <c r="A2833" t="s">
        <v>31</v>
      </c>
      <c r="B2833" t="s">
        <v>1107</v>
      </c>
      <c r="C2833" t="s">
        <v>1108</v>
      </c>
      <c r="D2833" t="s">
        <v>1462</v>
      </c>
      <c r="E2833" s="14" t="n">
        <v>0.25</v>
      </c>
      <c r="F2833" s="17" t="n">
        <v>43</v>
      </c>
      <c r="G2833" s="15" t="n">
        <v>0.0174391184360313</v>
      </c>
      <c r="H2833" s="16" t="n">
        <v>0.249391012564956</v>
      </c>
    </row>
    <row r="2834">
      <c r="A2834" t="s">
        <v>32</v>
      </c>
      <c r="B2834" t="s">
        <v>1109</v>
      </c>
      <c r="C2834" t="s">
        <v>1110</v>
      </c>
      <c r="D2834" t="s">
        <v>1462</v>
      </c>
      <c r="E2834" s="14" t="n">
        <v>0.25</v>
      </c>
      <c r="F2834" s="17" t="n">
        <v>99</v>
      </c>
      <c r="G2834" s="15" t="n">
        <v>-0.237764129073788</v>
      </c>
      <c r="H2834" s="16" t="n">
        <v>-0.077254248593737</v>
      </c>
    </row>
    <row r="2835">
      <c r="A2835" t="s">
        <v>31</v>
      </c>
      <c r="B2835" t="s">
        <v>1111</v>
      </c>
      <c r="C2835" t="s">
        <v>1112</v>
      </c>
      <c r="D2835" t="s">
        <v>1462</v>
      </c>
      <c r="E2835" s="14" t="n">
        <v>0.25</v>
      </c>
      <c r="F2835" s="17" t="n">
        <v>153</v>
      </c>
      <c r="G2835" s="15" t="n">
        <v>0.146946313073118</v>
      </c>
      <c r="H2835" s="16" t="n">
        <v>-0.202254248593737</v>
      </c>
    </row>
    <row r="2836">
      <c r="A2836" t="s">
        <v>31</v>
      </c>
      <c r="B2836" t="s">
        <v>1111</v>
      </c>
      <c r="C2836" t="s">
        <v>1113</v>
      </c>
      <c r="D2836" t="s">
        <v>1462</v>
      </c>
      <c r="E2836" s="14" t="n">
        <v>0.25</v>
      </c>
      <c r="F2836" s="17" t="n">
        <v>162</v>
      </c>
      <c r="G2836" s="15" t="n">
        <v>0.202254248593737</v>
      </c>
      <c r="H2836" s="16" t="n">
        <v>-0.146946313073118</v>
      </c>
    </row>
    <row r="2837">
      <c r="A2837" t="s">
        <v>31</v>
      </c>
      <c r="B2837" t="s">
        <v>1114</v>
      </c>
      <c r="C2837" t="s">
        <v>1115</v>
      </c>
      <c r="D2837" t="s">
        <v>1462</v>
      </c>
      <c r="E2837" s="14" t="n">
        <v>0.5</v>
      </c>
      <c r="F2837" s="17" t="n">
        <v>105</v>
      </c>
      <c r="G2837" s="15" t="n">
        <v>-0.433012701892219</v>
      </c>
      <c r="H2837" s="16" t="n">
        <v>-0.25</v>
      </c>
    </row>
    <row r="2838">
      <c r="A2838" t="s">
        <v>31</v>
      </c>
      <c r="B2838" t="s">
        <v>1114</v>
      </c>
      <c r="C2838" t="s">
        <v>1116</v>
      </c>
      <c r="D2838" t="s">
        <v>1462</v>
      </c>
      <c r="E2838" s="14" t="n">
        <v>0.25</v>
      </c>
      <c r="F2838" s="17" t="n">
        <v>58</v>
      </c>
      <c r="G2838" s="15" t="n">
        <v>-0.109592786697269</v>
      </c>
      <c r="H2838" s="16" t="n">
        <v>0.224698511574792</v>
      </c>
    </row>
    <row r="2839">
      <c r="A2839" t="s">
        <v>32</v>
      </c>
      <c r="B2839" t="s">
        <v>1117</v>
      </c>
      <c r="C2839" t="s">
        <v>1118</v>
      </c>
      <c r="D2839" t="s">
        <v>1462</v>
      </c>
      <c r="E2839" s="14" t="n">
        <v>0.25</v>
      </c>
      <c r="F2839" s="17" t="n">
        <v>81</v>
      </c>
      <c r="G2839" s="15" t="n">
        <v>-0.237764129073788</v>
      </c>
      <c r="H2839" s="16" t="n">
        <v>0.0772542485937369</v>
      </c>
    </row>
    <row r="2840">
      <c r="A2840" t="s">
        <v>30</v>
      </c>
      <c r="B2840" t="s">
        <v>1119</v>
      </c>
      <c r="C2840" t="s">
        <v>1120</v>
      </c>
      <c r="D2840" t="s">
        <v>1462</v>
      </c>
      <c r="E2840" s="14" t="n">
        <v>0.75</v>
      </c>
      <c r="F2840" s="17" t="n">
        <v>60</v>
      </c>
      <c r="G2840" s="15" t="n">
        <v>-0.375</v>
      </c>
      <c r="H2840" s="16" t="n">
        <v>0.649519052838329</v>
      </c>
    </row>
    <row r="2841">
      <c r="A2841" t="s">
        <v>30</v>
      </c>
      <c r="B2841" t="s">
        <v>1119</v>
      </c>
      <c r="C2841" t="s">
        <v>1121</v>
      </c>
      <c r="D2841" t="s">
        <v>1462</v>
      </c>
      <c r="E2841" s="14" t="n">
        <v>0.25</v>
      </c>
      <c r="F2841" s="17" t="n">
        <v>78</v>
      </c>
      <c r="G2841" s="15" t="n">
        <v>-0.22838636441065</v>
      </c>
      <c r="H2841" s="16" t="n">
        <v>0.10168416076895</v>
      </c>
    </row>
    <row r="2842">
      <c r="A2842" t="s">
        <v>30</v>
      </c>
      <c r="B2842" t="s">
        <v>1122</v>
      </c>
      <c r="C2842" t="s">
        <v>1123</v>
      </c>
      <c r="D2842" t="s">
        <v>1462</v>
      </c>
      <c r="E2842" s="14" t="n">
        <v>0.25</v>
      </c>
      <c r="F2842" s="17" t="n">
        <v>76</v>
      </c>
      <c r="G2842" s="15" t="n">
        <v>-0.220736898214732</v>
      </c>
      <c r="H2842" s="16" t="n">
        <v>0.117367890696473</v>
      </c>
    </row>
    <row r="2843">
      <c r="A2843" t="s">
        <v>31</v>
      </c>
      <c r="B2843" t="s">
        <v>1124</v>
      </c>
      <c r="C2843" t="s">
        <v>1125</v>
      </c>
      <c r="D2843" t="s">
        <v>1462</v>
      </c>
      <c r="E2843" s="14" t="n">
        <v>0</v>
      </c>
      <c r="F2843" s="17" t="n">
        <v>64</v>
      </c>
      <c r="G2843" s="15" t="n">
        <v>0</v>
      </c>
      <c r="H2843" s="16" t="n">
        <v>0</v>
      </c>
    </row>
    <row r="2844">
      <c r="A2844" t="s">
        <v>30</v>
      </c>
      <c r="B2844" t="s">
        <v>1126</v>
      </c>
      <c r="C2844" t="s">
        <v>1127</v>
      </c>
      <c r="D2844" t="s">
        <v>1462</v>
      </c>
      <c r="E2844" s="14" t="n">
        <v>0</v>
      </c>
      <c r="F2844" s="17" t="n">
        <v>47</v>
      </c>
      <c r="G2844" s="15" t="n">
        <v>0</v>
      </c>
      <c r="H2844" s="16" t="n">
        <v>0</v>
      </c>
    </row>
    <row r="2845">
      <c r="A2845" t="s">
        <v>30</v>
      </c>
      <c r="B2845" t="s">
        <v>1126</v>
      </c>
      <c r="C2845" t="s">
        <v>1128</v>
      </c>
      <c r="D2845" t="s">
        <v>1462</v>
      </c>
      <c r="E2845" s="14" t="n">
        <v>0</v>
      </c>
      <c r="F2845" s="17" t="n">
        <v>121</v>
      </c>
      <c r="G2845" s="15" t="n">
        <v>0</v>
      </c>
      <c r="H2845" s="16" t="n">
        <v>0</v>
      </c>
    </row>
    <row r="2846">
      <c r="A2846" t="s">
        <v>31</v>
      </c>
      <c r="B2846" t="s">
        <v>1129</v>
      </c>
      <c r="C2846" t="s">
        <v>1130</v>
      </c>
      <c r="D2846" t="s">
        <v>1462</v>
      </c>
      <c r="E2846" s="14" t="n">
        <v>0.25</v>
      </c>
      <c r="F2846" s="17" t="n">
        <v>62</v>
      </c>
      <c r="G2846" s="15" t="n">
        <v>-0.139798225867687</v>
      </c>
      <c r="H2846" s="16" t="n">
        <v>0.20725939313876</v>
      </c>
    </row>
    <row r="2847">
      <c r="A2847" t="s">
        <v>31</v>
      </c>
      <c r="B2847" t="s">
        <v>1129</v>
      </c>
      <c r="C2847" t="s">
        <v>1131</v>
      </c>
      <c r="D2847" t="s">
        <v>1462</v>
      </c>
      <c r="E2847" s="14" t="n">
        <v>0</v>
      </c>
      <c r="F2847" s="17" t="n">
        <v>52</v>
      </c>
      <c r="G2847" s="15" t="n">
        <v>0</v>
      </c>
      <c r="H2847" s="16" t="n">
        <v>0</v>
      </c>
    </row>
    <row r="2848">
      <c r="A2848" t="s">
        <v>31</v>
      </c>
      <c r="B2848" t="s">
        <v>1132</v>
      </c>
      <c r="C2848" t="s">
        <v>1133</v>
      </c>
      <c r="D2848" t="s">
        <v>1462</v>
      </c>
      <c r="E2848" s="14" t="n">
        <v>0.25</v>
      </c>
      <c r="F2848" s="17" t="n">
        <v>99</v>
      </c>
      <c r="G2848" s="15" t="n">
        <v>-0.237764129073788</v>
      </c>
      <c r="H2848" s="16" t="n">
        <v>-0.077254248593737</v>
      </c>
    </row>
    <row r="2849">
      <c r="A2849" t="s">
        <v>31</v>
      </c>
      <c r="B2849" t="s">
        <v>1132</v>
      </c>
      <c r="C2849" t="s">
        <v>1134</v>
      </c>
      <c r="D2849" t="s">
        <v>1462</v>
      </c>
      <c r="E2849" s="14" t="n">
        <v>0.25</v>
      </c>
      <c r="F2849" s="17" t="n">
        <v>67</v>
      </c>
      <c r="G2849" s="15" t="n">
        <v>-0.173664592614749</v>
      </c>
      <c r="H2849" s="16" t="n">
        <v>0.179834950084663</v>
      </c>
    </row>
    <row r="2850">
      <c r="A2850" t="s">
        <v>31</v>
      </c>
      <c r="B2850" t="s">
        <v>1135</v>
      </c>
      <c r="C2850" t="s">
        <v>1136</v>
      </c>
      <c r="D2850" t="s">
        <v>1462</v>
      </c>
      <c r="E2850" s="14" t="n">
        <v>0</v>
      </c>
      <c r="F2850" s="17" t="n">
        <v>100</v>
      </c>
      <c r="G2850" s="15" t="n">
        <v>0</v>
      </c>
      <c r="H2850" s="16" t="n">
        <v>0</v>
      </c>
    </row>
    <row r="2851">
      <c r="A2851" t="s">
        <v>31</v>
      </c>
      <c r="B2851" t="s">
        <v>1135</v>
      </c>
      <c r="C2851" t="s">
        <v>1137</v>
      </c>
      <c r="D2851" t="s">
        <v>1462</v>
      </c>
      <c r="E2851" s="14" t="n">
        <v>0.25</v>
      </c>
      <c r="F2851" s="17" t="n">
        <v>2</v>
      </c>
      <c r="G2851" s="15" t="n">
        <v>0.249391012564956</v>
      </c>
      <c r="H2851" s="16" t="n">
        <v>0.0174391184360313</v>
      </c>
    </row>
    <row r="2852">
      <c r="A2852" t="s">
        <v>32</v>
      </c>
      <c r="B2852" t="s">
        <v>1138</v>
      </c>
      <c r="C2852" t="s">
        <v>1139</v>
      </c>
      <c r="D2852" t="s">
        <v>1462</v>
      </c>
      <c r="E2852" s="14" t="n">
        <v>0</v>
      </c>
      <c r="F2852" s="17" t="n">
        <v>55</v>
      </c>
      <c r="G2852" s="15" t="n">
        <v>0</v>
      </c>
      <c r="H2852" s="16" t="n">
        <v>0</v>
      </c>
    </row>
    <row r="2853">
      <c r="A2853" t="s">
        <v>32</v>
      </c>
      <c r="B2853" t="s">
        <v>1138</v>
      </c>
      <c r="C2853" t="s">
        <v>1140</v>
      </c>
      <c r="D2853" t="s">
        <v>1462</v>
      </c>
      <c r="E2853" s="14" t="n">
        <v>0</v>
      </c>
      <c r="F2853" s="17" t="n">
        <v>29</v>
      </c>
      <c r="G2853" s="15" t="n">
        <v>0</v>
      </c>
      <c r="H2853" s="16" t="n">
        <v>0</v>
      </c>
    </row>
    <row r="2854">
      <c r="A2854" t="s">
        <v>31</v>
      </c>
      <c r="B2854" t="s">
        <v>1141</v>
      </c>
      <c r="C2854" t="s">
        <v>1142</v>
      </c>
      <c r="D2854" t="s">
        <v>1462</v>
      </c>
      <c r="E2854" s="14" t="n">
        <v>0</v>
      </c>
      <c r="F2854" s="17" t="n">
        <v>76</v>
      </c>
      <c r="G2854" s="15" t="n">
        <v>0</v>
      </c>
      <c r="H2854" s="16" t="n">
        <v>0</v>
      </c>
    </row>
    <row r="2855">
      <c r="A2855" t="s">
        <v>31</v>
      </c>
      <c r="B2855" t="s">
        <v>1141</v>
      </c>
      <c r="C2855" t="s">
        <v>1143</v>
      </c>
      <c r="D2855" t="s">
        <v>1462</v>
      </c>
      <c r="E2855" s="14" t="n">
        <v>0.25</v>
      </c>
      <c r="F2855" s="17" t="n">
        <v>51</v>
      </c>
      <c r="G2855" s="15" t="n">
        <v>-0.0519779227044398</v>
      </c>
      <c r="H2855" s="16" t="n">
        <v>0.244536900183451</v>
      </c>
    </row>
    <row r="2856">
      <c r="A2856" t="s">
        <v>31</v>
      </c>
      <c r="B2856" t="s">
        <v>1144</v>
      </c>
      <c r="C2856" t="s">
        <v>1145</v>
      </c>
      <c r="D2856" t="s">
        <v>1462</v>
      </c>
      <c r="E2856" s="14" t="n">
        <v>0.25</v>
      </c>
      <c r="F2856" s="17" t="n">
        <v>2</v>
      </c>
      <c r="G2856" s="15" t="n">
        <v>0.249391012564956</v>
      </c>
      <c r="H2856" s="16" t="n">
        <v>0.0174391184360313</v>
      </c>
    </row>
    <row r="2857">
      <c r="A2857" t="s">
        <v>31</v>
      </c>
      <c r="B2857" t="s">
        <v>1144</v>
      </c>
      <c r="C2857" t="s">
        <v>1146</v>
      </c>
      <c r="D2857" t="s">
        <v>1462</v>
      </c>
      <c r="E2857" s="14" t="n">
        <v>0.25</v>
      </c>
      <c r="F2857" s="17" t="n">
        <v>64</v>
      </c>
      <c r="G2857" s="15" t="n">
        <v>-0.153915368831415</v>
      </c>
      <c r="H2857" s="16" t="n">
        <v>0.197002688401681</v>
      </c>
    </row>
    <row r="2858">
      <c r="A2858" t="s">
        <v>30</v>
      </c>
      <c r="B2858" t="s">
        <v>1147</v>
      </c>
      <c r="C2858" t="s">
        <v>1148</v>
      </c>
      <c r="D2858" t="s">
        <v>1462</v>
      </c>
      <c r="E2858" s="14" t="n">
        <v>0.5</v>
      </c>
      <c r="F2858" s="17" t="n">
        <v>159</v>
      </c>
      <c r="G2858" s="15" t="n">
        <v>0.371572412738697</v>
      </c>
      <c r="H2858" s="16" t="n">
        <v>-0.334565303179429</v>
      </c>
    </row>
    <row r="2859">
      <c r="A2859" t="s">
        <v>30</v>
      </c>
      <c r="B2859" t="s">
        <v>1147</v>
      </c>
      <c r="C2859" t="s">
        <v>1149</v>
      </c>
      <c r="D2859" t="s">
        <v>1462</v>
      </c>
      <c r="E2859" s="14" t="n">
        <v>0.25</v>
      </c>
      <c r="F2859" s="17" t="n">
        <v>160</v>
      </c>
      <c r="G2859" s="15" t="n">
        <v>0.191511110779744</v>
      </c>
      <c r="H2859" s="16" t="n">
        <v>-0.160696902421635</v>
      </c>
    </row>
    <row r="2860">
      <c r="A2860" t="s">
        <v>31</v>
      </c>
      <c r="B2860" t="s">
        <v>1150</v>
      </c>
      <c r="C2860" t="s">
        <v>1151</v>
      </c>
      <c r="D2860" t="s">
        <v>1462</v>
      </c>
      <c r="E2860" s="14" t="n">
        <v>0</v>
      </c>
      <c r="F2860" s="17" t="n">
        <v>152</v>
      </c>
      <c r="G2860" s="15" t="n">
        <v>0</v>
      </c>
      <c r="H2860" s="16" t="n">
        <v>0</v>
      </c>
    </row>
    <row r="2861">
      <c r="A2861" t="s">
        <v>30</v>
      </c>
      <c r="B2861" t="s">
        <v>1152</v>
      </c>
      <c r="C2861" t="s">
        <v>1153</v>
      </c>
      <c r="D2861" t="s">
        <v>1462</v>
      </c>
      <c r="E2861" s="14" t="n">
        <v>0.25</v>
      </c>
      <c r="F2861" s="17" t="n">
        <v>122</v>
      </c>
      <c r="G2861" s="15" t="n">
        <v>-0.109592786697269</v>
      </c>
      <c r="H2861" s="16" t="n">
        <v>-0.224698511574792</v>
      </c>
    </row>
    <row r="2862">
      <c r="A2862" t="s">
        <v>30</v>
      </c>
      <c r="B2862" t="s">
        <v>1152</v>
      </c>
      <c r="C2862" t="s">
        <v>1154</v>
      </c>
      <c r="D2862" t="s">
        <v>1462</v>
      </c>
      <c r="E2862" s="14" t="n">
        <v>0.25</v>
      </c>
      <c r="F2862" s="17" t="n">
        <v>78</v>
      </c>
      <c r="G2862" s="15" t="n">
        <v>-0.22838636441065</v>
      </c>
      <c r="H2862" s="16" t="n">
        <v>0.10168416076895</v>
      </c>
    </row>
    <row r="2863">
      <c r="A2863" t="s">
        <v>30</v>
      </c>
      <c r="B2863" t="s">
        <v>1155</v>
      </c>
      <c r="C2863" t="s">
        <v>1156</v>
      </c>
      <c r="D2863" t="s">
        <v>1462</v>
      </c>
      <c r="E2863" s="14" t="n">
        <v>0.5</v>
      </c>
      <c r="F2863" s="17" t="n">
        <v>39</v>
      </c>
      <c r="G2863" s="15" t="n">
        <v>0.10395584540888</v>
      </c>
      <c r="H2863" s="16" t="n">
        <v>0.489073800366903</v>
      </c>
    </row>
    <row r="2864">
      <c r="A2864" t="s">
        <v>31</v>
      </c>
      <c r="B2864" t="s">
        <v>1157</v>
      </c>
      <c r="C2864" t="s">
        <v>1158</v>
      </c>
      <c r="D2864" t="s">
        <v>1462</v>
      </c>
      <c r="E2864" s="14" t="n">
        <v>0.25</v>
      </c>
      <c r="F2864" s="17" t="n">
        <v>75</v>
      </c>
      <c r="G2864" s="15" t="n">
        <v>-0.21650635094611</v>
      </c>
      <c r="H2864" s="16" t="n">
        <v>0.125</v>
      </c>
    </row>
    <row r="2865">
      <c r="A2865" t="s">
        <v>31</v>
      </c>
      <c r="B2865" t="s">
        <v>1157</v>
      </c>
      <c r="C2865" t="s">
        <v>1159</v>
      </c>
      <c r="D2865" t="s">
        <v>1462</v>
      </c>
      <c r="E2865" s="14" t="n">
        <v>0.25</v>
      </c>
      <c r="F2865" s="17" t="n">
        <v>120</v>
      </c>
      <c r="G2865" s="15" t="n">
        <v>-0.125</v>
      </c>
      <c r="H2865" s="16" t="n">
        <v>-0.21650635094611</v>
      </c>
    </row>
    <row r="2866">
      <c r="A2866" t="s">
        <v>32</v>
      </c>
      <c r="B2866" t="s">
        <v>1160</v>
      </c>
      <c r="C2866" t="s">
        <v>1161</v>
      </c>
      <c r="D2866" t="s">
        <v>1462</v>
      </c>
      <c r="E2866" s="14" t="n">
        <v>0.25</v>
      </c>
      <c r="F2866" s="17" t="n">
        <v>74</v>
      </c>
      <c r="G2866" s="15" t="n">
        <v>-0.212012024039106</v>
      </c>
      <c r="H2866" s="16" t="n">
        <v>0.132479816058301</v>
      </c>
    </row>
    <row r="2867">
      <c r="A2867" t="s">
        <v>32</v>
      </c>
      <c r="B2867" t="s">
        <v>1160</v>
      </c>
      <c r="C2867" t="s">
        <v>1162</v>
      </c>
      <c r="D2867" t="s">
        <v>1462</v>
      </c>
      <c r="E2867" s="14" t="n">
        <v>0.25</v>
      </c>
      <c r="F2867" s="17" t="n">
        <v>135</v>
      </c>
      <c r="G2867" s="15" t="n">
        <v>0</v>
      </c>
      <c r="H2867" s="16" t="n">
        <v>-0.25</v>
      </c>
    </row>
    <row r="2868">
      <c r="A2868" t="s">
        <v>30</v>
      </c>
      <c r="B2868" t="s">
        <v>1163</v>
      </c>
      <c r="C2868" t="s">
        <v>1164</v>
      </c>
      <c r="D2868" t="s">
        <v>1462</v>
      </c>
      <c r="E2868" s="14" t="n">
        <v>0.25</v>
      </c>
      <c r="F2868" s="17" t="n">
        <v>34</v>
      </c>
      <c r="G2868" s="15" t="n">
        <v>0.093651648353978</v>
      </c>
      <c r="H2868" s="16" t="n">
        <v>0.231795963641697</v>
      </c>
    </row>
    <row r="2869">
      <c r="A2869" t="s">
        <v>31</v>
      </c>
      <c r="B2869" t="s">
        <v>1165</v>
      </c>
      <c r="C2869" t="s">
        <v>1166</v>
      </c>
      <c r="D2869" t="s">
        <v>1462</v>
      </c>
      <c r="E2869" s="14" t="n">
        <v>0.25</v>
      </c>
      <c r="F2869" s="17" t="n">
        <v>107</v>
      </c>
      <c r="G2869" s="15" t="n">
        <v>-0.20725939313876</v>
      </c>
      <c r="H2869" s="16" t="n">
        <v>-0.139798225867687</v>
      </c>
    </row>
    <row r="2870">
      <c r="A2870" t="s">
        <v>30</v>
      </c>
      <c r="B2870" t="s">
        <v>1167</v>
      </c>
      <c r="C2870" t="s">
        <v>1168</v>
      </c>
      <c r="D2870" t="s">
        <v>1462</v>
      </c>
      <c r="E2870" s="14" t="n">
        <v>0</v>
      </c>
      <c r="F2870" s="17" t="n">
        <v>48</v>
      </c>
      <c r="G2870" s="15" t="n">
        <v>0</v>
      </c>
      <c r="H2870" s="16" t="n">
        <v>0</v>
      </c>
    </row>
    <row r="2871">
      <c r="A2871" t="s">
        <v>30</v>
      </c>
      <c r="B2871" t="s">
        <v>1167</v>
      </c>
      <c r="C2871" t="s">
        <v>1169</v>
      </c>
      <c r="D2871" t="s">
        <v>1462</v>
      </c>
      <c r="E2871" s="14" t="n">
        <v>0.25</v>
      </c>
      <c r="F2871" s="17" t="n">
        <v>31</v>
      </c>
      <c r="G2871" s="15" t="n">
        <v>0.117367890696473</v>
      </c>
      <c r="H2871" s="16" t="n">
        <v>0.220736898214732</v>
      </c>
    </row>
    <row r="2872">
      <c r="A2872" t="s">
        <v>31</v>
      </c>
      <c r="B2872" t="s">
        <v>1170</v>
      </c>
      <c r="C2872" t="s">
        <v>1171</v>
      </c>
      <c r="D2872" t="s">
        <v>1462</v>
      </c>
      <c r="E2872" s="14" t="n">
        <v>0.25</v>
      </c>
      <c r="F2872" s="17" t="n">
        <v>7</v>
      </c>
      <c r="G2872" s="15" t="n">
        <v>0.242573931568999</v>
      </c>
      <c r="H2872" s="16" t="n">
        <v>0.0604804738999169</v>
      </c>
    </row>
    <row r="2873">
      <c r="A2873" t="s">
        <v>31</v>
      </c>
      <c r="B2873" t="s">
        <v>1170</v>
      </c>
      <c r="C2873" t="s">
        <v>1172</v>
      </c>
      <c r="D2873" t="s">
        <v>1462</v>
      </c>
      <c r="E2873" s="14" t="n">
        <v>0.25</v>
      </c>
      <c r="F2873" s="17" t="n">
        <v>176</v>
      </c>
      <c r="G2873" s="15" t="n">
        <v>0.247567017185393</v>
      </c>
      <c r="H2873" s="16" t="n">
        <v>-0.0347932752400164</v>
      </c>
    </row>
    <row r="2874">
      <c r="A2874" t="s">
        <v>31</v>
      </c>
      <c r="B2874" t="s">
        <v>1173</v>
      </c>
      <c r="C2874" t="s">
        <v>1174</v>
      </c>
      <c r="D2874" t="s">
        <v>1462</v>
      </c>
      <c r="E2874" s="14" t="n">
        <v>0.25</v>
      </c>
      <c r="F2874" s="17" t="n">
        <v>132</v>
      </c>
      <c r="G2874" s="15" t="n">
        <v>-0.0261321158169136</v>
      </c>
      <c r="H2874" s="16" t="n">
        <v>-0.248630473842068</v>
      </c>
    </row>
    <row r="2875">
      <c r="A2875" t="s">
        <v>31</v>
      </c>
      <c r="B2875" t="s">
        <v>1173</v>
      </c>
      <c r="C2875" t="s">
        <v>1175</v>
      </c>
      <c r="D2875" t="s">
        <v>1462</v>
      </c>
      <c r="E2875" s="14" t="n">
        <v>0.25</v>
      </c>
      <c r="F2875" s="17" t="n">
        <v>31</v>
      </c>
      <c r="G2875" s="15" t="n">
        <v>0.117367890696473</v>
      </c>
      <c r="H2875" s="16" t="n">
        <v>0.220736898214732</v>
      </c>
    </row>
    <row r="2876">
      <c r="A2876" t="s">
        <v>31</v>
      </c>
      <c r="B2876" t="s">
        <v>1176</v>
      </c>
      <c r="C2876" t="s">
        <v>1177</v>
      </c>
      <c r="D2876" t="s">
        <v>1462</v>
      </c>
      <c r="E2876" s="14" t="n">
        <v>0.25</v>
      </c>
      <c r="F2876" s="17" t="n">
        <v>111</v>
      </c>
      <c r="G2876" s="15" t="n">
        <v>-0.185786206369349</v>
      </c>
      <c r="H2876" s="16" t="n">
        <v>-0.167282651589715</v>
      </c>
    </row>
    <row r="2877">
      <c r="A2877" t="s">
        <v>31</v>
      </c>
      <c r="B2877" t="s">
        <v>1176</v>
      </c>
      <c r="C2877" t="s">
        <v>1178</v>
      </c>
      <c r="D2877" t="s">
        <v>1462</v>
      </c>
      <c r="E2877" s="14" t="n">
        <v>0.25</v>
      </c>
      <c r="F2877" s="17" t="n">
        <v>83</v>
      </c>
      <c r="G2877" s="15" t="n">
        <v>-0.242573931568999</v>
      </c>
      <c r="H2877" s="16" t="n">
        <v>0.0604804738999169</v>
      </c>
    </row>
    <row r="2878">
      <c r="A2878" t="s">
        <v>31</v>
      </c>
      <c r="B2878" t="s">
        <v>1179</v>
      </c>
      <c r="C2878" t="s">
        <v>1180</v>
      </c>
      <c r="D2878" t="s">
        <v>1462</v>
      </c>
      <c r="E2878" s="14" t="n">
        <v>0.75</v>
      </c>
      <c r="F2878" s="17" t="n">
        <v>148</v>
      </c>
      <c r="G2878" s="15" t="n">
        <v>0.328778360091808</v>
      </c>
      <c r="H2878" s="16" t="n">
        <v>-0.674095534724375</v>
      </c>
    </row>
    <row r="2879">
      <c r="A2879" t="s">
        <v>31</v>
      </c>
      <c r="B2879" t="s">
        <v>1179</v>
      </c>
      <c r="C2879" t="s">
        <v>1181</v>
      </c>
      <c r="D2879" t="s">
        <v>1462</v>
      </c>
      <c r="E2879" s="14" t="n">
        <v>0.25</v>
      </c>
      <c r="F2879" s="17" t="n">
        <v>32</v>
      </c>
      <c r="G2879" s="15" t="n">
        <v>0.109592786697269</v>
      </c>
      <c r="H2879" s="16" t="n">
        <v>0.224698511574792</v>
      </c>
    </row>
    <row r="2880">
      <c r="A2880" t="s">
        <v>30</v>
      </c>
      <c r="B2880" t="s">
        <v>1182</v>
      </c>
      <c r="C2880" t="s">
        <v>1183</v>
      </c>
      <c r="D2880" t="s">
        <v>1462</v>
      </c>
      <c r="E2880" s="14" t="n">
        <v>0.25</v>
      </c>
      <c r="F2880" s="17" t="n">
        <v>138</v>
      </c>
      <c r="G2880" s="15" t="n">
        <v>0.0261321158169135</v>
      </c>
      <c r="H2880" s="16" t="n">
        <v>-0.248630473842068</v>
      </c>
    </row>
    <row r="2881">
      <c r="A2881" t="s">
        <v>32</v>
      </c>
      <c r="B2881" t="s">
        <v>1184</v>
      </c>
      <c r="C2881" t="s">
        <v>1185</v>
      </c>
      <c r="D2881" t="s">
        <v>1462</v>
      </c>
      <c r="E2881" s="14" t="n">
        <v>0.25</v>
      </c>
      <c r="F2881" s="17" t="n">
        <v>38</v>
      </c>
      <c r="G2881" s="15" t="n">
        <v>0.0604804738999169</v>
      </c>
      <c r="H2881" s="16" t="n">
        <v>0.242573931568999</v>
      </c>
    </row>
    <row r="2882">
      <c r="A2882" t="s">
        <v>32</v>
      </c>
      <c r="B2882" t="s">
        <v>1184</v>
      </c>
      <c r="C2882" t="s">
        <v>1186</v>
      </c>
      <c r="D2882" t="s">
        <v>1462</v>
      </c>
      <c r="E2882" s="14" t="n">
        <v>0.25</v>
      </c>
      <c r="F2882" s="17" t="n">
        <v>144</v>
      </c>
      <c r="G2882" s="15" t="n">
        <v>0.0772542485937368</v>
      </c>
      <c r="H2882" s="16" t="n">
        <v>-0.237764129073788</v>
      </c>
    </row>
    <row r="2883">
      <c r="A2883" t="s">
        <v>30</v>
      </c>
      <c r="B2883" t="s">
        <v>1187</v>
      </c>
      <c r="C2883" t="s">
        <v>1188</v>
      </c>
      <c r="D2883" t="s">
        <v>1462</v>
      </c>
      <c r="E2883" s="14" t="n">
        <v>0.25</v>
      </c>
      <c r="F2883" s="17" t="n">
        <v>123</v>
      </c>
      <c r="G2883" s="15" t="n">
        <v>-0.10168416076895</v>
      </c>
      <c r="H2883" s="16" t="n">
        <v>-0.22838636441065</v>
      </c>
    </row>
    <row r="2884">
      <c r="A2884" t="s">
        <v>30</v>
      </c>
      <c r="B2884" t="s">
        <v>1187</v>
      </c>
      <c r="C2884" t="s">
        <v>1189</v>
      </c>
      <c r="D2884" t="s">
        <v>1462</v>
      </c>
      <c r="E2884" s="14" t="n">
        <v>0</v>
      </c>
      <c r="F2884" s="17" t="n">
        <v>161</v>
      </c>
      <c r="G2884" s="15" t="n">
        <v>0</v>
      </c>
      <c r="H2884" s="16" t="n">
        <v>0</v>
      </c>
    </row>
    <row r="2885">
      <c r="A2885" t="s">
        <v>30</v>
      </c>
      <c r="B2885" t="s">
        <v>1190</v>
      </c>
      <c r="C2885" t="s">
        <v>1191</v>
      </c>
      <c r="D2885" t="s">
        <v>1462</v>
      </c>
      <c r="E2885" s="14" t="n">
        <v>0.25</v>
      </c>
      <c r="F2885" s="17" t="n">
        <v>13</v>
      </c>
      <c r="G2885" s="15" t="n">
        <v>0.224698511574792</v>
      </c>
      <c r="H2885" s="16" t="n">
        <v>0.109592786697269</v>
      </c>
    </row>
    <row r="2886">
      <c r="A2886" t="s">
        <v>30</v>
      </c>
      <c r="B2886" t="s">
        <v>1190</v>
      </c>
      <c r="C2886" t="s">
        <v>1192</v>
      </c>
      <c r="D2886" t="s">
        <v>1462</v>
      </c>
      <c r="E2886" s="14" t="n">
        <v>0.25</v>
      </c>
      <c r="F2886" s="17" t="n">
        <v>47</v>
      </c>
      <c r="G2886" s="15" t="n">
        <v>-0.0174391184360313</v>
      </c>
      <c r="H2886" s="16" t="n">
        <v>0.249391012564956</v>
      </c>
    </row>
    <row r="2887">
      <c r="A2887" t="s">
        <v>31</v>
      </c>
      <c r="B2887" t="s">
        <v>1193</v>
      </c>
      <c r="C2887" t="s">
        <v>1194</v>
      </c>
      <c r="D2887" t="s">
        <v>1462</v>
      </c>
      <c r="E2887" s="14" t="n">
        <v>0.25</v>
      </c>
      <c r="F2887" s="17" t="n">
        <v>176</v>
      </c>
      <c r="G2887" s="15" t="n">
        <v>0.247567017185393</v>
      </c>
      <c r="H2887" s="16" t="n">
        <v>-0.0347932752400164</v>
      </c>
    </row>
    <row r="2888">
      <c r="A2888" t="s">
        <v>31</v>
      </c>
      <c r="B2888" t="s">
        <v>1193</v>
      </c>
      <c r="C2888" t="s">
        <v>1195</v>
      </c>
      <c r="D2888" t="s">
        <v>1462</v>
      </c>
      <c r="E2888" s="14" t="n">
        <v>0.25</v>
      </c>
      <c r="F2888" s="17" t="n">
        <v>40</v>
      </c>
      <c r="G2888" s="15" t="n">
        <v>0.0434120444167326</v>
      </c>
      <c r="H2888" s="16" t="n">
        <v>0.246201938253052</v>
      </c>
    </row>
    <row r="2889">
      <c r="A2889" t="s">
        <v>31</v>
      </c>
      <c r="B2889" t="s">
        <v>1196</v>
      </c>
      <c r="C2889" t="s">
        <v>1197</v>
      </c>
      <c r="D2889" t="s">
        <v>1462</v>
      </c>
      <c r="E2889" s="14" t="n">
        <v>0.25</v>
      </c>
      <c r="F2889" s="17" t="n">
        <v>125</v>
      </c>
      <c r="G2889" s="15" t="n">
        <v>-0.0855050358314173</v>
      </c>
      <c r="H2889" s="16" t="n">
        <v>-0.234923155196477</v>
      </c>
    </row>
    <row r="2890">
      <c r="A2890" t="s">
        <v>32</v>
      </c>
      <c r="B2890" t="s">
        <v>1198</v>
      </c>
      <c r="C2890" t="s">
        <v>1199</v>
      </c>
      <c r="D2890" t="s">
        <v>1462</v>
      </c>
      <c r="E2890" s="14" t="n">
        <v>0</v>
      </c>
      <c r="F2890" s="17" t="n">
        <v>32</v>
      </c>
      <c r="G2890" s="15" t="n">
        <v>0</v>
      </c>
      <c r="H2890" s="16" t="n">
        <v>0</v>
      </c>
    </row>
    <row r="2891">
      <c r="A2891" t="s">
        <v>32</v>
      </c>
      <c r="B2891" t="s">
        <v>1200</v>
      </c>
      <c r="C2891" t="s">
        <v>1201</v>
      </c>
      <c r="D2891" t="s">
        <v>1462</v>
      </c>
      <c r="E2891" s="14" t="n">
        <v>0</v>
      </c>
      <c r="F2891" s="17" t="n">
        <v>153</v>
      </c>
      <c r="G2891" s="15" t="n">
        <v>0</v>
      </c>
      <c r="H2891" s="16" t="n">
        <v>0</v>
      </c>
    </row>
    <row r="2892">
      <c r="A2892" t="s">
        <v>32</v>
      </c>
      <c r="B2892" t="s">
        <v>1202</v>
      </c>
      <c r="C2892" t="s">
        <v>1203</v>
      </c>
      <c r="D2892" t="s">
        <v>1462</v>
      </c>
      <c r="E2892" s="14" t="n">
        <v>0.25</v>
      </c>
      <c r="F2892" s="17" t="n">
        <v>135</v>
      </c>
      <c r="G2892" s="15" t="n">
        <v>0</v>
      </c>
      <c r="H2892" s="16" t="n">
        <v>-0.25</v>
      </c>
    </row>
    <row r="2893">
      <c r="A2893" t="s">
        <v>32</v>
      </c>
      <c r="B2893" t="s">
        <v>1202</v>
      </c>
      <c r="C2893" t="s">
        <v>1204</v>
      </c>
      <c r="D2893" t="s">
        <v>1462</v>
      </c>
      <c r="E2893" s="14" t="n">
        <v>0.25</v>
      </c>
      <c r="F2893" s="17" t="n">
        <v>42</v>
      </c>
      <c r="G2893" s="15" t="n">
        <v>0.0261321158169134</v>
      </c>
      <c r="H2893" s="16" t="n">
        <v>0.248630473842068</v>
      </c>
    </row>
    <row r="2894">
      <c r="A2894" t="s">
        <v>30</v>
      </c>
      <c r="B2894" t="s">
        <v>1205</v>
      </c>
      <c r="C2894" t="s">
        <v>1206</v>
      </c>
      <c r="D2894" t="s">
        <v>1462</v>
      </c>
      <c r="E2894" s="14" t="n">
        <v>0</v>
      </c>
      <c r="F2894" s="17" t="n">
        <v>42</v>
      </c>
      <c r="G2894" s="15" t="n">
        <v>0</v>
      </c>
      <c r="H2894" s="16" t="n">
        <v>0</v>
      </c>
    </row>
    <row r="2895">
      <c r="A2895" t="s">
        <v>30</v>
      </c>
      <c r="B2895" t="s">
        <v>1205</v>
      </c>
      <c r="C2895" t="s">
        <v>1207</v>
      </c>
      <c r="D2895" t="s">
        <v>1462</v>
      </c>
      <c r="E2895" s="14" t="n">
        <v>0</v>
      </c>
      <c r="F2895" s="17" t="n">
        <v>91</v>
      </c>
      <c r="G2895" s="15" t="n">
        <v>0</v>
      </c>
      <c r="H2895" s="16" t="n">
        <v>0</v>
      </c>
    </row>
    <row r="2896">
      <c r="A2896" t="s">
        <v>30</v>
      </c>
      <c r="B2896" t="s">
        <v>1208</v>
      </c>
      <c r="C2896" t="s">
        <v>1209</v>
      </c>
      <c r="D2896" t="s">
        <v>1462</v>
      </c>
      <c r="E2896" s="14" t="n">
        <v>0.25</v>
      </c>
      <c r="F2896" s="17" t="n">
        <v>145</v>
      </c>
      <c r="G2896" s="15" t="n">
        <v>0.0855050358314172</v>
      </c>
      <c r="H2896" s="16" t="n">
        <v>-0.234923155196477</v>
      </c>
    </row>
    <row r="2897">
      <c r="A2897" t="s">
        <v>30</v>
      </c>
      <c r="B2897" t="s">
        <v>1210</v>
      </c>
      <c r="C2897" t="s">
        <v>1211</v>
      </c>
      <c r="D2897" t="s">
        <v>1462</v>
      </c>
      <c r="E2897" s="14" t="n">
        <v>0.25</v>
      </c>
      <c r="F2897" s="17" t="n">
        <v>132</v>
      </c>
      <c r="G2897" s="15" t="n">
        <v>-0.0261321158169136</v>
      </c>
      <c r="H2897" s="16" t="n">
        <v>-0.248630473842068</v>
      </c>
    </row>
    <row r="2898">
      <c r="A2898" t="s">
        <v>32</v>
      </c>
      <c r="B2898" t="s">
        <v>1212</v>
      </c>
      <c r="C2898" t="s">
        <v>1213</v>
      </c>
      <c r="D2898" t="s">
        <v>1462</v>
      </c>
      <c r="E2898" s="14" t="n">
        <v>0.25</v>
      </c>
      <c r="F2898" s="17" t="n">
        <v>39</v>
      </c>
      <c r="G2898" s="15" t="n">
        <v>0.0519779227044398</v>
      </c>
      <c r="H2898" s="16" t="n">
        <v>0.244536900183451</v>
      </c>
    </row>
    <row r="2899">
      <c r="A2899" t="s">
        <v>32</v>
      </c>
      <c r="B2899" t="s">
        <v>1212</v>
      </c>
      <c r="C2899" t="s">
        <v>1214</v>
      </c>
      <c r="D2899" t="s">
        <v>1462</v>
      </c>
      <c r="E2899" s="14" t="n">
        <v>0.5</v>
      </c>
      <c r="F2899" s="17" t="n">
        <v>24</v>
      </c>
      <c r="G2899" s="15" t="n">
        <v>0.334565303179429</v>
      </c>
      <c r="H2899" s="16" t="n">
        <v>0.371572412738697</v>
      </c>
    </row>
    <row r="2900">
      <c r="A2900" t="s">
        <v>31</v>
      </c>
      <c r="B2900" t="s">
        <v>1215</v>
      </c>
      <c r="C2900" t="s">
        <v>1216</v>
      </c>
      <c r="D2900" t="s">
        <v>1462</v>
      </c>
      <c r="E2900" s="14" t="n">
        <v>0.5</v>
      </c>
      <c r="F2900" s="17" t="n">
        <v>22</v>
      </c>
      <c r="G2900" s="15" t="n">
        <v>0.359669900169326</v>
      </c>
      <c r="H2900" s="16" t="n">
        <v>0.347329185229499</v>
      </c>
    </row>
    <row r="2901">
      <c r="A2901" t="s">
        <v>31</v>
      </c>
      <c r="B2901" t="s">
        <v>1215</v>
      </c>
      <c r="C2901" t="s">
        <v>1217</v>
      </c>
      <c r="D2901" t="s">
        <v>1462</v>
      </c>
      <c r="E2901" s="14" t="n">
        <v>0.25</v>
      </c>
      <c r="F2901" s="17" t="n">
        <v>165</v>
      </c>
      <c r="G2901" s="15" t="n">
        <v>0.21650635094611</v>
      </c>
      <c r="H2901" s="16" t="n">
        <v>-0.125</v>
      </c>
    </row>
    <row r="2902">
      <c r="A2902" t="s">
        <v>32</v>
      </c>
      <c r="B2902" t="s">
        <v>1218</v>
      </c>
      <c r="C2902" t="s">
        <v>1219</v>
      </c>
      <c r="D2902" t="s">
        <v>1462</v>
      </c>
      <c r="E2902" s="14" t="n">
        <v>0.25</v>
      </c>
      <c r="F2902" s="17" t="n">
        <v>116</v>
      </c>
      <c r="G2902" s="15" t="n">
        <v>-0.153915368831415</v>
      </c>
      <c r="H2902" s="16" t="n">
        <v>-0.197002688401681</v>
      </c>
    </row>
    <row r="2903">
      <c r="A2903" t="s">
        <v>31</v>
      </c>
      <c r="B2903" t="s">
        <v>1220</v>
      </c>
      <c r="C2903" t="s">
        <v>1221</v>
      </c>
      <c r="D2903" t="s">
        <v>1462</v>
      </c>
      <c r="E2903" s="14" t="n">
        <v>0.25</v>
      </c>
      <c r="F2903" s="17" t="n">
        <v>31</v>
      </c>
      <c r="G2903" s="15" t="n">
        <v>0.117367890696473</v>
      </c>
      <c r="H2903" s="16" t="n">
        <v>0.220736898214732</v>
      </c>
    </row>
    <row r="2904">
      <c r="A2904" t="s">
        <v>31</v>
      </c>
      <c r="B2904" t="s">
        <v>1220</v>
      </c>
      <c r="C2904" t="s">
        <v>1222</v>
      </c>
      <c r="D2904" t="s">
        <v>1462</v>
      </c>
      <c r="E2904" s="14" t="n">
        <v>0.5</v>
      </c>
      <c r="F2904" s="17" t="n">
        <v>150</v>
      </c>
      <c r="G2904" s="15" t="n">
        <v>0.25</v>
      </c>
      <c r="H2904" s="16" t="n">
        <v>-0.433012701892219</v>
      </c>
    </row>
    <row r="2905">
      <c r="A2905" t="s">
        <v>30</v>
      </c>
      <c r="B2905" t="s">
        <v>1223</v>
      </c>
      <c r="C2905" t="s">
        <v>1224</v>
      </c>
      <c r="D2905" t="s">
        <v>1462</v>
      </c>
      <c r="E2905" s="14" t="n">
        <v>0.75</v>
      </c>
      <c r="F2905" s="17" t="n">
        <v>131</v>
      </c>
      <c r="G2905" s="15" t="n">
        <v>-0.104379825720049</v>
      </c>
      <c r="H2905" s="16" t="n">
        <v>-0.742701051556178</v>
      </c>
    </row>
    <row r="2906">
      <c r="A2906" t="s">
        <v>31</v>
      </c>
      <c r="B2906" t="s">
        <v>1225</v>
      </c>
      <c r="C2906" t="s">
        <v>1226</v>
      </c>
      <c r="D2906" t="s">
        <v>1462</v>
      </c>
      <c r="E2906" s="14" t="n">
        <v>0.25</v>
      </c>
      <c r="F2906" s="17" t="n">
        <v>2</v>
      </c>
      <c r="G2906" s="15" t="n">
        <v>0.249391012564956</v>
      </c>
      <c r="H2906" s="16" t="n">
        <v>0.0174391184360313</v>
      </c>
    </row>
    <row r="2907">
      <c r="A2907" t="s">
        <v>31</v>
      </c>
      <c r="B2907" t="s">
        <v>1225</v>
      </c>
      <c r="C2907" t="s">
        <v>1227</v>
      </c>
      <c r="D2907" t="s">
        <v>1462</v>
      </c>
      <c r="E2907" s="14" t="n">
        <v>0.25</v>
      </c>
      <c r="F2907" s="17" t="n">
        <v>147</v>
      </c>
      <c r="G2907" s="15" t="n">
        <v>0.10168416076895</v>
      </c>
      <c r="H2907" s="16" t="n">
        <v>-0.22838636441065</v>
      </c>
    </row>
    <row r="2908">
      <c r="A2908" t="s">
        <v>31</v>
      </c>
      <c r="B2908" t="s">
        <v>1228</v>
      </c>
      <c r="C2908" t="s">
        <v>1229</v>
      </c>
      <c r="D2908" t="s">
        <v>1462</v>
      </c>
      <c r="E2908" s="14" t="n">
        <v>0.25</v>
      </c>
      <c r="F2908" s="17" t="n">
        <v>135</v>
      </c>
      <c r="G2908" s="15" t="n">
        <v>0</v>
      </c>
      <c r="H2908" s="16" t="n">
        <v>-0.25</v>
      </c>
    </row>
    <row r="2909">
      <c r="A2909" t="s">
        <v>31</v>
      </c>
      <c r="B2909" t="s">
        <v>1228</v>
      </c>
      <c r="C2909" t="s">
        <v>1230</v>
      </c>
      <c r="D2909" t="s">
        <v>1462</v>
      </c>
      <c r="E2909" s="14" t="n">
        <v>0.25</v>
      </c>
      <c r="F2909" s="17" t="n">
        <v>32</v>
      </c>
      <c r="G2909" s="15" t="n">
        <v>0.109592786697269</v>
      </c>
      <c r="H2909" s="16" t="n">
        <v>0.224698511574792</v>
      </c>
    </row>
    <row r="2910">
      <c r="A2910" t="s">
        <v>30</v>
      </c>
      <c r="B2910" t="s">
        <v>1231</v>
      </c>
      <c r="C2910" t="s">
        <v>1232</v>
      </c>
      <c r="D2910" t="s">
        <v>1462</v>
      </c>
      <c r="E2910" s="14" t="n">
        <v>0.5</v>
      </c>
      <c r="F2910" s="17" t="n">
        <v>127</v>
      </c>
      <c r="G2910" s="15" t="n">
        <v>-0.137818677908499</v>
      </c>
      <c r="H2910" s="16" t="n">
        <v>-0.48063084796916</v>
      </c>
    </row>
    <row r="2911">
      <c r="A2911" t="s">
        <v>30</v>
      </c>
      <c r="B2911" t="s">
        <v>1233</v>
      </c>
      <c r="C2911" t="s">
        <v>1234</v>
      </c>
      <c r="D2911" t="s">
        <v>1462</v>
      </c>
      <c r="E2911" s="14" t="n">
        <v>0</v>
      </c>
      <c r="F2911" s="17" t="n">
        <v>156</v>
      </c>
      <c r="G2911" s="15" t="n">
        <v>0</v>
      </c>
      <c r="H2911" s="16" t="n">
        <v>0</v>
      </c>
    </row>
    <row r="2912">
      <c r="A2912" t="s">
        <v>30</v>
      </c>
      <c r="B2912" t="s">
        <v>1233</v>
      </c>
      <c r="C2912" t="s">
        <v>1235</v>
      </c>
      <c r="D2912" t="s">
        <v>1462</v>
      </c>
      <c r="E2912" s="14" t="n">
        <v>0.25</v>
      </c>
      <c r="F2912" s="17" t="n">
        <v>112</v>
      </c>
      <c r="G2912" s="15" t="n">
        <v>-0.179834950084663</v>
      </c>
      <c r="H2912" s="16" t="n">
        <v>-0.173664592614749</v>
      </c>
    </row>
    <row r="2913">
      <c r="A2913" t="s">
        <v>30</v>
      </c>
      <c r="B2913" t="s">
        <v>1236</v>
      </c>
      <c r="C2913" t="s">
        <v>1237</v>
      </c>
      <c r="D2913" t="s">
        <v>1462</v>
      </c>
      <c r="E2913" s="14" t="n">
        <v>0.25</v>
      </c>
      <c r="F2913" s="17" t="n">
        <v>156</v>
      </c>
      <c r="G2913" s="15" t="n">
        <v>0.167282651589715</v>
      </c>
      <c r="H2913" s="16" t="n">
        <v>-0.185786206369349</v>
      </c>
    </row>
    <row r="2914">
      <c r="A2914" t="s">
        <v>32</v>
      </c>
      <c r="B2914" t="s">
        <v>1238</v>
      </c>
      <c r="C2914" t="s">
        <v>1239</v>
      </c>
      <c r="D2914" t="s">
        <v>1462</v>
      </c>
      <c r="E2914" s="14" t="n">
        <v>0.5</v>
      </c>
      <c r="F2914" s="17" t="n">
        <v>133</v>
      </c>
      <c r="G2914" s="15" t="n">
        <v>-0.0348782368720628</v>
      </c>
      <c r="H2914" s="16" t="n">
        <v>-0.498782025129912</v>
      </c>
    </row>
    <row r="2915">
      <c r="A2915" t="s">
        <v>32</v>
      </c>
      <c r="B2915" t="s">
        <v>1238</v>
      </c>
      <c r="C2915" t="s">
        <v>1240</v>
      </c>
      <c r="D2915" t="s">
        <v>1462</v>
      </c>
      <c r="E2915" s="14" t="n">
        <v>0.5</v>
      </c>
      <c r="F2915" s="17" t="n">
        <v>35</v>
      </c>
      <c r="G2915" s="15" t="n">
        <v>0.171010071662834</v>
      </c>
      <c r="H2915" s="16" t="n">
        <v>0.469846310392954</v>
      </c>
    </row>
    <row r="2916">
      <c r="A2916" t="s">
        <v>30</v>
      </c>
      <c r="B2916" t="s">
        <v>1241</v>
      </c>
      <c r="C2916" t="s">
        <v>1242</v>
      </c>
      <c r="D2916" t="s">
        <v>1462</v>
      </c>
      <c r="E2916" s="14" t="n">
        <v>0</v>
      </c>
      <c r="F2916" s="17" t="n">
        <v>76</v>
      </c>
      <c r="G2916" s="15" t="n">
        <v>0</v>
      </c>
      <c r="H2916" s="16" t="n">
        <v>0</v>
      </c>
    </row>
    <row r="2917">
      <c r="A2917" t="s">
        <v>30</v>
      </c>
      <c r="B2917" t="s">
        <v>1243</v>
      </c>
      <c r="C2917" t="s">
        <v>1244</v>
      </c>
      <c r="D2917" t="s">
        <v>1462</v>
      </c>
      <c r="E2917" s="14" t="n">
        <v>0.5</v>
      </c>
      <c r="F2917" s="17" t="n">
        <v>168</v>
      </c>
      <c r="G2917" s="15" t="n">
        <v>0.4567727288213</v>
      </c>
      <c r="H2917" s="16" t="n">
        <v>-0.2033683215379</v>
      </c>
    </row>
    <row r="2918">
      <c r="A2918" t="s">
        <v>30</v>
      </c>
      <c r="B2918" t="s">
        <v>1243</v>
      </c>
      <c r="C2918" t="s">
        <v>1245</v>
      </c>
      <c r="D2918" t="s">
        <v>1462</v>
      </c>
      <c r="E2918" s="14" t="n">
        <v>0.5</v>
      </c>
      <c r="F2918" s="17" t="n">
        <v>40</v>
      </c>
      <c r="G2918" s="15" t="n">
        <v>0.0868240888334652</v>
      </c>
      <c r="H2918" s="16" t="n">
        <v>0.492403876506104</v>
      </c>
    </row>
    <row r="2919">
      <c r="A2919" t="s">
        <v>31</v>
      </c>
      <c r="B2919" t="s">
        <v>1246</v>
      </c>
      <c r="C2919" t="s">
        <v>1247</v>
      </c>
      <c r="D2919" t="s">
        <v>1462</v>
      </c>
      <c r="E2919" s="14" t="n">
        <v>0</v>
      </c>
      <c r="F2919" s="17" t="n">
        <v>81</v>
      </c>
      <c r="G2919" s="15" t="n">
        <v>0</v>
      </c>
      <c r="H2919" s="16" t="n">
        <v>0</v>
      </c>
    </row>
    <row r="2920">
      <c r="A2920" t="s">
        <v>31</v>
      </c>
      <c r="B2920" t="s">
        <v>1248</v>
      </c>
      <c r="C2920" t="s">
        <v>1249</v>
      </c>
      <c r="D2920" t="s">
        <v>1462</v>
      </c>
      <c r="E2920" s="14" t="n">
        <v>0.25</v>
      </c>
      <c r="F2920" s="17" t="n">
        <v>49</v>
      </c>
      <c r="G2920" s="15" t="n">
        <v>-0.0347932752400163</v>
      </c>
      <c r="H2920" s="16" t="n">
        <v>0.247567017185393</v>
      </c>
    </row>
    <row r="2921">
      <c r="A2921" t="s">
        <v>30</v>
      </c>
      <c r="B2921" t="s">
        <v>1250</v>
      </c>
      <c r="C2921" t="s">
        <v>1251</v>
      </c>
      <c r="D2921" t="s">
        <v>1462</v>
      </c>
      <c r="E2921" s="14" t="n">
        <v>0.5</v>
      </c>
      <c r="F2921" s="17" t="n">
        <v>91</v>
      </c>
      <c r="G2921" s="15" t="n">
        <v>-0.499695413509548</v>
      </c>
      <c r="H2921" s="16" t="n">
        <v>-0.0174497483512506</v>
      </c>
    </row>
    <row r="2922">
      <c r="A2922" t="s">
        <v>30</v>
      </c>
      <c r="B2922" t="s">
        <v>1250</v>
      </c>
      <c r="C2922" t="s">
        <v>1252</v>
      </c>
      <c r="D2922" t="s">
        <v>1462</v>
      </c>
      <c r="E2922" s="14" t="n">
        <v>0.25</v>
      </c>
      <c r="F2922" s="17" t="n">
        <v>87</v>
      </c>
      <c r="G2922" s="15" t="n">
        <v>-0.248630473842068</v>
      </c>
      <c r="H2922" s="16" t="n">
        <v>0.0261321158169134</v>
      </c>
    </row>
    <row r="2923">
      <c r="A2923" t="s">
        <v>32</v>
      </c>
      <c r="B2923" t="s">
        <v>1253</v>
      </c>
      <c r="C2923" t="s">
        <v>1254</v>
      </c>
      <c r="D2923" t="s">
        <v>1462</v>
      </c>
      <c r="E2923" s="14" t="n">
        <v>0.5</v>
      </c>
      <c r="F2923" s="17" t="n">
        <v>24</v>
      </c>
      <c r="G2923" s="15" t="n">
        <v>0.334565303179429</v>
      </c>
      <c r="H2923" s="16" t="n">
        <v>0.371572412738697</v>
      </c>
    </row>
    <row r="2924">
      <c r="A2924" t="s">
        <v>32</v>
      </c>
      <c r="B2924" t="s">
        <v>1253</v>
      </c>
      <c r="C2924" t="s">
        <v>1255</v>
      </c>
      <c r="D2924" t="s">
        <v>1462</v>
      </c>
      <c r="E2924" s="14" t="n">
        <v>0.25</v>
      </c>
      <c r="F2924" s="17" t="n">
        <v>155</v>
      </c>
      <c r="G2924" s="15" t="n">
        <v>0.160696902421635</v>
      </c>
      <c r="H2924" s="16" t="n">
        <v>-0.191511110779744</v>
      </c>
    </row>
    <row r="2925">
      <c r="A2925" t="s">
        <v>32</v>
      </c>
      <c r="B2925" t="s">
        <v>1256</v>
      </c>
      <c r="C2925" t="s">
        <v>1257</v>
      </c>
      <c r="D2925" t="s">
        <v>1462</v>
      </c>
      <c r="E2925" s="14" t="n">
        <v>0</v>
      </c>
      <c r="F2925" s="17" t="n">
        <v>124</v>
      </c>
      <c r="G2925" s="15" t="n">
        <v>0</v>
      </c>
      <c r="H2925" s="16" t="n">
        <v>0</v>
      </c>
    </row>
    <row r="2926">
      <c r="A2926" t="s">
        <v>32</v>
      </c>
      <c r="B2926" t="s">
        <v>1256</v>
      </c>
      <c r="C2926" t="s">
        <v>1258</v>
      </c>
      <c r="D2926" t="s">
        <v>1462</v>
      </c>
      <c r="E2926" s="14" t="n">
        <v>0.25</v>
      </c>
      <c r="F2926" s="17" t="n">
        <v>153</v>
      </c>
      <c r="G2926" s="15" t="n">
        <v>0.146946313073118</v>
      </c>
      <c r="H2926" s="16" t="n">
        <v>-0.202254248593737</v>
      </c>
    </row>
    <row r="2927">
      <c r="A2927" t="s">
        <v>31</v>
      </c>
      <c r="B2927" t="s">
        <v>1259</v>
      </c>
      <c r="C2927" t="s">
        <v>1260</v>
      </c>
      <c r="D2927" t="s">
        <v>1462</v>
      </c>
      <c r="E2927" s="14" t="n">
        <v>0</v>
      </c>
      <c r="F2927" s="17" t="n">
        <v>24</v>
      </c>
      <c r="G2927" s="15" t="n">
        <v>0</v>
      </c>
      <c r="H2927" s="16" t="n">
        <v>0</v>
      </c>
    </row>
    <row r="2928">
      <c r="A2928" t="s">
        <v>31</v>
      </c>
      <c r="B2928" t="s">
        <v>1259</v>
      </c>
      <c r="C2928" t="s">
        <v>1261</v>
      </c>
      <c r="D2928" t="s">
        <v>1462</v>
      </c>
      <c r="E2928" s="14" t="n">
        <v>0.25</v>
      </c>
      <c r="F2928" s="17" t="n">
        <v>48</v>
      </c>
      <c r="G2928" s="15" t="n">
        <v>-0.0261321158169133</v>
      </c>
      <c r="H2928" s="16" t="n">
        <v>0.248630473842068</v>
      </c>
    </row>
    <row r="2929">
      <c r="A2929" t="s">
        <v>30</v>
      </c>
      <c r="B2929" t="s">
        <v>1262</v>
      </c>
      <c r="C2929" t="s">
        <v>1263</v>
      </c>
      <c r="D2929" t="s">
        <v>1462</v>
      </c>
      <c r="E2929" s="14" t="n">
        <v>0.75</v>
      </c>
      <c r="F2929" s="17" t="n">
        <v>152</v>
      </c>
      <c r="G2929" s="15" t="n">
        <v>0.41939467760306</v>
      </c>
      <c r="H2929" s="16" t="n">
        <v>-0.621778179416281</v>
      </c>
    </row>
    <row r="2930">
      <c r="A2930" t="s">
        <v>30</v>
      </c>
      <c r="B2930" t="s">
        <v>1262</v>
      </c>
      <c r="C2930" t="s">
        <v>1264</v>
      </c>
      <c r="D2930" t="s">
        <v>1462</v>
      </c>
      <c r="E2930" s="14" t="n">
        <v>0.75</v>
      </c>
      <c r="F2930" s="17" t="n">
        <v>26</v>
      </c>
      <c r="G2930" s="15" t="n">
        <v>0.461746106494244</v>
      </c>
      <c r="H2930" s="16" t="n">
        <v>0.591008065205041</v>
      </c>
    </row>
    <row r="2931">
      <c r="A2931" t="s">
        <v>30</v>
      </c>
      <c r="B2931" t="s">
        <v>1265</v>
      </c>
      <c r="C2931" t="s">
        <v>1266</v>
      </c>
      <c r="D2931" t="s">
        <v>1462</v>
      </c>
      <c r="E2931" s="14" t="n">
        <v>0.25</v>
      </c>
      <c r="F2931" s="17" t="n">
        <v>48</v>
      </c>
      <c r="G2931" s="15" t="n">
        <v>-0.0261321158169133</v>
      </c>
      <c r="H2931" s="16" t="n">
        <v>0.248630473842068</v>
      </c>
    </row>
    <row r="2932">
      <c r="A2932" t="s">
        <v>30</v>
      </c>
      <c r="B2932" t="s">
        <v>1265</v>
      </c>
      <c r="C2932" t="s">
        <v>1267</v>
      </c>
      <c r="D2932" t="s">
        <v>1462</v>
      </c>
      <c r="E2932" s="14" t="n">
        <v>0.5</v>
      </c>
      <c r="F2932" s="17" t="n">
        <v>177</v>
      </c>
      <c r="G2932" s="15" t="n">
        <v>0.497260947684137</v>
      </c>
      <c r="H2932" s="16" t="n">
        <v>-0.0522642316338269</v>
      </c>
    </row>
    <row r="2933">
      <c r="A2933" t="s">
        <v>32</v>
      </c>
      <c r="B2933" t="s">
        <v>1268</v>
      </c>
      <c r="C2933" t="s">
        <v>1269</v>
      </c>
      <c r="D2933" t="s">
        <v>1462</v>
      </c>
      <c r="E2933" s="14" t="n">
        <v>0.5</v>
      </c>
      <c r="F2933" s="17" t="n">
        <v>152</v>
      </c>
      <c r="G2933" s="15" t="n">
        <v>0.279596451735374</v>
      </c>
      <c r="H2933" s="16" t="n">
        <v>-0.414518786277521</v>
      </c>
    </row>
    <row r="2934">
      <c r="A2934" t="s">
        <v>32</v>
      </c>
      <c r="B2934" t="s">
        <v>1268</v>
      </c>
      <c r="C2934" t="s">
        <v>1270</v>
      </c>
      <c r="D2934" t="s">
        <v>1462</v>
      </c>
      <c r="E2934" s="14" t="n">
        <v>0.5</v>
      </c>
      <c r="F2934" s="17" t="n">
        <v>42</v>
      </c>
      <c r="G2934" s="15" t="n">
        <v>0.0522642316338267</v>
      </c>
      <c r="H2934" s="16" t="n">
        <v>0.497260947684137</v>
      </c>
    </row>
    <row r="2935">
      <c r="A2935" t="s">
        <v>30</v>
      </c>
      <c r="B2935" t="s">
        <v>1271</v>
      </c>
      <c r="C2935" t="s">
        <v>1272</v>
      </c>
      <c r="D2935" t="s">
        <v>1462</v>
      </c>
      <c r="E2935" s="14" t="n">
        <v>0.25</v>
      </c>
      <c r="F2935" s="17" t="n">
        <v>157</v>
      </c>
      <c r="G2935" s="15" t="n">
        <v>0.173664592614749</v>
      </c>
      <c r="H2935" s="16" t="n">
        <v>-0.179834950084663</v>
      </c>
    </row>
    <row r="2936">
      <c r="A2936" t="s">
        <v>30</v>
      </c>
      <c r="B2936" t="s">
        <v>1271</v>
      </c>
      <c r="C2936" t="s">
        <v>1273</v>
      </c>
      <c r="D2936" t="s">
        <v>1462</v>
      </c>
      <c r="E2936" s="14" t="n">
        <v>0</v>
      </c>
      <c r="F2936" s="17" t="n">
        <v>20</v>
      </c>
      <c r="G2936" s="15" t="n">
        <v>0</v>
      </c>
      <c r="H2936" s="16" t="n">
        <v>0</v>
      </c>
    </row>
    <row r="2937">
      <c r="A2937" t="s">
        <v>30</v>
      </c>
      <c r="B2937" t="s">
        <v>1274</v>
      </c>
      <c r="C2937" t="s">
        <v>1275</v>
      </c>
      <c r="D2937" t="s">
        <v>1462</v>
      </c>
      <c r="E2937" s="14" t="n">
        <v>0.25</v>
      </c>
      <c r="F2937" s="17" t="n">
        <v>54</v>
      </c>
      <c r="G2937" s="15" t="n">
        <v>-0.0772542485937368</v>
      </c>
      <c r="H2937" s="16" t="n">
        <v>0.237764129073788</v>
      </c>
    </row>
    <row r="2938">
      <c r="A2938" t="s">
        <v>30</v>
      </c>
      <c r="B2938" t="s">
        <v>1274</v>
      </c>
      <c r="C2938" t="s">
        <v>1276</v>
      </c>
      <c r="D2938" t="s">
        <v>1462</v>
      </c>
      <c r="E2938" s="14" t="n">
        <v>0.25</v>
      </c>
      <c r="F2938" s="17" t="n">
        <v>154</v>
      </c>
      <c r="G2938" s="15" t="n">
        <v>0.153915368831414</v>
      </c>
      <c r="H2938" s="16" t="n">
        <v>-0.197002688401681</v>
      </c>
    </row>
    <row r="2939">
      <c r="A2939" t="s">
        <v>31</v>
      </c>
      <c r="B2939" t="s">
        <v>1277</v>
      </c>
      <c r="C2939" t="s">
        <v>1278</v>
      </c>
      <c r="D2939" t="s">
        <v>1462</v>
      </c>
      <c r="E2939" s="14" t="n">
        <v>0.25</v>
      </c>
      <c r="F2939" s="17" t="n">
        <v>108</v>
      </c>
      <c r="G2939" s="15" t="n">
        <v>-0.202254248593737</v>
      </c>
      <c r="H2939" s="16" t="n">
        <v>-0.146946313073118</v>
      </c>
    </row>
    <row r="2940">
      <c r="A2940" t="s">
        <v>31</v>
      </c>
      <c r="B2940" t="s">
        <v>1277</v>
      </c>
      <c r="C2940" t="s">
        <v>1279</v>
      </c>
      <c r="D2940" t="s">
        <v>1462</v>
      </c>
      <c r="E2940" s="14" t="n">
        <v>0.25</v>
      </c>
      <c r="F2940" s="17" t="n">
        <v>75</v>
      </c>
      <c r="G2940" s="15" t="n">
        <v>-0.21650635094611</v>
      </c>
      <c r="H2940" s="16" t="n">
        <v>0.125</v>
      </c>
    </row>
    <row r="2941">
      <c r="A2941" t="s">
        <v>32</v>
      </c>
      <c r="B2941" t="s">
        <v>1280</v>
      </c>
      <c r="C2941" t="s">
        <v>1281</v>
      </c>
      <c r="D2941" t="s">
        <v>1462</v>
      </c>
      <c r="E2941" s="14" t="n">
        <v>0</v>
      </c>
      <c r="F2941" s="17" t="n">
        <v>85</v>
      </c>
      <c r="G2941" s="15" t="n">
        <v>0</v>
      </c>
      <c r="H2941" s="16" t="n">
        <v>0</v>
      </c>
    </row>
    <row r="2942">
      <c r="A2942" t="s">
        <v>30</v>
      </c>
      <c r="B2942" t="s">
        <v>1282</v>
      </c>
      <c r="C2942" t="s">
        <v>1283</v>
      </c>
      <c r="D2942" t="s">
        <v>1462</v>
      </c>
      <c r="E2942" s="14" t="n">
        <v>0.25</v>
      </c>
      <c r="F2942" s="17" t="n">
        <v>68</v>
      </c>
      <c r="G2942" s="15" t="n">
        <v>-0.179834950084663</v>
      </c>
      <c r="H2942" s="16" t="n">
        <v>0.173664592614749</v>
      </c>
    </row>
    <row r="2943">
      <c r="A2943" t="s">
        <v>30</v>
      </c>
      <c r="B2943" t="s">
        <v>1282</v>
      </c>
      <c r="C2943" t="s">
        <v>1284</v>
      </c>
      <c r="D2943" t="s">
        <v>1462</v>
      </c>
      <c r="E2943" s="14" t="n">
        <v>0.25</v>
      </c>
      <c r="F2943" s="17" t="n">
        <v>41</v>
      </c>
      <c r="G2943" s="15" t="n">
        <v>0.0347932752400164</v>
      </c>
      <c r="H2943" s="16" t="n">
        <v>0.247567017185393</v>
      </c>
    </row>
    <row r="2944">
      <c r="A2944" t="s">
        <v>30</v>
      </c>
      <c r="B2944" t="s">
        <v>1285</v>
      </c>
      <c r="C2944" t="s">
        <v>1286</v>
      </c>
      <c r="D2944" t="s">
        <v>1462</v>
      </c>
      <c r="E2944" s="14" t="n">
        <v>0.25</v>
      </c>
      <c r="F2944" s="17" t="n">
        <v>117</v>
      </c>
      <c r="G2944" s="15" t="n">
        <v>-0.146946313073118</v>
      </c>
      <c r="H2944" s="16" t="n">
        <v>-0.202254248593737</v>
      </c>
    </row>
    <row r="2945">
      <c r="A2945" t="s">
        <v>31</v>
      </c>
      <c r="B2945" t="s">
        <v>1287</v>
      </c>
      <c r="C2945" t="s">
        <v>1288</v>
      </c>
      <c r="D2945" t="s">
        <v>1462</v>
      </c>
      <c r="E2945" s="14" t="n">
        <v>0</v>
      </c>
      <c r="F2945" s="17" t="n">
        <v>113</v>
      </c>
      <c r="G2945" s="15" t="n">
        <v>0</v>
      </c>
      <c r="H2945" s="16" t="n">
        <v>0</v>
      </c>
    </row>
    <row r="2946">
      <c r="A2946" t="s">
        <v>31</v>
      </c>
      <c r="B2946" t="s">
        <v>1287</v>
      </c>
      <c r="C2946" t="s">
        <v>1289</v>
      </c>
      <c r="D2946" t="s">
        <v>1462</v>
      </c>
      <c r="E2946" s="14" t="n">
        <v>0.25</v>
      </c>
      <c r="F2946" s="17" t="n">
        <v>51</v>
      </c>
      <c r="G2946" s="15" t="n">
        <v>-0.0519779227044398</v>
      </c>
      <c r="H2946" s="16" t="n">
        <v>0.244536900183451</v>
      </c>
    </row>
    <row r="2947">
      <c r="A2947" t="s">
        <v>30</v>
      </c>
      <c r="B2947" t="s">
        <v>1290</v>
      </c>
      <c r="C2947" t="s">
        <v>1291</v>
      </c>
      <c r="D2947" t="s">
        <v>1462</v>
      </c>
      <c r="E2947" s="14" t="n">
        <v>0</v>
      </c>
      <c r="F2947" s="17" t="n">
        <v>18</v>
      </c>
      <c r="G2947" s="15" t="n">
        <v>0</v>
      </c>
      <c r="H2947" s="16" t="n">
        <v>0</v>
      </c>
    </row>
    <row r="2948">
      <c r="A2948" t="s">
        <v>30</v>
      </c>
      <c r="B2948" t="s">
        <v>1290</v>
      </c>
      <c r="C2948" t="s">
        <v>1292</v>
      </c>
      <c r="D2948" t="s">
        <v>1462</v>
      </c>
      <c r="E2948" s="14" t="n">
        <v>0</v>
      </c>
      <c r="F2948" s="17" t="n">
        <v>7</v>
      </c>
      <c r="G2948" s="15" t="n">
        <v>0</v>
      </c>
      <c r="H2948" s="16" t="n">
        <v>0</v>
      </c>
    </row>
    <row r="2949">
      <c r="A2949" t="s">
        <v>31</v>
      </c>
      <c r="B2949" t="s">
        <v>1293</v>
      </c>
      <c r="C2949" t="s">
        <v>1294</v>
      </c>
      <c r="D2949" t="s">
        <v>1462</v>
      </c>
      <c r="E2949" s="14" t="n">
        <v>0</v>
      </c>
      <c r="F2949" s="17" t="n">
        <v>77</v>
      </c>
      <c r="G2949" s="15" t="n">
        <v>0</v>
      </c>
      <c r="H2949" s="16" t="n">
        <v>0</v>
      </c>
    </row>
    <row r="2950">
      <c r="A2950" t="s">
        <v>31</v>
      </c>
      <c r="B2950" t="s">
        <v>1293</v>
      </c>
      <c r="C2950" t="s">
        <v>1295</v>
      </c>
      <c r="D2950" t="s">
        <v>1462</v>
      </c>
      <c r="E2950" s="14" t="n">
        <v>0</v>
      </c>
      <c r="F2950" s="17" t="n">
        <v>73</v>
      </c>
      <c r="G2950" s="15" t="n">
        <v>0</v>
      </c>
      <c r="H2950" s="16" t="n">
        <v>0</v>
      </c>
    </row>
    <row r="2951">
      <c r="A2951" t="s">
        <v>32</v>
      </c>
      <c r="B2951" t="s">
        <v>1296</v>
      </c>
      <c r="C2951" t="s">
        <v>1297</v>
      </c>
      <c r="D2951" t="s">
        <v>1462</v>
      </c>
      <c r="E2951" s="14" t="n">
        <v>0.5</v>
      </c>
      <c r="F2951" s="17" t="n">
        <v>108</v>
      </c>
      <c r="G2951" s="15" t="n">
        <v>-0.404508497187474</v>
      </c>
      <c r="H2951" s="16" t="n">
        <v>-0.293892626146237</v>
      </c>
    </row>
    <row r="2952">
      <c r="A2952" t="s">
        <v>32</v>
      </c>
      <c r="B2952" t="s">
        <v>1296</v>
      </c>
      <c r="C2952" t="s">
        <v>1298</v>
      </c>
      <c r="D2952" t="s">
        <v>1462</v>
      </c>
      <c r="E2952" s="14" t="n">
        <v>0.25</v>
      </c>
      <c r="F2952" s="17" t="n">
        <v>103</v>
      </c>
      <c r="G2952" s="15" t="n">
        <v>-0.224698511574792</v>
      </c>
      <c r="H2952" s="16" t="n">
        <v>-0.109592786697269</v>
      </c>
    </row>
    <row r="2953">
      <c r="A2953" t="s">
        <v>32</v>
      </c>
      <c r="B2953" t="s">
        <v>1299</v>
      </c>
      <c r="C2953" t="s">
        <v>1300</v>
      </c>
      <c r="D2953" t="s">
        <v>1462</v>
      </c>
      <c r="E2953" s="14" t="n">
        <v>0.25</v>
      </c>
      <c r="F2953" s="17" t="n">
        <v>70</v>
      </c>
      <c r="G2953" s="15" t="n">
        <v>-0.191511110779744</v>
      </c>
      <c r="H2953" s="16" t="n">
        <v>0.160696902421635</v>
      </c>
    </row>
    <row r="2954">
      <c r="A2954" t="s">
        <v>32</v>
      </c>
      <c r="B2954" t="s">
        <v>1299</v>
      </c>
      <c r="C2954" t="s">
        <v>1301</v>
      </c>
      <c r="D2954" t="s">
        <v>1462</v>
      </c>
      <c r="E2954" s="14" t="n">
        <v>0.25</v>
      </c>
      <c r="F2954" s="17" t="n">
        <v>89</v>
      </c>
      <c r="G2954" s="15" t="n">
        <v>-0.249847706754774</v>
      </c>
      <c r="H2954" s="16" t="n">
        <v>0.00872487417562529</v>
      </c>
    </row>
    <row r="2955">
      <c r="A2955" t="s">
        <v>30</v>
      </c>
      <c r="B2955" t="s">
        <v>1302</v>
      </c>
      <c r="C2955" t="s">
        <v>1303</v>
      </c>
      <c r="D2955" t="s">
        <v>1462</v>
      </c>
      <c r="E2955" s="14" t="n">
        <v>0.25</v>
      </c>
      <c r="F2955" s="17" t="n">
        <v>72</v>
      </c>
      <c r="G2955" s="15" t="n">
        <v>-0.202254248593737</v>
      </c>
      <c r="H2955" s="16" t="n">
        <v>0.146946313073118</v>
      </c>
    </row>
    <row r="2956">
      <c r="A2956" t="s">
        <v>30</v>
      </c>
      <c r="B2956" t="s">
        <v>1302</v>
      </c>
      <c r="C2956" t="s">
        <v>1304</v>
      </c>
      <c r="D2956" t="s">
        <v>1462</v>
      </c>
      <c r="E2956" s="14" t="n">
        <v>0</v>
      </c>
      <c r="F2956" s="17" t="n">
        <v>42</v>
      </c>
      <c r="G2956" s="15" t="n">
        <v>0</v>
      </c>
      <c r="H2956" s="16" t="n">
        <v>0</v>
      </c>
    </row>
    <row r="2957">
      <c r="A2957" t="s">
        <v>32</v>
      </c>
      <c r="B2957" t="s">
        <v>1305</v>
      </c>
      <c r="C2957" t="s">
        <v>1306</v>
      </c>
      <c r="D2957" t="s">
        <v>1462</v>
      </c>
      <c r="E2957" s="14" t="n">
        <v>0.25</v>
      </c>
      <c r="F2957" s="17" t="n">
        <v>166</v>
      </c>
      <c r="G2957" s="15" t="n">
        <v>0.220736898214732</v>
      </c>
      <c r="H2957" s="16" t="n">
        <v>-0.117367890696473</v>
      </c>
    </row>
    <row r="2958">
      <c r="A2958" t="s">
        <v>32</v>
      </c>
      <c r="B2958" t="s">
        <v>1305</v>
      </c>
      <c r="C2958" t="s">
        <v>1307</v>
      </c>
      <c r="D2958" t="s">
        <v>1462</v>
      </c>
      <c r="E2958" s="14" t="n">
        <v>0.25</v>
      </c>
      <c r="F2958" s="17" t="n">
        <v>66</v>
      </c>
      <c r="G2958" s="15" t="n">
        <v>-0.167282651589714</v>
      </c>
      <c r="H2958" s="16" t="n">
        <v>0.185786206369349</v>
      </c>
    </row>
    <row r="2959">
      <c r="A2959" t="s">
        <v>31</v>
      </c>
      <c r="B2959" t="s">
        <v>1308</v>
      </c>
      <c r="C2959" t="s">
        <v>1309</v>
      </c>
      <c r="D2959" t="s">
        <v>1462</v>
      </c>
      <c r="E2959" s="14" t="n">
        <v>0.25</v>
      </c>
      <c r="F2959" s="17" t="n">
        <v>110</v>
      </c>
      <c r="G2959" s="15" t="n">
        <v>-0.191511110779745</v>
      </c>
      <c r="H2959" s="16" t="n">
        <v>-0.160696902421635</v>
      </c>
    </row>
    <row r="2960">
      <c r="A2960" t="s">
        <v>32</v>
      </c>
      <c r="B2960" t="s">
        <v>1310</v>
      </c>
      <c r="C2960" t="s">
        <v>1311</v>
      </c>
      <c r="D2960" t="s">
        <v>1462</v>
      </c>
      <c r="E2960" s="14" t="n">
        <v>0.25</v>
      </c>
      <c r="F2960" s="17" t="n">
        <v>169</v>
      </c>
      <c r="G2960" s="15" t="n">
        <v>0.231795963641697</v>
      </c>
      <c r="H2960" s="16" t="n">
        <v>-0.093651648353978</v>
      </c>
    </row>
    <row r="2961">
      <c r="A2961" t="s">
        <v>32</v>
      </c>
      <c r="B2961" t="s">
        <v>1312</v>
      </c>
      <c r="C2961" t="s">
        <v>1313</v>
      </c>
      <c r="D2961" t="s">
        <v>1462</v>
      </c>
      <c r="E2961" s="14" t="n">
        <v>0.25</v>
      </c>
      <c r="F2961" s="17" t="n">
        <v>27</v>
      </c>
      <c r="G2961" s="15" t="n">
        <v>0.146946313073118</v>
      </c>
      <c r="H2961" s="16" t="n">
        <v>0.202254248593737</v>
      </c>
    </row>
    <row r="2962">
      <c r="A2962" t="s">
        <v>32</v>
      </c>
      <c r="B2962" t="s">
        <v>1312</v>
      </c>
      <c r="C2962" t="s">
        <v>1314</v>
      </c>
      <c r="D2962" t="s">
        <v>1462</v>
      </c>
      <c r="E2962" s="14" t="n">
        <v>0.25</v>
      </c>
      <c r="F2962" s="17" t="n">
        <v>1</v>
      </c>
      <c r="G2962" s="15" t="n">
        <v>0.249847706754774</v>
      </c>
      <c r="H2962" s="16" t="n">
        <v>0.00872487417562524</v>
      </c>
    </row>
    <row r="2963">
      <c r="A2963" t="s">
        <v>30</v>
      </c>
      <c r="B2963" t="s">
        <v>1315</v>
      </c>
      <c r="C2963" t="s">
        <v>1316</v>
      </c>
      <c r="D2963" t="s">
        <v>1462</v>
      </c>
      <c r="E2963" s="14" t="n">
        <v>0</v>
      </c>
      <c r="F2963" s="17" t="n">
        <v>52</v>
      </c>
      <c r="G2963" s="15" t="n">
        <v>0</v>
      </c>
      <c r="H2963" s="16" t="n">
        <v>0</v>
      </c>
    </row>
    <row r="2964">
      <c r="A2964" t="s">
        <v>30</v>
      </c>
      <c r="B2964" t="s">
        <v>1315</v>
      </c>
      <c r="C2964" t="s">
        <v>1317</v>
      </c>
      <c r="D2964" t="s">
        <v>1462</v>
      </c>
      <c r="E2964" s="14" t="n">
        <v>0.25</v>
      </c>
      <c r="F2964" s="17" t="n">
        <v>138</v>
      </c>
      <c r="G2964" s="15" t="n">
        <v>0.0261321158169135</v>
      </c>
      <c r="H2964" s="16" t="n">
        <v>-0.248630473842068</v>
      </c>
    </row>
    <row r="2965">
      <c r="A2965" t="s">
        <v>32</v>
      </c>
      <c r="B2965" t="s">
        <v>1318</v>
      </c>
      <c r="C2965" t="s">
        <v>1319</v>
      </c>
      <c r="D2965" t="s">
        <v>1462</v>
      </c>
      <c r="E2965" s="14" t="n">
        <v>0.25</v>
      </c>
      <c r="F2965" s="17" t="n">
        <v>44</v>
      </c>
      <c r="G2965" s="15" t="n">
        <v>0.00872487417562527</v>
      </c>
      <c r="H2965" s="16" t="n">
        <v>0.249847706754774</v>
      </c>
    </row>
    <row r="2966">
      <c r="A2966" t="s">
        <v>32</v>
      </c>
      <c r="B2966" t="s">
        <v>1318</v>
      </c>
      <c r="C2966" t="s">
        <v>1320</v>
      </c>
      <c r="D2966" t="s">
        <v>1462</v>
      </c>
      <c r="E2966" s="14" t="n">
        <v>0.25</v>
      </c>
      <c r="F2966" s="17" t="n">
        <v>146</v>
      </c>
      <c r="G2966" s="15" t="n">
        <v>0.093651648353978</v>
      </c>
      <c r="H2966" s="16" t="n">
        <v>-0.231795963641697</v>
      </c>
    </row>
    <row r="2967">
      <c r="A2967" t="s">
        <v>30</v>
      </c>
      <c r="B2967" t="s">
        <v>1321</v>
      </c>
      <c r="C2967" t="s">
        <v>1322</v>
      </c>
      <c r="D2967" t="s">
        <v>1462</v>
      </c>
      <c r="E2967" s="14" t="n">
        <v>0.25</v>
      </c>
      <c r="F2967" s="17" t="n">
        <v>141</v>
      </c>
      <c r="G2967" s="15" t="n">
        <v>0.0519779227044399</v>
      </c>
      <c r="H2967" s="16" t="n">
        <v>-0.244536900183451</v>
      </c>
    </row>
    <row r="2968">
      <c r="A2968" t="s">
        <v>32</v>
      </c>
      <c r="B2968" t="s">
        <v>1323</v>
      </c>
      <c r="C2968" t="s">
        <v>1324</v>
      </c>
      <c r="D2968" t="s">
        <v>1462</v>
      </c>
      <c r="E2968" s="14" t="n">
        <v>0</v>
      </c>
      <c r="F2968" s="17" t="n">
        <v>146</v>
      </c>
      <c r="G2968" s="15" t="n">
        <v>0</v>
      </c>
      <c r="H2968" s="16" t="n">
        <v>0</v>
      </c>
    </row>
    <row r="2969">
      <c r="A2969" t="s">
        <v>32</v>
      </c>
      <c r="B2969" t="s">
        <v>1323</v>
      </c>
      <c r="C2969" t="s">
        <v>1325</v>
      </c>
      <c r="D2969" t="s">
        <v>1462</v>
      </c>
      <c r="E2969" s="14" t="n">
        <v>0.25</v>
      </c>
      <c r="F2969" s="17" t="n">
        <v>15</v>
      </c>
      <c r="G2969" s="15" t="n">
        <v>0.21650635094611</v>
      </c>
      <c r="H2969" s="16" t="n">
        <v>0.125</v>
      </c>
    </row>
    <row r="2970">
      <c r="A2970" t="s">
        <v>30</v>
      </c>
      <c r="B2970" t="s">
        <v>1326</v>
      </c>
      <c r="C2970" t="s">
        <v>1327</v>
      </c>
      <c r="D2970" t="s">
        <v>1462</v>
      </c>
      <c r="E2970" s="14" t="n">
        <v>0.25</v>
      </c>
      <c r="F2970" s="17" t="n">
        <v>66</v>
      </c>
      <c r="G2970" s="15" t="n">
        <v>-0.167282651589714</v>
      </c>
      <c r="H2970" s="16" t="n">
        <v>0.185786206369349</v>
      </c>
    </row>
    <row r="2971">
      <c r="A2971" t="s">
        <v>30</v>
      </c>
      <c r="B2971" t="s">
        <v>1326</v>
      </c>
      <c r="C2971" t="s">
        <v>1328</v>
      </c>
      <c r="D2971" t="s">
        <v>1462</v>
      </c>
      <c r="E2971" s="14" t="n">
        <v>0</v>
      </c>
      <c r="F2971" s="17" t="n">
        <v>121</v>
      </c>
      <c r="G2971" s="15" t="n">
        <v>0</v>
      </c>
      <c r="H2971" s="16" t="n">
        <v>0</v>
      </c>
    </row>
    <row r="2972">
      <c r="A2972" t="s">
        <v>30</v>
      </c>
      <c r="B2972" t="s">
        <v>1329</v>
      </c>
      <c r="C2972" t="s">
        <v>1330</v>
      </c>
      <c r="D2972" t="s">
        <v>1462</v>
      </c>
      <c r="E2972" s="14" t="n">
        <v>0.25</v>
      </c>
      <c r="F2972" s="17" t="n">
        <v>96</v>
      </c>
      <c r="G2972" s="15" t="n">
        <v>-0.244536900183451</v>
      </c>
      <c r="H2972" s="16" t="n">
        <v>-0.0519779227044398</v>
      </c>
    </row>
    <row r="2973">
      <c r="A2973" t="s">
        <v>32</v>
      </c>
      <c r="B2973" t="s">
        <v>1331</v>
      </c>
      <c r="C2973" t="s">
        <v>1332</v>
      </c>
      <c r="D2973" t="s">
        <v>1462</v>
      </c>
      <c r="E2973" s="14" t="n">
        <v>0.25</v>
      </c>
      <c r="F2973" s="17" t="n">
        <v>91</v>
      </c>
      <c r="G2973" s="15" t="n">
        <v>-0.249847706754774</v>
      </c>
      <c r="H2973" s="16" t="n">
        <v>-0.00872487417562529</v>
      </c>
    </row>
    <row r="2974">
      <c r="A2974" t="s">
        <v>32</v>
      </c>
      <c r="B2974" t="s">
        <v>1333</v>
      </c>
      <c r="C2974" t="s">
        <v>1334</v>
      </c>
      <c r="D2974" t="s">
        <v>1462</v>
      </c>
      <c r="E2974" s="14" t="n">
        <v>0.25</v>
      </c>
      <c r="F2974" s="17" t="n">
        <v>112</v>
      </c>
      <c r="G2974" s="15" t="n">
        <v>-0.179834950084663</v>
      </c>
      <c r="H2974" s="16" t="n">
        <v>-0.173664592614749</v>
      </c>
    </row>
    <row r="2975">
      <c r="A2975" t="s">
        <v>32</v>
      </c>
      <c r="B2975" t="s">
        <v>1333</v>
      </c>
      <c r="C2975" t="s">
        <v>1335</v>
      </c>
      <c r="D2975" t="s">
        <v>1462</v>
      </c>
      <c r="E2975" s="14" t="n">
        <v>0.25</v>
      </c>
      <c r="F2975" s="17" t="n">
        <v>119</v>
      </c>
      <c r="G2975" s="15" t="n">
        <v>-0.132479816058301</v>
      </c>
      <c r="H2975" s="16" t="n">
        <v>-0.212012024039107</v>
      </c>
    </row>
    <row r="2976">
      <c r="A2976" t="s">
        <v>30</v>
      </c>
      <c r="B2976" t="s">
        <v>1336</v>
      </c>
      <c r="C2976" t="s">
        <v>1337</v>
      </c>
      <c r="D2976" t="s">
        <v>1462</v>
      </c>
      <c r="E2976" s="14" t="n">
        <v>0</v>
      </c>
      <c r="F2976" s="17" t="n">
        <v>99</v>
      </c>
      <c r="G2976" s="15" t="n">
        <v>0</v>
      </c>
      <c r="H2976" s="16" t="n">
        <v>0</v>
      </c>
    </row>
    <row r="2977">
      <c r="A2977" t="s">
        <v>30</v>
      </c>
      <c r="B2977" t="s">
        <v>1336</v>
      </c>
      <c r="C2977" t="s">
        <v>1338</v>
      </c>
      <c r="D2977" t="s">
        <v>1462</v>
      </c>
      <c r="E2977" s="14" t="n">
        <v>0.25</v>
      </c>
      <c r="F2977" s="17" t="n">
        <v>145</v>
      </c>
      <c r="G2977" s="15" t="n">
        <v>0.0855050358314172</v>
      </c>
      <c r="H2977" s="16" t="n">
        <v>-0.234923155196477</v>
      </c>
    </row>
    <row r="2978">
      <c r="A2978" t="s">
        <v>32</v>
      </c>
      <c r="B2978" t="s">
        <v>1339</v>
      </c>
      <c r="C2978" t="s">
        <v>1340</v>
      </c>
      <c r="D2978" t="s">
        <v>1462</v>
      </c>
      <c r="E2978" s="14" t="n">
        <v>0.25</v>
      </c>
      <c r="F2978" s="17" t="n">
        <v>120</v>
      </c>
      <c r="G2978" s="15" t="n">
        <v>-0.125</v>
      </c>
      <c r="H2978" s="16" t="n">
        <v>-0.21650635094611</v>
      </c>
    </row>
    <row r="2979">
      <c r="A2979" t="s">
        <v>32</v>
      </c>
      <c r="B2979" t="s">
        <v>1341</v>
      </c>
      <c r="C2979" t="s">
        <v>1342</v>
      </c>
      <c r="D2979" t="s">
        <v>1462</v>
      </c>
      <c r="E2979" s="14" t="n">
        <v>0.5</v>
      </c>
      <c r="F2979" s="17" t="n">
        <v>143</v>
      </c>
      <c r="G2979" s="15" t="n">
        <v>0.137818677908499</v>
      </c>
      <c r="H2979" s="16" t="n">
        <v>-0.480630847969159</v>
      </c>
    </row>
    <row r="2980">
      <c r="A2980" t="s">
        <v>32</v>
      </c>
      <c r="B2980" t="s">
        <v>1341</v>
      </c>
      <c r="C2980" t="s">
        <v>1343</v>
      </c>
      <c r="D2980" t="s">
        <v>1462</v>
      </c>
      <c r="E2980" s="14" t="n">
        <v>1.25</v>
      </c>
      <c r="F2980" s="17" t="n">
        <v>43</v>
      </c>
      <c r="G2980" s="15" t="n">
        <v>0.0871955921801565</v>
      </c>
      <c r="H2980" s="16" t="n">
        <v>1.24695506282478</v>
      </c>
    </row>
    <row r="2981">
      <c r="A2981" t="s">
        <v>30</v>
      </c>
      <c r="B2981" t="s">
        <v>1344</v>
      </c>
      <c r="C2981" t="s">
        <v>1345</v>
      </c>
      <c r="D2981" t="s">
        <v>1462</v>
      </c>
      <c r="E2981" s="14" t="n">
        <v>0.25</v>
      </c>
      <c r="F2981" s="17" t="n">
        <v>70</v>
      </c>
      <c r="G2981" s="15" t="n">
        <v>-0.191511110779744</v>
      </c>
      <c r="H2981" s="16" t="n">
        <v>0.160696902421635</v>
      </c>
    </row>
    <row r="2982">
      <c r="A2982" t="s">
        <v>30</v>
      </c>
      <c r="B2982" t="s">
        <v>1344</v>
      </c>
      <c r="C2982" t="s">
        <v>1346</v>
      </c>
      <c r="D2982" t="s">
        <v>1462</v>
      </c>
      <c r="E2982" s="14" t="n">
        <v>0.25</v>
      </c>
      <c r="F2982" s="17" t="n">
        <v>110</v>
      </c>
      <c r="G2982" s="15" t="n">
        <v>-0.191511110779745</v>
      </c>
      <c r="H2982" s="16" t="n">
        <v>-0.160696902421635</v>
      </c>
    </row>
    <row r="2983">
      <c r="A2983" t="s">
        <v>31</v>
      </c>
      <c r="B2983" t="s">
        <v>1347</v>
      </c>
      <c r="C2983" t="s">
        <v>1348</v>
      </c>
      <c r="D2983" t="s">
        <v>1462</v>
      </c>
      <c r="E2983" s="14" t="n">
        <v>0</v>
      </c>
      <c r="F2983" s="17" t="n">
        <v>122</v>
      </c>
      <c r="G2983" s="15" t="n">
        <v>0</v>
      </c>
      <c r="H2983" s="16" t="n">
        <v>0</v>
      </c>
    </row>
    <row r="2984">
      <c r="A2984" t="s">
        <v>32</v>
      </c>
      <c r="B2984" t="s">
        <v>1349</v>
      </c>
      <c r="C2984" t="s">
        <v>1350</v>
      </c>
      <c r="D2984" t="s">
        <v>1462</v>
      </c>
      <c r="E2984" s="14" t="n">
        <v>0.25</v>
      </c>
      <c r="F2984" s="17" t="n">
        <v>56</v>
      </c>
      <c r="G2984" s="15" t="n">
        <v>-0.093651648353978</v>
      </c>
      <c r="H2984" s="16" t="n">
        <v>0.231795963641697</v>
      </c>
    </row>
    <row r="2985">
      <c r="A2985" t="s">
        <v>32</v>
      </c>
      <c r="B2985" t="s">
        <v>1349</v>
      </c>
      <c r="C2985" t="s">
        <v>1351</v>
      </c>
      <c r="D2985" t="s">
        <v>1462</v>
      </c>
      <c r="E2985" s="14" t="n">
        <v>0</v>
      </c>
      <c r="F2985" s="17" t="n">
        <v>119</v>
      </c>
      <c r="G2985" s="15" t="n">
        <v>0</v>
      </c>
      <c r="H2985" s="16" t="n">
        <v>0</v>
      </c>
    </row>
    <row r="2986">
      <c r="A2986" t="s">
        <v>30</v>
      </c>
      <c r="B2986" t="s">
        <v>1352</v>
      </c>
      <c r="C2986" t="s">
        <v>1353</v>
      </c>
      <c r="D2986" t="s">
        <v>1462</v>
      </c>
      <c r="E2986" s="14" t="n">
        <v>0.25</v>
      </c>
      <c r="F2986" s="17" t="n">
        <v>157</v>
      </c>
      <c r="G2986" s="15" t="n">
        <v>0.173664592614749</v>
      </c>
      <c r="H2986" s="16" t="n">
        <v>-0.179834950084663</v>
      </c>
    </row>
    <row r="2987">
      <c r="A2987" t="s">
        <v>30</v>
      </c>
      <c r="B2987" t="s">
        <v>1352</v>
      </c>
      <c r="C2987" t="s">
        <v>1354</v>
      </c>
      <c r="D2987" t="s">
        <v>1462</v>
      </c>
      <c r="E2987" s="14" t="n">
        <v>0.25</v>
      </c>
      <c r="F2987" s="17" t="n">
        <v>42</v>
      </c>
      <c r="G2987" s="15" t="n">
        <v>0.0261321158169134</v>
      </c>
      <c r="H2987" s="16" t="n">
        <v>0.248630473842068</v>
      </c>
    </row>
    <row r="2988">
      <c r="A2988" t="s">
        <v>31</v>
      </c>
      <c r="B2988" t="s">
        <v>1355</v>
      </c>
      <c r="C2988" t="s">
        <v>1356</v>
      </c>
      <c r="D2988" t="s">
        <v>1462</v>
      </c>
      <c r="E2988" s="14" t="n">
        <v>0.25</v>
      </c>
      <c r="F2988" s="17" t="n">
        <v>84</v>
      </c>
      <c r="G2988" s="15" t="n">
        <v>-0.244536900183451</v>
      </c>
      <c r="H2988" s="16" t="n">
        <v>0.0519779227044398</v>
      </c>
    </row>
    <row r="2989">
      <c r="A2989" t="s">
        <v>31</v>
      </c>
      <c r="B2989" t="s">
        <v>1355</v>
      </c>
      <c r="C2989" t="s">
        <v>1357</v>
      </c>
      <c r="D2989" t="s">
        <v>1462</v>
      </c>
      <c r="E2989" s="14" t="n">
        <v>0.25</v>
      </c>
      <c r="F2989" s="17" t="n">
        <v>48</v>
      </c>
      <c r="G2989" s="15" t="n">
        <v>-0.0261321158169133</v>
      </c>
      <c r="H2989" s="16" t="n">
        <v>0.248630473842068</v>
      </c>
    </row>
    <row r="2990">
      <c r="A2990" t="s">
        <v>32</v>
      </c>
      <c r="B2990" t="s">
        <v>1358</v>
      </c>
      <c r="C2990" t="s">
        <v>1359</v>
      </c>
      <c r="D2990" t="s">
        <v>1462</v>
      </c>
      <c r="E2990" s="14" t="n">
        <v>0.25</v>
      </c>
      <c r="F2990" s="17" t="n">
        <v>2</v>
      </c>
      <c r="G2990" s="15" t="n">
        <v>0.249391012564956</v>
      </c>
      <c r="H2990" s="16" t="n">
        <v>0.0174391184360313</v>
      </c>
    </row>
    <row r="2991">
      <c r="A2991" t="s">
        <v>32</v>
      </c>
      <c r="B2991" t="s">
        <v>1358</v>
      </c>
      <c r="C2991" t="s">
        <v>1360</v>
      </c>
      <c r="D2991" t="s">
        <v>1462</v>
      </c>
      <c r="E2991" s="14" t="n">
        <v>0.25</v>
      </c>
      <c r="F2991" s="17" t="n">
        <v>165</v>
      </c>
      <c r="G2991" s="15" t="n">
        <v>0.21650635094611</v>
      </c>
      <c r="H2991" s="16" t="n">
        <v>-0.125</v>
      </c>
    </row>
    <row r="2992">
      <c r="A2992" t="s">
        <v>31</v>
      </c>
      <c r="B2992" t="s">
        <v>1361</v>
      </c>
      <c r="C2992" t="s">
        <v>1362</v>
      </c>
      <c r="D2992" t="s">
        <v>1462</v>
      </c>
      <c r="E2992" s="14" t="n">
        <v>0.25</v>
      </c>
      <c r="F2992" s="17" t="n">
        <v>9</v>
      </c>
      <c r="G2992" s="15" t="n">
        <v>0.237764129073788</v>
      </c>
      <c r="H2992" s="16" t="n">
        <v>0.0772542485937368</v>
      </c>
    </row>
    <row r="2993">
      <c r="A2993" t="s">
        <v>31</v>
      </c>
      <c r="B2993" t="s">
        <v>1361</v>
      </c>
      <c r="C2993" t="s">
        <v>1363</v>
      </c>
      <c r="D2993" t="s">
        <v>1462</v>
      </c>
      <c r="E2993" s="14" t="n">
        <v>0.25</v>
      </c>
      <c r="F2993" s="17" t="n">
        <v>134</v>
      </c>
      <c r="G2993" s="15" t="n">
        <v>-0.00872487417562519</v>
      </c>
      <c r="H2993" s="16" t="n">
        <v>-0.249847706754774</v>
      </c>
    </row>
    <row r="2994">
      <c r="A2994" t="s">
        <v>30</v>
      </c>
      <c r="B2994" t="s">
        <v>1364</v>
      </c>
      <c r="C2994" t="s">
        <v>1365</v>
      </c>
      <c r="D2994" t="s">
        <v>1462</v>
      </c>
      <c r="E2994" s="14" t="n">
        <v>0.25</v>
      </c>
      <c r="F2994" s="17" t="n">
        <v>71</v>
      </c>
      <c r="G2994" s="15" t="n">
        <v>-0.19700268840168</v>
      </c>
      <c r="H2994" s="16" t="n">
        <v>0.153915368831415</v>
      </c>
    </row>
    <row r="2995">
      <c r="A2995" t="s">
        <v>30</v>
      </c>
      <c r="B2995" t="s">
        <v>1364</v>
      </c>
      <c r="C2995" t="s">
        <v>1366</v>
      </c>
      <c r="D2995" t="s">
        <v>1462</v>
      </c>
      <c r="E2995" s="14" t="n">
        <v>0.25</v>
      </c>
      <c r="F2995" s="17" t="n">
        <v>136</v>
      </c>
      <c r="G2995" s="15" t="n">
        <v>0.0087248741756251</v>
      </c>
      <c r="H2995" s="16" t="n">
        <v>-0.249847706754774</v>
      </c>
    </row>
    <row r="2996">
      <c r="A2996" t="s">
        <v>30</v>
      </c>
      <c r="B2996" t="s">
        <v>1367</v>
      </c>
      <c r="C2996" t="s">
        <v>1368</v>
      </c>
      <c r="D2996" t="s">
        <v>1462</v>
      </c>
      <c r="E2996" s="14" t="n">
        <v>0</v>
      </c>
      <c r="F2996" s="17" t="n">
        <v>170</v>
      </c>
      <c r="G2996" s="15" t="n">
        <v>0</v>
      </c>
      <c r="H2996" s="16" t="n">
        <v>0</v>
      </c>
    </row>
    <row r="2997">
      <c r="A2997" t="s">
        <v>30</v>
      </c>
      <c r="B2997" t="s">
        <v>1367</v>
      </c>
      <c r="C2997" t="s">
        <v>1369</v>
      </c>
      <c r="D2997" t="s">
        <v>1462</v>
      </c>
      <c r="E2997" s="14" t="n">
        <v>0.25</v>
      </c>
      <c r="F2997" s="17" t="n">
        <v>165</v>
      </c>
      <c r="G2997" s="15" t="n">
        <v>0.21650635094611</v>
      </c>
      <c r="H2997" s="16" t="n">
        <v>-0.125</v>
      </c>
    </row>
    <row r="2998">
      <c r="A2998" t="s">
        <v>30</v>
      </c>
      <c r="B2998" t="s">
        <v>1370</v>
      </c>
      <c r="C2998" t="s">
        <v>1371</v>
      </c>
      <c r="D2998" t="s">
        <v>1462</v>
      </c>
      <c r="E2998" s="14" t="n">
        <v>0.25</v>
      </c>
      <c r="F2998" s="17" t="n">
        <v>1</v>
      </c>
      <c r="G2998" s="15" t="n">
        <v>0.249847706754774</v>
      </c>
      <c r="H2998" s="16" t="n">
        <v>0.00872487417562524</v>
      </c>
    </row>
    <row r="2999">
      <c r="A2999" t="s">
        <v>31</v>
      </c>
      <c r="B2999" t="s">
        <v>1372</v>
      </c>
      <c r="C2999" t="s">
        <v>1373</v>
      </c>
      <c r="D2999" t="s">
        <v>1462</v>
      </c>
      <c r="E2999" s="14" t="n">
        <v>0.25</v>
      </c>
      <c r="F2999" s="17" t="n">
        <v>156</v>
      </c>
      <c r="G2999" s="15" t="n">
        <v>0.167282651589715</v>
      </c>
      <c r="H2999" s="16" t="n">
        <v>-0.185786206369349</v>
      </c>
    </row>
    <row r="3000">
      <c r="A3000" t="s">
        <v>31</v>
      </c>
      <c r="B3000" t="s">
        <v>1372</v>
      </c>
      <c r="C3000" t="s">
        <v>1374</v>
      </c>
      <c r="D3000" t="s">
        <v>1462</v>
      </c>
      <c r="E3000" s="14" t="n">
        <v>0.25</v>
      </c>
      <c r="F3000" s="17" t="n">
        <v>137</v>
      </c>
      <c r="G3000" s="15" t="n">
        <v>0.0174391184360313</v>
      </c>
      <c r="H3000" s="16" t="n">
        <v>-0.249391012564956</v>
      </c>
    </row>
    <row r="3001">
      <c r="A3001" t="s">
        <v>30</v>
      </c>
      <c r="B3001" t="s">
        <v>1375</v>
      </c>
      <c r="C3001" t="s">
        <v>1376</v>
      </c>
      <c r="D3001" t="s">
        <v>1462</v>
      </c>
      <c r="E3001" s="14" t="n">
        <v>0.5</v>
      </c>
      <c r="F3001" s="17" t="n">
        <v>64</v>
      </c>
      <c r="G3001" s="15" t="n">
        <v>-0.307830737662829</v>
      </c>
      <c r="H3001" s="16" t="n">
        <v>0.394005376803361</v>
      </c>
    </row>
    <row r="3002">
      <c r="A3002" t="s">
        <v>30</v>
      </c>
      <c r="B3002" t="s">
        <v>1377</v>
      </c>
      <c r="C3002" t="s">
        <v>1378</v>
      </c>
      <c r="D3002" t="s">
        <v>1462</v>
      </c>
      <c r="E3002" s="14" t="n">
        <v>0.25</v>
      </c>
      <c r="F3002" s="17" t="n">
        <v>5</v>
      </c>
      <c r="G3002" s="15" t="n">
        <v>0.246201938253052</v>
      </c>
      <c r="H3002" s="16" t="n">
        <v>0.0434120444167326</v>
      </c>
    </row>
    <row r="3003">
      <c r="A3003" t="s">
        <v>32</v>
      </c>
      <c r="B3003" t="s">
        <v>1379</v>
      </c>
      <c r="C3003" t="s">
        <v>1380</v>
      </c>
      <c r="D3003" t="s">
        <v>1462</v>
      </c>
      <c r="E3003" s="14" t="n">
        <v>0.25</v>
      </c>
      <c r="F3003" s="17" t="n">
        <v>24</v>
      </c>
      <c r="G3003" s="15" t="n">
        <v>0.167282651589715</v>
      </c>
      <c r="H3003" s="16" t="n">
        <v>0.185786206369349</v>
      </c>
    </row>
    <row r="3004">
      <c r="A3004" t="s">
        <v>32</v>
      </c>
      <c r="B3004" t="s">
        <v>1379</v>
      </c>
      <c r="C3004" t="s">
        <v>1381</v>
      </c>
      <c r="D3004" t="s">
        <v>1462</v>
      </c>
      <c r="E3004" s="14" t="n">
        <v>0</v>
      </c>
      <c r="F3004" s="17" t="n">
        <v>55</v>
      </c>
      <c r="G3004" s="15" t="n">
        <v>0</v>
      </c>
      <c r="H3004" s="16" t="n">
        <v>0</v>
      </c>
    </row>
    <row r="3005">
      <c r="A3005" t="s">
        <v>32</v>
      </c>
      <c r="B3005" t="s">
        <v>1382</v>
      </c>
      <c r="C3005" t="s">
        <v>1383</v>
      </c>
      <c r="D3005" t="s">
        <v>1462</v>
      </c>
      <c r="E3005" s="14" t="n">
        <v>0</v>
      </c>
      <c r="F3005" s="17" t="n">
        <v>168</v>
      </c>
      <c r="G3005" s="15" t="n">
        <v>0</v>
      </c>
      <c r="H3005" s="16" t="n">
        <v>0</v>
      </c>
    </row>
    <row r="3006">
      <c r="A3006" t="s">
        <v>32</v>
      </c>
      <c r="B3006" t="s">
        <v>1382</v>
      </c>
      <c r="C3006" t="s">
        <v>1384</v>
      </c>
      <c r="D3006" t="s">
        <v>1462</v>
      </c>
      <c r="E3006" s="14" t="n">
        <v>0.25</v>
      </c>
      <c r="F3006" s="17" t="n">
        <v>159</v>
      </c>
      <c r="G3006" s="15" t="n">
        <v>0.185786206369348</v>
      </c>
      <c r="H3006" s="16" t="n">
        <v>-0.167282651589715</v>
      </c>
    </row>
    <row r="3007">
      <c r="A3007" t="s">
        <v>32</v>
      </c>
      <c r="B3007" t="s">
        <v>1385</v>
      </c>
      <c r="C3007" t="s">
        <v>1386</v>
      </c>
      <c r="D3007" t="s">
        <v>1462</v>
      </c>
      <c r="E3007" s="14" t="n">
        <v>0.25</v>
      </c>
      <c r="F3007" s="17" t="n">
        <v>136</v>
      </c>
      <c r="G3007" s="15" t="n">
        <v>0.0087248741756251</v>
      </c>
      <c r="H3007" s="16" t="n">
        <v>-0.249847706754774</v>
      </c>
    </row>
  </sheetData>
  <pageMargins left="0.7" right="0.7" top="0.75" bottom="0.75" header="0.3" footer="0.3"/>
  <pageSetup paperSize="9" orientation="portrait" horizontalDpi="300" verticalDpi="300" r:id="rId2"/>
  <tableParts count="1">
    <tablePart r:id="rId6"/>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0" t="s">
        <v>1463</v>
      </c>
    </row>
    <row r="3">
      <c r="A3" s="1" t="s">
        <v>1464</v>
      </c>
    </row>
    <row r="4">
      <c r="A4" t="s">
        <v>1465</v>
      </c>
      <c r="B4" t="s">
        <v>1466</v>
      </c>
      <c r="C4" t="s">
        <v>1467</v>
      </c>
      <c r="D4" t="s">
        <v>1468</v>
      </c>
      <c r="E4" t="s">
        <v>1469</v>
      </c>
      <c r="F4" t="s">
        <v>1470</v>
      </c>
      <c r="G4" t="s">
        <v>1471</v>
      </c>
      <c r="H4" t="s">
        <v>1472</v>
      </c>
      <c r="I4" t="s">
        <v>1473</v>
      </c>
      <c r="J4" t="s">
        <v>1474</v>
      </c>
      <c r="K4" t="s">
        <v>1475</v>
      </c>
      <c r="L4" t="s">
        <v>1476</v>
      </c>
      <c r="M4" t="s">
        <v>41</v>
      </c>
      <c r="N4" t="s">
        <v>1477</v>
      </c>
      <c r="O4" t="s">
        <v>1478</v>
      </c>
      <c r="P4" t="s">
        <v>1479</v>
      </c>
      <c r="Q4" t="s">
        <v>1</v>
      </c>
    </row>
    <row r="5">
      <c r="A5" t="s">
        <v>1480</v>
      </c>
      <c r="B5" t="s">
        <v>1481</v>
      </c>
      <c r="C5" s="18" t="n">
        <v>34.2794117647059</v>
      </c>
      <c r="D5" s="18" t="n">
        <v>0.66833269500881</v>
      </c>
      <c r="E5" s="18" t="n">
        <v>51.2909394089332</v>
      </c>
      <c r="F5" t="n">
        <v>0.000000000000000000000000000000000000000000000000000000000000000000000000000000000000000000000000000000000000000000000000000000000000000000000000000000000113385822558363</v>
      </c>
      <c r="G5" t="n">
        <v>314</v>
      </c>
      <c r="H5" t="s">
        <v>1482</v>
      </c>
      <c r="I5" s="18" t="n">
        <v>34.2794117647059</v>
      </c>
      <c r="J5" s="18" t="n">
        <v>32.964435309086</v>
      </c>
      <c r="K5" s="18" t="n">
        <v>35.5943882203257</v>
      </c>
      <c r="L5" t="s">
        <v>1483</v>
      </c>
      <c r="M5" t="s">
        <v>50</v>
      </c>
      <c r="N5" t="s">
        <v>1484</v>
      </c>
      <c r="O5" t="s">
        <v>1485</v>
      </c>
      <c r="P5" t="s">
        <v>1486</v>
      </c>
      <c r="Q5"/>
    </row>
    <row r="6">
      <c r="A6" t="s">
        <v>1480</v>
      </c>
      <c r="B6" t="s">
        <v>417</v>
      </c>
      <c r="C6" s="18" t="n">
        <v>3.94739235900545</v>
      </c>
      <c r="D6" s="18" t="n">
        <v>1.03582121289826</v>
      </c>
      <c r="E6" s="18" t="n">
        <v>3.81088194550535</v>
      </c>
      <c r="F6" t="n">
        <v>0.000166615113301668</v>
      </c>
      <c r="G6" t="n">
        <v>314</v>
      </c>
      <c r="H6" t="s">
        <v>1487</v>
      </c>
      <c r="I6" s="18" t="n">
        <v>3.94739235900545</v>
      </c>
      <c r="J6" s="18" t="n">
        <v>1.90936471593937</v>
      </c>
      <c r="K6" s="18" t="n">
        <v>5.98542000207152</v>
      </c>
      <c r="L6" t="s">
        <v>1488</v>
      </c>
      <c r="M6" t="s">
        <v>50</v>
      </c>
      <c r="N6" t="s">
        <v>1484</v>
      </c>
      <c r="O6" t="s">
        <v>1485</v>
      </c>
      <c r="P6" t="s">
        <v>1486</v>
      </c>
      <c r="Q6"/>
    </row>
    <row r="7">
      <c r="A7" t="s">
        <v>1480</v>
      </c>
      <c r="B7" t="s">
        <v>440</v>
      </c>
      <c r="C7" s="18" t="n">
        <v>-2.06512605042016</v>
      </c>
      <c r="D7" s="18" t="n">
        <v>1.08159433723193</v>
      </c>
      <c r="E7" s="18" t="n">
        <v>-1.90933511699528</v>
      </c>
      <c r="F7" t="n">
        <v>0.057130103327929</v>
      </c>
      <c r="G7" t="n">
        <v>314</v>
      </c>
      <c r="H7" t="s">
        <v>1487</v>
      </c>
      <c r="I7" s="18" t="n">
        <v>-2.06512605042016</v>
      </c>
      <c r="J7" s="18" t="n">
        <v>-4.19321449890311</v>
      </c>
      <c r="K7" s="18" t="n">
        <v>0.0629623980627962</v>
      </c>
      <c r="L7" t="s">
        <v>1489</v>
      </c>
      <c r="M7" t="s">
        <v>481</v>
      </c>
      <c r="N7" t="s">
        <v>1484</v>
      </c>
      <c r="O7" t="s">
        <v>1485</v>
      </c>
      <c r="P7" t="s">
        <v>1486</v>
      </c>
      <c r="Q7"/>
    </row>
    <row r="8">
      <c r="A8" t="s">
        <v>55</v>
      </c>
      <c r="B8" t="s">
        <v>1481</v>
      </c>
      <c r="C8" s="18" t="n">
        <v>-3.67640129236832</v>
      </c>
      <c r="D8" s="18" t="n">
        <v>0.146156337983105</v>
      </c>
      <c r="E8" s="18" t="n">
        <v>-25.1538957742174</v>
      </c>
      <c r="F8" t="n">
        <v>0.0000000000000000000000000000000000000000000000000000000000000000000000000000309910518348436</v>
      </c>
      <c r="G8" t="n">
        <v>314</v>
      </c>
      <c r="H8" t="s">
        <v>1482</v>
      </c>
      <c r="I8" s="18" t="n">
        <v>-3.67640129236832</v>
      </c>
      <c r="J8" s="18" t="n">
        <v>-3.96397085872758</v>
      </c>
      <c r="K8" s="18" t="n">
        <v>-3.38883172600906</v>
      </c>
      <c r="L8" t="s">
        <v>1490</v>
      </c>
      <c r="M8" t="s">
        <v>50</v>
      </c>
      <c r="N8" t="s">
        <v>1491</v>
      </c>
      <c r="O8" t="s">
        <v>1492</v>
      </c>
      <c r="P8" t="s">
        <v>1486</v>
      </c>
      <c r="Q8"/>
    </row>
    <row r="9">
      <c r="A9" t="s">
        <v>55</v>
      </c>
      <c r="B9" t="s">
        <v>417</v>
      </c>
      <c r="C9" s="18" t="n">
        <v>-1.36345508567806</v>
      </c>
      <c r="D9" s="18" t="n">
        <v>0.236429836692999</v>
      </c>
      <c r="E9" s="18" t="n">
        <v>-5.76684865475962</v>
      </c>
      <c r="F9" t="n">
        <v>0.0000000193295294994248</v>
      </c>
      <c r="G9" t="n">
        <v>314</v>
      </c>
      <c r="H9" t="s">
        <v>1487</v>
      </c>
      <c r="I9" s="18" t="n">
        <v>-1.36345508567806</v>
      </c>
      <c r="J9" s="18" t="n">
        <v>-1.82864206662209</v>
      </c>
      <c r="K9" s="18" t="n">
        <v>-0.898268104734026</v>
      </c>
      <c r="L9" t="s">
        <v>1493</v>
      </c>
      <c r="M9" t="s">
        <v>50</v>
      </c>
      <c r="N9" t="s">
        <v>1491</v>
      </c>
      <c r="O9" t="s">
        <v>1492</v>
      </c>
      <c r="P9" t="s">
        <v>1486</v>
      </c>
      <c r="Q9"/>
    </row>
    <row r="10">
      <c r="A10" t="s">
        <v>55</v>
      </c>
      <c r="B10" t="s">
        <v>440</v>
      </c>
      <c r="C10" s="18" t="n">
        <v>0.306026091720194</v>
      </c>
      <c r="D10" s="18" t="n">
        <v>0.237737523341749</v>
      </c>
      <c r="E10" s="18" t="n">
        <v>1.28724354245198</v>
      </c>
      <c r="F10" t="n">
        <v>0.198957449122384</v>
      </c>
      <c r="G10" t="n">
        <v>314</v>
      </c>
      <c r="H10" t="s">
        <v>1487</v>
      </c>
      <c r="I10" s="18" t="n">
        <v>0.306026091720194</v>
      </c>
      <c r="J10" s="18" t="n">
        <v>-0.161733825079404</v>
      </c>
      <c r="K10" s="18" t="n">
        <v>0.773786008519793</v>
      </c>
      <c r="L10" t="s">
        <v>1494</v>
      </c>
      <c r="M10" t="s">
        <v>129</v>
      </c>
      <c r="N10" t="s">
        <v>1491</v>
      </c>
      <c r="O10" t="s">
        <v>1492</v>
      </c>
      <c r="P10" t="s">
        <v>1486</v>
      </c>
      <c r="Q10"/>
    </row>
    <row r="11">
      <c r="A11" t="s">
        <v>62</v>
      </c>
      <c r="B11" t="s">
        <v>1481</v>
      </c>
      <c r="C11" s="18" t="n">
        <v>-3.22187457755135</v>
      </c>
      <c r="D11" s="18" t="n">
        <v>0.150404990165375</v>
      </c>
      <c r="E11" s="18" t="n">
        <v>-21.4213276701046</v>
      </c>
      <c r="F11" t="n">
        <v>0.00000000000000000000000000000000000000000000000000000000000000224054978822065</v>
      </c>
      <c r="G11" t="n">
        <v>314</v>
      </c>
      <c r="H11" t="s">
        <v>1482</v>
      </c>
      <c r="I11" s="18" t="n">
        <v>-3.22187457755135</v>
      </c>
      <c r="J11" s="18" t="n">
        <v>-3.5178035697318</v>
      </c>
      <c r="K11" s="18" t="n">
        <v>-2.9259455853709</v>
      </c>
      <c r="L11" t="s">
        <v>1495</v>
      </c>
      <c r="M11" t="s">
        <v>50</v>
      </c>
      <c r="N11" t="s">
        <v>1491</v>
      </c>
      <c r="O11" t="s">
        <v>1492</v>
      </c>
      <c r="P11" t="s">
        <v>1486</v>
      </c>
      <c r="Q11"/>
    </row>
    <row r="12">
      <c r="A12" t="s">
        <v>62</v>
      </c>
      <c r="B12" t="s">
        <v>417</v>
      </c>
      <c r="C12" s="18" t="n">
        <v>-1.43415675915477</v>
      </c>
      <c r="D12" s="18" t="n">
        <v>0.240762419548306</v>
      </c>
      <c r="E12" s="18" t="n">
        <v>-5.95673013190926</v>
      </c>
      <c r="F12" t="n">
        <v>0.00000000689534227284723</v>
      </c>
      <c r="G12" t="n">
        <v>314</v>
      </c>
      <c r="H12" t="s">
        <v>1487</v>
      </c>
      <c r="I12" s="18" t="n">
        <v>-1.43415675915477</v>
      </c>
      <c r="J12" s="18" t="n">
        <v>-1.90786830352253</v>
      </c>
      <c r="K12" s="18" t="n">
        <v>-0.960445214787015</v>
      </c>
      <c r="L12" t="s">
        <v>1496</v>
      </c>
      <c r="M12" t="s">
        <v>50</v>
      </c>
      <c r="N12" t="s">
        <v>1491</v>
      </c>
      <c r="O12" t="s">
        <v>1492</v>
      </c>
      <c r="P12" t="s">
        <v>1486</v>
      </c>
      <c r="Q12"/>
    </row>
    <row r="13">
      <c r="A13" t="s">
        <v>62</v>
      </c>
      <c r="B13" t="s">
        <v>440</v>
      </c>
      <c r="C13" s="18" t="n">
        <v>0.290786087965215</v>
      </c>
      <c r="D13" s="18" t="n">
        <v>0.239990101999829</v>
      </c>
      <c r="E13" s="18" t="n">
        <v>1.21165867067894</v>
      </c>
      <c r="F13" t="n">
        <v>0.226554082976556</v>
      </c>
      <c r="G13" t="n">
        <v>314</v>
      </c>
      <c r="H13" t="s">
        <v>1487</v>
      </c>
      <c r="I13" s="18" t="n">
        <v>0.290786087965215</v>
      </c>
      <c r="J13" s="18" t="n">
        <v>-0.181405884787845</v>
      </c>
      <c r="K13" s="18" t="n">
        <v>0.762978060718275</v>
      </c>
      <c r="L13" t="s">
        <v>1497</v>
      </c>
      <c r="M13" t="s">
        <v>429</v>
      </c>
      <c r="N13" t="s">
        <v>1491</v>
      </c>
      <c r="O13" t="s">
        <v>1492</v>
      </c>
      <c r="P13" t="s">
        <v>1486</v>
      </c>
      <c r="Q13"/>
    </row>
    <row r="14">
      <c r="A14" t="s">
        <v>68</v>
      </c>
      <c r="B14" t="s">
        <v>1481</v>
      </c>
      <c r="C14" s="18" t="n">
        <v>-0.910620442086219</v>
      </c>
      <c r="D14" s="18" t="n">
        <v>0.0478555799070375</v>
      </c>
      <c r="E14" s="18" t="n">
        <v>-19.028511280297</v>
      </c>
      <c r="F14" t="n">
        <v>0.00000000000000000000000000000000000000000000000000000312873140446934</v>
      </c>
      <c r="G14" t="n">
        <v>314</v>
      </c>
      <c r="H14" t="s">
        <v>1482</v>
      </c>
      <c r="I14" s="18" t="n">
        <v>-0.910620442086219</v>
      </c>
      <c r="J14" s="18" t="n">
        <v>-1.00477857817286</v>
      </c>
      <c r="K14" s="18" t="n">
        <v>-0.816462305999582</v>
      </c>
      <c r="L14" t="s">
        <v>1498</v>
      </c>
      <c r="M14" t="s">
        <v>50</v>
      </c>
      <c r="N14" t="s">
        <v>1491</v>
      </c>
      <c r="O14" t="s">
        <v>1492</v>
      </c>
      <c r="P14" t="s">
        <v>1486</v>
      </c>
      <c r="Q14"/>
    </row>
    <row r="15">
      <c r="A15" t="s">
        <v>68</v>
      </c>
      <c r="B15" t="s">
        <v>417</v>
      </c>
      <c r="C15" s="18" t="n">
        <v>0.142371896791547</v>
      </c>
      <c r="D15" s="18" t="n">
        <v>0.0642881352589336</v>
      </c>
      <c r="E15" s="18" t="n">
        <v>2.21459054953321</v>
      </c>
      <c r="F15" t="n">
        <v>0.0275059210259976</v>
      </c>
      <c r="G15" t="n">
        <v>314</v>
      </c>
      <c r="H15" t="s">
        <v>1487</v>
      </c>
      <c r="I15" s="18" t="n">
        <v>0.142371896791547</v>
      </c>
      <c r="J15" s="18" t="n">
        <v>0.0158819242486254</v>
      </c>
      <c r="K15" s="18" t="n">
        <v>0.268861869334469</v>
      </c>
      <c r="L15" t="s">
        <v>1499</v>
      </c>
      <c r="M15" t="s">
        <v>198</v>
      </c>
      <c r="N15" t="s">
        <v>1491</v>
      </c>
      <c r="O15" t="s">
        <v>1492</v>
      </c>
      <c r="P15" t="s">
        <v>1486</v>
      </c>
      <c r="Q15"/>
    </row>
    <row r="16">
      <c r="A16" t="s">
        <v>68</v>
      </c>
      <c r="B16" t="s">
        <v>440</v>
      </c>
      <c r="C16" s="18" t="n">
        <v>0.0265496009824392</v>
      </c>
      <c r="D16" s="18" t="n">
        <v>0.0803715664323896</v>
      </c>
      <c r="E16" s="18" t="n">
        <v>0.330335741369098</v>
      </c>
      <c r="F16" t="n">
        <v>0.741366582538623</v>
      </c>
      <c r="G16" t="n">
        <v>314</v>
      </c>
      <c r="H16" t="s">
        <v>1487</v>
      </c>
      <c r="I16" s="18" t="n">
        <v>0.0265496009824392</v>
      </c>
      <c r="J16" s="18" t="n">
        <v>-0.131585289543132</v>
      </c>
      <c r="K16" s="18" t="n">
        <v>0.184684491508011</v>
      </c>
      <c r="L16" t="s">
        <v>1500</v>
      </c>
      <c r="M16" t="s">
        <v>511</v>
      </c>
      <c r="N16" t="s">
        <v>1491</v>
      </c>
      <c r="O16" t="s">
        <v>1492</v>
      </c>
      <c r="P16" t="s">
        <v>1486</v>
      </c>
      <c r="Q16"/>
    </row>
    <row r="17">
      <c r="A17" t="s">
        <v>76</v>
      </c>
      <c r="B17" t="s">
        <v>1481</v>
      </c>
      <c r="C17" s="18" t="n">
        <v>1.00585213351898</v>
      </c>
      <c r="D17" s="18" t="n">
        <v>0.0384532675526323</v>
      </c>
      <c r="E17" s="18" t="n">
        <v>26.1577805356133</v>
      </c>
      <c r="F17" t="n">
        <v>0.00000000000000000000000000000000000000000000000000000000000000000000000000000000746961880443754</v>
      </c>
      <c r="G17" t="n">
        <v>314</v>
      </c>
      <c r="H17" t="s">
        <v>1482</v>
      </c>
      <c r="I17" s="18" t="n">
        <v>1.00585213351898</v>
      </c>
      <c r="J17" s="18" t="n">
        <v>0.93019349546193</v>
      </c>
      <c r="K17" s="18" t="n">
        <v>1.08151077157602</v>
      </c>
      <c r="L17" t="s">
        <v>1501</v>
      </c>
      <c r="M17" t="s">
        <v>50</v>
      </c>
      <c r="N17" t="s">
        <v>1491</v>
      </c>
      <c r="O17" t="s">
        <v>1492</v>
      </c>
      <c r="P17" t="s">
        <v>1486</v>
      </c>
      <c r="Q17"/>
    </row>
    <row r="18">
      <c r="A18" t="s">
        <v>76</v>
      </c>
      <c r="B18" t="s">
        <v>417</v>
      </c>
      <c r="C18" s="18" t="n">
        <v>0.286373498118372</v>
      </c>
      <c r="D18" s="18" t="n">
        <v>0.0574587818497951</v>
      </c>
      <c r="E18" s="18" t="n">
        <v>4.9839813671475</v>
      </c>
      <c r="F18" t="n">
        <v>0.0000010313671557575</v>
      </c>
      <c r="G18" t="n">
        <v>314</v>
      </c>
      <c r="H18" t="s">
        <v>1487</v>
      </c>
      <c r="I18" s="18" t="n">
        <v>0.286373498118372</v>
      </c>
      <c r="J18" s="18" t="n">
        <v>0.173320604155013</v>
      </c>
      <c r="K18" s="18" t="n">
        <v>0.399426392081732</v>
      </c>
      <c r="L18" t="s">
        <v>1502</v>
      </c>
      <c r="M18" t="s">
        <v>50</v>
      </c>
      <c r="N18" t="s">
        <v>1491</v>
      </c>
      <c r="O18" t="s">
        <v>1492</v>
      </c>
      <c r="P18" t="s">
        <v>1486</v>
      </c>
      <c r="Q18"/>
    </row>
    <row r="19">
      <c r="A19" t="s">
        <v>76</v>
      </c>
      <c r="B19" t="s">
        <v>440</v>
      </c>
      <c r="C19" s="18" t="n">
        <v>-0.0989804585893232</v>
      </c>
      <c r="D19" s="18" t="n">
        <v>0.0646733713478835</v>
      </c>
      <c r="E19" s="18" t="n">
        <v>-1.53046696849773</v>
      </c>
      <c r="F19" t="n">
        <v>0.126907978802564</v>
      </c>
      <c r="G19" t="n">
        <v>314</v>
      </c>
      <c r="H19" t="s">
        <v>1487</v>
      </c>
      <c r="I19" s="18" t="n">
        <v>-0.0989804585893232</v>
      </c>
      <c r="J19" s="18" t="n">
        <v>-0.226228401512278</v>
      </c>
      <c r="K19" s="18" t="n">
        <v>0.0282674843336315</v>
      </c>
      <c r="L19" t="s">
        <v>1503</v>
      </c>
      <c r="M19" t="s">
        <v>189</v>
      </c>
      <c r="N19" t="s">
        <v>1491</v>
      </c>
      <c r="O19" t="s">
        <v>1492</v>
      </c>
      <c r="P19" t="s">
        <v>1486</v>
      </c>
      <c r="Q19"/>
    </row>
    <row r="20">
      <c r="A20" t="s">
        <v>82</v>
      </c>
      <c r="B20" t="s">
        <v>1481</v>
      </c>
      <c r="C20" s="18" t="n">
        <v>-0.0262466100845272</v>
      </c>
      <c r="D20" s="18" t="n">
        <v>0.00544284339504184</v>
      </c>
      <c r="E20" s="18" t="n">
        <v>-4.82222400674555</v>
      </c>
      <c r="F20" t="n">
        <v>0.00000221651636005254</v>
      </c>
      <c r="G20" t="n">
        <v>314</v>
      </c>
      <c r="H20" t="s">
        <v>1482</v>
      </c>
      <c r="I20" s="18" t="n">
        <v>-0.0262466100845272</v>
      </c>
      <c r="J20" s="18" t="n">
        <v>-0.0369556640774815</v>
      </c>
      <c r="K20" s="18" t="n">
        <v>-0.0155375560915729</v>
      </c>
      <c r="L20" t="s">
        <v>1504</v>
      </c>
      <c r="M20" t="s">
        <v>50</v>
      </c>
      <c r="N20" t="s">
        <v>1491</v>
      </c>
      <c r="O20" t="s">
        <v>1492</v>
      </c>
      <c r="P20" t="s">
        <v>1486</v>
      </c>
      <c r="Q20"/>
    </row>
    <row r="21">
      <c r="A21" t="s">
        <v>82</v>
      </c>
      <c r="B21" t="s">
        <v>417</v>
      </c>
      <c r="C21" s="18" t="n">
        <v>-0.000805952115771132</v>
      </c>
      <c r="D21" s="18" t="n">
        <v>0.00750869453024407</v>
      </c>
      <c r="E21" s="18" t="n">
        <v>-0.107335850796015</v>
      </c>
      <c r="F21" t="n">
        <v>0.914591091777361</v>
      </c>
      <c r="G21" t="n">
        <v>314</v>
      </c>
      <c r="H21" t="s">
        <v>1487</v>
      </c>
      <c r="I21" s="18" t="n">
        <v>-0.000805952115771132</v>
      </c>
      <c r="J21" s="18" t="n">
        <v>-0.0155796667543798</v>
      </c>
      <c r="K21" s="18" t="n">
        <v>0.0139677625228375</v>
      </c>
      <c r="L21" t="s">
        <v>1505</v>
      </c>
      <c r="M21" t="s">
        <v>516</v>
      </c>
      <c r="N21" t="s">
        <v>1491</v>
      </c>
      <c r="O21" t="s">
        <v>1492</v>
      </c>
      <c r="P21" t="s">
        <v>1486</v>
      </c>
      <c r="Q21"/>
    </row>
    <row r="22">
      <c r="A22" t="s">
        <v>82</v>
      </c>
      <c r="B22" t="s">
        <v>440</v>
      </c>
      <c r="C22" s="18" t="n">
        <v>-0.0163158333368245</v>
      </c>
      <c r="D22" s="18" t="n">
        <v>0.00850889939077477</v>
      </c>
      <c r="E22" s="18" t="n">
        <v>-1.91750220416449</v>
      </c>
      <c r="F22" t="n">
        <v>0.05608120507969</v>
      </c>
      <c r="G22" t="n">
        <v>314</v>
      </c>
      <c r="H22" t="s">
        <v>1487</v>
      </c>
      <c r="I22" s="18" t="n">
        <v>-0.0163158333368245</v>
      </c>
      <c r="J22" s="18" t="n">
        <v>-0.0330574987463842</v>
      </c>
      <c r="K22" s="18" t="n">
        <v>0.000425832072735267</v>
      </c>
      <c r="L22" t="s">
        <v>1506</v>
      </c>
      <c r="M22" t="s">
        <v>481</v>
      </c>
      <c r="N22" t="s">
        <v>1491</v>
      </c>
      <c r="O22" t="s">
        <v>1492</v>
      </c>
      <c r="P22" t="s">
        <v>1486</v>
      </c>
      <c r="Q22"/>
    </row>
    <row r="23">
      <c r="A23" t="s">
        <v>89</v>
      </c>
      <c r="B23" t="s">
        <v>1481</v>
      </c>
      <c r="C23" s="18" t="n">
        <v>547.654117206558</v>
      </c>
      <c r="D23" s="18" t="n">
        <v>2.27096841554573</v>
      </c>
      <c r="E23" s="18" t="n">
        <v>241.154440307332</v>
      </c>
      <c r="F23" t="n">
        <v>0</v>
      </c>
      <c r="G23" t="n">
        <v>314</v>
      </c>
      <c r="H23" t="s">
        <v>1482</v>
      </c>
      <c r="I23" s="18" t="n">
        <v>547.654117206558</v>
      </c>
      <c r="J23" s="18" t="n">
        <v>543.185878528126</v>
      </c>
      <c r="K23" s="18" t="n">
        <v>552.12235588499</v>
      </c>
      <c r="L23" t="s">
        <v>1507</v>
      </c>
      <c r="M23" t="s">
        <v>50</v>
      </c>
      <c r="N23" t="s">
        <v>1491</v>
      </c>
      <c r="O23" t="s">
        <v>1492</v>
      </c>
      <c r="P23" t="s">
        <v>1486</v>
      </c>
      <c r="Q23"/>
    </row>
    <row r="24">
      <c r="A24" t="s">
        <v>89</v>
      </c>
      <c r="B24" t="s">
        <v>417</v>
      </c>
      <c r="C24" s="18" t="n">
        <v>-16.1585709134596</v>
      </c>
      <c r="D24" s="18" t="n">
        <v>3.25490623039892</v>
      </c>
      <c r="E24" s="18" t="n">
        <v>-4.96437370838767</v>
      </c>
      <c r="F24" t="n">
        <v>0.00000113278600180857</v>
      </c>
      <c r="G24" t="n">
        <v>314</v>
      </c>
      <c r="H24" t="s">
        <v>1487</v>
      </c>
      <c r="I24" s="18" t="n">
        <v>-16.1585709134596</v>
      </c>
      <c r="J24" s="18" t="n">
        <v>-22.5627541745651</v>
      </c>
      <c r="K24" s="18" t="n">
        <v>-9.75438765235419</v>
      </c>
      <c r="L24" t="s">
        <v>1508</v>
      </c>
      <c r="M24" t="s">
        <v>50</v>
      </c>
      <c r="N24" t="s">
        <v>1491</v>
      </c>
      <c r="O24" t="s">
        <v>1492</v>
      </c>
      <c r="P24" t="s">
        <v>1486</v>
      </c>
      <c r="Q24"/>
    </row>
    <row r="25">
      <c r="A25" t="s">
        <v>89</v>
      </c>
      <c r="B25" t="s">
        <v>440</v>
      </c>
      <c r="C25" s="18" t="n">
        <v>8.82201568165058</v>
      </c>
      <c r="D25" s="18" t="n">
        <v>3.70082458343114</v>
      </c>
      <c r="E25" s="18" t="n">
        <v>2.38379730861802</v>
      </c>
      <c r="F25" t="n">
        <v>0.0177289486455266</v>
      </c>
      <c r="G25" t="n">
        <v>314</v>
      </c>
      <c r="H25" t="s">
        <v>1487</v>
      </c>
      <c r="I25" s="18" t="n">
        <v>8.82201568165058</v>
      </c>
      <c r="J25" s="18" t="n">
        <v>1.54046679150253</v>
      </c>
      <c r="K25" s="18" t="n">
        <v>16.1035645717986</v>
      </c>
      <c r="L25" t="s">
        <v>1509</v>
      </c>
      <c r="M25" t="s">
        <v>372</v>
      </c>
      <c r="N25" t="s">
        <v>1491</v>
      </c>
      <c r="O25" t="s">
        <v>1492</v>
      </c>
      <c r="P25" t="s">
        <v>1486</v>
      </c>
      <c r="Q25"/>
    </row>
    <row r="26">
      <c r="A26" t="s">
        <v>95</v>
      </c>
      <c r="B26" t="s">
        <v>1481</v>
      </c>
      <c r="C26" s="18" t="n">
        <v>43.4435294117647</v>
      </c>
      <c r="D26" s="18" t="n">
        <v>0.132840884099623</v>
      </c>
      <c r="E26" s="18" t="n">
        <v>327.03432912404</v>
      </c>
      <c r="F26" t="n">
        <v>0</v>
      </c>
      <c r="G26" t="n">
        <v>313</v>
      </c>
      <c r="H26" t="s">
        <v>1482</v>
      </c>
      <c r="I26" s="18" t="n">
        <v>43.4435294117647</v>
      </c>
      <c r="J26" s="18" t="n">
        <v>43.1821554051665</v>
      </c>
      <c r="K26" s="18" t="n">
        <v>43.7049034183629</v>
      </c>
      <c r="L26" t="s">
        <v>1510</v>
      </c>
      <c r="M26" t="s">
        <v>50</v>
      </c>
      <c r="N26" t="s">
        <v>1491</v>
      </c>
      <c r="O26" t="s">
        <v>1511</v>
      </c>
      <c r="P26" t="s">
        <v>1486</v>
      </c>
      <c r="Q26"/>
    </row>
    <row r="27">
      <c r="A27" t="s">
        <v>95</v>
      </c>
      <c r="B27" t="s">
        <v>417</v>
      </c>
      <c r="C27" s="18" t="n">
        <v>-0.0694300328827155</v>
      </c>
      <c r="D27" s="18" t="n">
        <v>0.213881212397655</v>
      </c>
      <c r="E27" s="18" t="n">
        <v>-0.324619596571338</v>
      </c>
      <c r="F27" t="n">
        <v>0.745685839029893</v>
      </c>
      <c r="G27" t="n">
        <v>313</v>
      </c>
      <c r="H27" t="s">
        <v>1487</v>
      </c>
      <c r="I27" s="18" t="n">
        <v>-0.0694300328827155</v>
      </c>
      <c r="J27" s="18" t="n">
        <v>-0.490256721890046</v>
      </c>
      <c r="K27" s="18" t="n">
        <v>0.351396656124615</v>
      </c>
      <c r="L27" t="s">
        <v>1512</v>
      </c>
      <c r="M27" t="s">
        <v>1513</v>
      </c>
      <c r="N27" t="s">
        <v>1491</v>
      </c>
      <c r="O27" t="s">
        <v>1511</v>
      </c>
      <c r="P27" t="s">
        <v>1486</v>
      </c>
      <c r="Q27"/>
    </row>
    <row r="28">
      <c r="A28" t="s">
        <v>95</v>
      </c>
      <c r="B28" t="s">
        <v>440</v>
      </c>
      <c r="C28" s="18" t="n">
        <v>0.140704164877626</v>
      </c>
      <c r="D28" s="18" t="n">
        <v>0.20565683063248</v>
      </c>
      <c r="E28" s="18" t="n">
        <v>0.684169664799863</v>
      </c>
      <c r="F28" t="n">
        <v>0.494374266079424</v>
      </c>
      <c r="G28" t="n">
        <v>313</v>
      </c>
      <c r="H28" t="s">
        <v>1487</v>
      </c>
      <c r="I28" s="18" t="n">
        <v>0.140704164877626</v>
      </c>
      <c r="J28" s="18" t="n">
        <v>-0.263940460690976</v>
      </c>
      <c r="K28" s="18" t="n">
        <v>0.545348790446228</v>
      </c>
      <c r="L28" t="s">
        <v>1514</v>
      </c>
      <c r="M28" t="s">
        <v>502</v>
      </c>
      <c r="N28" t="s">
        <v>1491</v>
      </c>
      <c r="O28" t="s">
        <v>1511</v>
      </c>
      <c r="P28" t="s">
        <v>1486</v>
      </c>
      <c r="Q28"/>
    </row>
    <row r="29">
      <c r="A29" t="s">
        <v>103</v>
      </c>
      <c r="B29"/>
      <c r="C29" s="18"/>
      <c r="D29" s="18"/>
      <c r="E29" s="18"/>
      <c r="F29"/>
      <c r="G29"/>
      <c r="H29"/>
      <c r="I29" s="18"/>
      <c r="J29" s="18"/>
      <c r="K29" s="18"/>
      <c r="L29"/>
      <c r="M29" t="s">
        <v>109</v>
      </c>
      <c r="N29"/>
      <c r="O29" t="s">
        <v>1515</v>
      </c>
      <c r="P29"/>
      <c r="Q29"/>
    </row>
    <row r="30">
      <c r="A30" t="s">
        <v>23</v>
      </c>
      <c r="B30" t="s">
        <v>1481</v>
      </c>
      <c r="C30" s="18" t="n">
        <v>0.147324714756856</v>
      </c>
      <c r="D30" s="18" t="n">
        <v>0.17196408348839</v>
      </c>
      <c r="E30" s="18" t="n">
        <v>0.856717936491676</v>
      </c>
      <c r="F30" t="n">
        <v>0.391600788126431</v>
      </c>
      <c r="G30"/>
      <c r="H30" t="s">
        <v>1516</v>
      </c>
      <c r="I30" s="18" t="n">
        <v>1.15873015873016</v>
      </c>
      <c r="J30" s="18" t="n">
        <v>0.827191793979416</v>
      </c>
      <c r="K30" s="18" t="n">
        <v>1.6231490574775</v>
      </c>
      <c r="L30" t="s">
        <v>1517</v>
      </c>
      <c r="M30" t="s">
        <v>456</v>
      </c>
      <c r="N30" t="s">
        <v>1518</v>
      </c>
      <c r="O30" t="s">
        <v>1519</v>
      </c>
      <c r="P30" t="s">
        <v>1486</v>
      </c>
      <c r="Q30"/>
    </row>
    <row r="31">
      <c r="A31" t="s">
        <v>23</v>
      </c>
      <c r="B31" t="s">
        <v>417</v>
      </c>
      <c r="C31" s="18" t="n">
        <v>0.424461608798822</v>
      </c>
      <c r="D31" s="18" t="n">
        <v>0.272529093565247</v>
      </c>
      <c r="E31" s="18" t="n">
        <v>1.55749099388246</v>
      </c>
      <c r="F31" t="n">
        <v>0.119353957182182</v>
      </c>
      <c r="G31"/>
      <c r="H31" t="s">
        <v>1520</v>
      </c>
      <c r="I31" s="18" t="n">
        <v>1.52876712328768</v>
      </c>
      <c r="J31" s="18" t="n">
        <v>0.896115830430549</v>
      </c>
      <c r="K31" s="18" t="n">
        <v>2.60806565164949</v>
      </c>
      <c r="L31" t="s">
        <v>1521</v>
      </c>
      <c r="M31" t="s">
        <v>419</v>
      </c>
      <c r="N31" t="s">
        <v>1518</v>
      </c>
      <c r="O31" t="s">
        <v>1519</v>
      </c>
      <c r="P31" t="s">
        <v>1486</v>
      </c>
      <c r="Q31"/>
    </row>
    <row r="32">
      <c r="A32" t="s">
        <v>23</v>
      </c>
      <c r="B32" t="s">
        <v>440</v>
      </c>
      <c r="C32" s="18" t="n">
        <v>0.140357357694926</v>
      </c>
      <c r="D32" s="18" t="n">
        <v>0.279611797178004</v>
      </c>
      <c r="E32" s="18" t="n">
        <v>0.501972231184412</v>
      </c>
      <c r="F32" t="n">
        <v>0.6156870544073</v>
      </c>
      <c r="G32"/>
      <c r="H32" t="s">
        <v>1520</v>
      </c>
      <c r="I32" s="18" t="n">
        <v>1.15068493150685</v>
      </c>
      <c r="J32" s="18" t="n">
        <v>0.665197230935739</v>
      </c>
      <c r="K32" s="18" t="n">
        <v>1.99050108752609</v>
      </c>
      <c r="L32" t="s">
        <v>1522</v>
      </c>
      <c r="M32" t="s">
        <v>1523</v>
      </c>
      <c r="N32" t="s">
        <v>1518</v>
      </c>
      <c r="O32" t="s">
        <v>1519</v>
      </c>
      <c r="P32" t="s">
        <v>1486</v>
      </c>
      <c r="Q32"/>
    </row>
    <row r="33">
      <c r="A33" t="s">
        <v>1524</v>
      </c>
      <c r="B33" t="s">
        <v>1481</v>
      </c>
      <c r="C33" s="18" t="n">
        <v>-1.7650912221459</v>
      </c>
      <c r="D33" s="18" t="n">
        <v>0.248275226223596</v>
      </c>
      <c r="E33" s="18" t="n">
        <v>-7.10941340782938</v>
      </c>
      <c r="F33" t="n">
        <v>0.00000000000116537189336121</v>
      </c>
      <c r="G33"/>
      <c r="H33" t="s">
        <v>1516</v>
      </c>
      <c r="I33" s="18" t="n">
        <v>0.171171171171169</v>
      </c>
      <c r="J33" s="18" t="n">
        <v>0.105220016717543</v>
      </c>
      <c r="K33" s="18" t="n">
        <v>0.278460037872477</v>
      </c>
      <c r="L33" t="s">
        <v>1525</v>
      </c>
      <c r="M33" t="s">
        <v>50</v>
      </c>
      <c r="N33" t="s">
        <v>1518</v>
      </c>
      <c r="O33" t="s">
        <v>1526</v>
      </c>
      <c r="P33" t="s">
        <v>1486</v>
      </c>
      <c r="Q33"/>
    </row>
    <row r="34">
      <c r="A34" t="s">
        <v>1524</v>
      </c>
      <c r="B34" t="s">
        <v>417</v>
      </c>
      <c r="C34" s="18" t="n">
        <v>-0.897496604879554</v>
      </c>
      <c r="D34" s="18" t="n">
        <v>0.489831768665172</v>
      </c>
      <c r="E34" s="18" t="n">
        <v>-1.83225479091587</v>
      </c>
      <c r="F34" t="n">
        <v>0.066913469205352</v>
      </c>
      <c r="G34"/>
      <c r="H34" t="s">
        <v>1520</v>
      </c>
      <c r="I34" s="18" t="n">
        <v>0.407588739290088</v>
      </c>
      <c r="J34" s="18" t="n">
        <v>0.156054616076974</v>
      </c>
      <c r="K34" s="18" t="n">
        <v>1.06455409376766</v>
      </c>
      <c r="L34" t="s">
        <v>1527</v>
      </c>
      <c r="M34" t="s">
        <v>72</v>
      </c>
      <c r="N34" t="s">
        <v>1518</v>
      </c>
      <c r="O34" t="s">
        <v>1526</v>
      </c>
      <c r="P34" t="s">
        <v>1486</v>
      </c>
      <c r="Q34"/>
    </row>
    <row r="35">
      <c r="A35" t="s">
        <v>1524</v>
      </c>
      <c r="B35" t="s">
        <v>440</v>
      </c>
      <c r="C35" s="18" t="n">
        <v>0.214493809734727</v>
      </c>
      <c r="D35" s="18" t="n">
        <v>0.384994382473906</v>
      </c>
      <c r="E35" s="18" t="n">
        <v>0.55713490767431</v>
      </c>
      <c r="F35" t="n">
        <v>0.577435258957553</v>
      </c>
      <c r="G35"/>
      <c r="H35" t="s">
        <v>1520</v>
      </c>
      <c r="I35" s="18" t="n">
        <v>1.23923444976077</v>
      </c>
      <c r="J35" s="18" t="n">
        <v>0.582700868613323</v>
      </c>
      <c r="K35" s="18" t="n">
        <v>2.63548950103411</v>
      </c>
      <c r="L35" t="s">
        <v>1528</v>
      </c>
      <c r="M35" t="s">
        <v>465</v>
      </c>
      <c r="N35" t="s">
        <v>1518</v>
      </c>
      <c r="O35" t="s">
        <v>1526</v>
      </c>
      <c r="P35" t="s">
        <v>1486</v>
      </c>
      <c r="Q35"/>
    </row>
    <row r="36">
      <c r="A36" t="s">
        <v>1529</v>
      </c>
      <c r="B36"/>
      <c r="C36" s="18"/>
      <c r="D36" s="18"/>
      <c r="E36" s="18"/>
      <c r="F36"/>
      <c r="G36"/>
      <c r="H36"/>
      <c r="I36" s="18"/>
      <c r="J36" s="18"/>
      <c r="K36" s="18"/>
      <c r="L36"/>
      <c r="M36" t="s">
        <v>109</v>
      </c>
      <c r="N36"/>
      <c r="O36" t="s">
        <v>1530</v>
      </c>
      <c r="P36"/>
      <c r="Q36"/>
    </row>
  </sheetData>
  <pageMargins left="0.7" right="0.7" top="0.75" bottom="0.75" header="0.3" footer="0.3"/>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0" t="s">
        <v>1531</v>
      </c>
    </row>
    <row r="3">
      <c r="A3" s="1" t="s">
        <v>1464</v>
      </c>
    </row>
    <row r="4">
      <c r="A4" t="s">
        <v>1465</v>
      </c>
      <c r="B4" t="s">
        <v>1466</v>
      </c>
      <c r="C4" t="s">
        <v>1467</v>
      </c>
      <c r="D4" t="s">
        <v>1468</v>
      </c>
      <c r="E4" t="s">
        <v>1469</v>
      </c>
      <c r="F4" t="s">
        <v>1470</v>
      </c>
      <c r="G4" t="s">
        <v>1471</v>
      </c>
      <c r="H4" t="s">
        <v>1472</v>
      </c>
      <c r="I4" t="s">
        <v>1473</v>
      </c>
      <c r="J4" t="s">
        <v>1474</v>
      </c>
      <c r="K4" t="s">
        <v>1475</v>
      </c>
      <c r="L4" t="s">
        <v>1476</v>
      </c>
      <c r="M4" t="s">
        <v>41</v>
      </c>
      <c r="N4" t="s">
        <v>1477</v>
      </c>
      <c r="O4" t="s">
        <v>1478</v>
      </c>
      <c r="P4" t="s">
        <v>1479</v>
      </c>
      <c r="Q4" t="s">
        <v>1</v>
      </c>
    </row>
    <row r="5">
      <c r="A5" t="s">
        <v>1532</v>
      </c>
      <c r="B5" t="s">
        <v>1481</v>
      </c>
      <c r="C5" s="19" t="n">
        <v>6.525</v>
      </c>
      <c r="D5" s="19" t="n">
        <v>0.0130674832959387</v>
      </c>
      <c r="E5" s="19" t="n">
        <v>499.331038137077</v>
      </c>
      <c r="F5" t="n">
        <v>0</v>
      </c>
      <c r="G5" t="n">
        <v>314</v>
      </c>
      <c r="H5" t="s">
        <v>1482</v>
      </c>
      <c r="I5" s="19" t="n">
        <v>6.525</v>
      </c>
      <c r="J5" s="19" t="n">
        <v>6.49928910332131</v>
      </c>
      <c r="K5" s="19" t="n">
        <v>6.5507108966787</v>
      </c>
      <c r="L5" t="s">
        <v>1533</v>
      </c>
      <c r="M5" t="s">
        <v>50</v>
      </c>
      <c r="N5" t="s">
        <v>1484</v>
      </c>
      <c r="O5" t="s">
        <v>1485</v>
      </c>
      <c r="P5" t="s">
        <v>1486</v>
      </c>
      <c r="Q5"/>
    </row>
    <row r="6">
      <c r="A6" t="s">
        <v>1532</v>
      </c>
      <c r="B6" t="s">
        <v>417</v>
      </c>
      <c r="C6" s="19" t="n">
        <v>-0.0940721649484536</v>
      </c>
      <c r="D6" s="19" t="n">
        <v>0.0202527521071652</v>
      </c>
      <c r="E6" s="19" t="n">
        <v>-4.64490773652297</v>
      </c>
      <c r="F6" t="n">
        <v>0.00000501061873024218</v>
      </c>
      <c r="G6" t="n">
        <v>314</v>
      </c>
      <c r="H6" t="s">
        <v>1487</v>
      </c>
      <c r="I6" s="19" t="n">
        <v>-0.0940721649484536</v>
      </c>
      <c r="J6" s="19" t="n">
        <v>-0.133920420736802</v>
      </c>
      <c r="K6" s="19" t="n">
        <v>-0.0542239091601051</v>
      </c>
      <c r="L6" t="s">
        <v>1534</v>
      </c>
      <c r="M6" t="s">
        <v>50</v>
      </c>
      <c r="N6" t="s">
        <v>1484</v>
      </c>
      <c r="O6" t="s">
        <v>1485</v>
      </c>
      <c r="P6" t="s">
        <v>1486</v>
      </c>
      <c r="Q6"/>
    </row>
    <row r="7">
      <c r="A7" t="s">
        <v>1532</v>
      </c>
      <c r="B7" t="s">
        <v>440</v>
      </c>
      <c r="C7" s="19" t="n">
        <v>0.0238095238095235</v>
      </c>
      <c r="D7" s="19" t="n">
        <v>0.0211477248387105</v>
      </c>
      <c r="E7" s="19" t="n">
        <v>1.12586691907115</v>
      </c>
      <c r="F7" t="n">
        <v>0.261081620138807</v>
      </c>
      <c r="G7" t="n">
        <v>314</v>
      </c>
      <c r="H7" t="s">
        <v>1487</v>
      </c>
      <c r="I7" s="19" t="n">
        <v>0.0238095238095235</v>
      </c>
      <c r="J7" s="19" t="n">
        <v>-0.0177996335166262</v>
      </c>
      <c r="K7" s="19" t="n">
        <v>0.0654186811356731</v>
      </c>
      <c r="L7" t="s">
        <v>1535</v>
      </c>
      <c r="M7" t="s">
        <v>524</v>
      </c>
      <c r="N7" t="s">
        <v>1484</v>
      </c>
      <c r="O7" t="s">
        <v>1485</v>
      </c>
      <c r="P7" t="s">
        <v>1486</v>
      </c>
      <c r="Q7"/>
    </row>
    <row r="8">
      <c r="A8" t="s">
        <v>145</v>
      </c>
      <c r="B8" t="s">
        <v>1481</v>
      </c>
      <c r="C8" s="19" t="n">
        <v>60.4778119056393</v>
      </c>
      <c r="D8" s="19" t="n">
        <v>2.00672602942132</v>
      </c>
      <c r="E8" s="19" t="n">
        <v>30.1375529190097</v>
      </c>
      <c r="F8" t="n">
        <v>0.000000000000000000000000000000000000000000000000000000000000000000000000000000000000000000000112131203972927</v>
      </c>
      <c r="G8" t="n">
        <v>314</v>
      </c>
      <c r="H8" t="s">
        <v>1482</v>
      </c>
      <c r="I8" s="19" t="n">
        <v>60.4778119056393</v>
      </c>
      <c r="J8" s="19" t="n">
        <v>56.5294827257632</v>
      </c>
      <c r="K8" s="19" t="n">
        <v>64.4261410855154</v>
      </c>
      <c r="L8" t="s">
        <v>1536</v>
      </c>
      <c r="M8" t="s">
        <v>50</v>
      </c>
      <c r="N8" t="s">
        <v>1491</v>
      </c>
      <c r="O8" t="s">
        <v>1492</v>
      </c>
      <c r="P8" t="s">
        <v>1486</v>
      </c>
      <c r="Q8"/>
    </row>
    <row r="9">
      <c r="A9" t="s">
        <v>145</v>
      </c>
      <c r="B9" t="s">
        <v>417</v>
      </c>
      <c r="C9" s="19" t="n">
        <v>15.2842536724706</v>
      </c>
      <c r="D9" s="19" t="n">
        <v>3.18254935294029</v>
      </c>
      <c r="E9" s="19" t="n">
        <v>4.80251898005911</v>
      </c>
      <c r="F9" t="n">
        <v>0.00000242970760363742</v>
      </c>
      <c r="G9" t="n">
        <v>314</v>
      </c>
      <c r="H9" t="s">
        <v>1487</v>
      </c>
      <c r="I9" s="19" t="n">
        <v>15.2842536724706</v>
      </c>
      <c r="J9" s="19" t="n">
        <v>9.02243601904952</v>
      </c>
      <c r="K9" s="19" t="n">
        <v>21.5460713258917</v>
      </c>
      <c r="L9" t="s">
        <v>1537</v>
      </c>
      <c r="M9" t="s">
        <v>50</v>
      </c>
      <c r="N9" t="s">
        <v>1491</v>
      </c>
      <c r="O9" t="s">
        <v>1492</v>
      </c>
      <c r="P9" t="s">
        <v>1486</v>
      </c>
      <c r="Q9"/>
    </row>
    <row r="10">
      <c r="A10" t="s">
        <v>145</v>
      </c>
      <c r="B10" t="s">
        <v>440</v>
      </c>
      <c r="C10" s="19" t="n">
        <v>-3.88710647764008</v>
      </c>
      <c r="D10" s="19" t="n">
        <v>3.40339032602126</v>
      </c>
      <c r="E10" s="19" t="n">
        <v>-1.14212773301977</v>
      </c>
      <c r="F10" t="n">
        <v>0.254271100590737</v>
      </c>
      <c r="G10" t="n">
        <v>314</v>
      </c>
      <c r="H10" t="s">
        <v>1487</v>
      </c>
      <c r="I10" s="19" t="n">
        <v>-3.88710647764008</v>
      </c>
      <c r="J10" s="19" t="n">
        <v>-10.5834392792896</v>
      </c>
      <c r="K10" s="19" t="n">
        <v>2.8092263240094</v>
      </c>
      <c r="L10" t="s">
        <v>1538</v>
      </c>
      <c r="M10" t="s">
        <v>400</v>
      </c>
      <c r="N10" t="s">
        <v>1491</v>
      </c>
      <c r="O10" t="s">
        <v>1492</v>
      </c>
      <c r="P10" t="s">
        <v>1486</v>
      </c>
      <c r="Q10"/>
    </row>
    <row r="11">
      <c r="A11" t="s">
        <v>1539</v>
      </c>
      <c r="B11"/>
      <c r="C11" s="19"/>
      <c r="D11" s="19"/>
      <c r="E11" s="19"/>
      <c r="F11"/>
      <c r="G11"/>
      <c r="H11"/>
      <c r="I11" s="19"/>
      <c r="J11" s="19"/>
      <c r="K11" s="19"/>
      <c r="L11"/>
      <c r="M11" t="s">
        <v>109</v>
      </c>
      <c r="N11"/>
      <c r="O11" t="s">
        <v>1530</v>
      </c>
      <c r="P11"/>
      <c r="Q11"/>
    </row>
  </sheetData>
  <pageMargins left="0.7" right="0.7" top="0.75" bottom="0.75" header="0.3" footer="0.3"/>
  <pageSetup paperSize="9" orientation="portrait" horizontalDpi="300" verticalDpi="300"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 t="s">
        <v>1464</v>
      </c>
    </row>
    <row r="2">
      <c r="A2" t="s">
        <v>1465</v>
      </c>
      <c r="B2" t="s">
        <v>1466</v>
      </c>
      <c r="C2" t="s">
        <v>1467</v>
      </c>
      <c r="D2" t="s">
        <v>1468</v>
      </c>
      <c r="E2" t="s">
        <v>1469</v>
      </c>
      <c r="F2" t="s">
        <v>1470</v>
      </c>
      <c r="G2" t="s">
        <v>1471</v>
      </c>
      <c r="H2" t="s">
        <v>1472</v>
      </c>
      <c r="I2" t="s">
        <v>1473</v>
      </c>
      <c r="J2" t="s">
        <v>1474</v>
      </c>
      <c r="K2" t="s">
        <v>1475</v>
      </c>
      <c r="L2" t="s">
        <v>1476</v>
      </c>
      <c r="M2" t="s">
        <v>41</v>
      </c>
      <c r="N2" t="s">
        <v>1477</v>
      </c>
      <c r="O2" t="s">
        <v>1478</v>
      </c>
      <c r="P2" t="s">
        <v>1479</v>
      </c>
      <c r="Q2" t="s">
        <v>1</v>
      </c>
    </row>
    <row r="3">
      <c r="A3" t="s">
        <v>167</v>
      </c>
      <c r="B3" t="s">
        <v>1481</v>
      </c>
      <c r="C3" s="20" t="n">
        <v>181.602299807182</v>
      </c>
      <c r="D3" s="20" t="n">
        <v>0.973679619987849</v>
      </c>
      <c r="E3" s="20" t="n">
        <v>186.511349399969</v>
      </c>
      <c r="F3" t="n">
        <v>2.22545167958555e-302</v>
      </c>
      <c r="G3" t="n">
        <v>288</v>
      </c>
      <c r="H3" t="s">
        <v>1482</v>
      </c>
      <c r="I3" s="20" t="n">
        <v>181.602299807182</v>
      </c>
      <c r="J3" s="20" t="n">
        <v>179.68586933129</v>
      </c>
      <c r="K3" s="20" t="n">
        <v>183.518730283074</v>
      </c>
      <c r="L3" t="s">
        <v>1540</v>
      </c>
      <c r="M3" t="s">
        <v>50</v>
      </c>
      <c r="N3" t="s">
        <v>1491</v>
      </c>
      <c r="O3" t="s">
        <v>1492</v>
      </c>
      <c r="P3" t="s">
        <v>1486</v>
      </c>
      <c r="Q3"/>
    </row>
    <row r="4">
      <c r="A4" t="s">
        <v>167</v>
      </c>
      <c r="B4" t="s">
        <v>417</v>
      </c>
      <c r="C4" s="20" t="n">
        <v>-2.49260541307897</v>
      </c>
      <c r="D4" s="20" t="n">
        <v>1.49350297458913</v>
      </c>
      <c r="E4" s="20" t="n">
        <v>-1.66896581760387</v>
      </c>
      <c r="F4" t="n">
        <v>0.0962108084963779</v>
      </c>
      <c r="G4" t="n">
        <v>288</v>
      </c>
      <c r="H4" t="s">
        <v>1487</v>
      </c>
      <c r="I4" s="20" t="n">
        <v>-2.49260541307897</v>
      </c>
      <c r="J4" s="20" t="n">
        <v>-5.4321704995636</v>
      </c>
      <c r="K4" s="20" t="n">
        <v>0.446959673405668</v>
      </c>
      <c r="L4" t="s">
        <v>1541</v>
      </c>
      <c r="M4" t="s">
        <v>433</v>
      </c>
      <c r="N4" t="s">
        <v>1491</v>
      </c>
      <c r="O4" t="s">
        <v>1492</v>
      </c>
      <c r="P4" t="s">
        <v>1486</v>
      </c>
      <c r="Q4"/>
    </row>
    <row r="5">
      <c r="A5" t="s">
        <v>167</v>
      </c>
      <c r="B5" t="s">
        <v>440</v>
      </c>
      <c r="C5" s="20" t="n">
        <v>-2.30847605404202</v>
      </c>
      <c r="D5" s="20" t="n">
        <v>1.61692419814542</v>
      </c>
      <c r="E5" s="20" t="n">
        <v>-1.42769590354934</v>
      </c>
      <c r="F5" t="n">
        <v>0.154462813704156</v>
      </c>
      <c r="G5" t="n">
        <v>288</v>
      </c>
      <c r="H5" t="s">
        <v>1487</v>
      </c>
      <c r="I5" s="20" t="n">
        <v>-2.30847605404202</v>
      </c>
      <c r="J5" s="20" t="n">
        <v>-5.49096313390071</v>
      </c>
      <c r="K5" s="20" t="n">
        <v>0.874011025816679</v>
      </c>
      <c r="L5" t="s">
        <v>1542</v>
      </c>
      <c r="M5" t="s">
        <v>373</v>
      </c>
      <c r="N5" t="s">
        <v>1491</v>
      </c>
      <c r="O5" t="s">
        <v>1492</v>
      </c>
      <c r="P5" t="s">
        <v>1486</v>
      </c>
      <c r="Q5"/>
    </row>
    <row r="6">
      <c r="A6" t="s">
        <v>177</v>
      </c>
      <c r="B6" t="s">
        <v>1481</v>
      </c>
      <c r="C6" s="20" t="n">
        <v>0.0597505132881428</v>
      </c>
      <c r="D6" s="20" t="n">
        <v>0.0297823257659476</v>
      </c>
      <c r="E6" s="20" t="n">
        <v>2.00624067299875</v>
      </c>
      <c r="F6" t="n">
        <v>0.0457653747248781</v>
      </c>
      <c r="G6" t="n">
        <v>288</v>
      </c>
      <c r="H6" t="s">
        <v>1482</v>
      </c>
      <c r="I6" s="20" t="n">
        <v>0.0597505132881428</v>
      </c>
      <c r="J6" s="20" t="n">
        <v>0.00113189216355088</v>
      </c>
      <c r="K6" s="20" t="n">
        <v>0.118369134412735</v>
      </c>
      <c r="L6" t="s">
        <v>1543</v>
      </c>
      <c r="M6" t="s">
        <v>1544</v>
      </c>
      <c r="N6" t="s">
        <v>1491</v>
      </c>
      <c r="O6" t="s">
        <v>1492</v>
      </c>
      <c r="P6" t="s">
        <v>1486</v>
      </c>
      <c r="Q6"/>
    </row>
    <row r="7">
      <c r="A7" t="s">
        <v>177</v>
      </c>
      <c r="B7" t="s">
        <v>417</v>
      </c>
      <c r="C7" s="20" t="n">
        <v>-0.347948543713529</v>
      </c>
      <c r="D7" s="20" t="n">
        <v>0.046563360258482</v>
      </c>
      <c r="E7" s="20" t="n">
        <v>-7.47258234332747</v>
      </c>
      <c r="F7" t="n">
        <v>0.000000000000947228266032016</v>
      </c>
      <c r="G7" t="n">
        <v>288</v>
      </c>
      <c r="H7" t="s">
        <v>1487</v>
      </c>
      <c r="I7" s="20" t="n">
        <v>-0.347948543713529</v>
      </c>
      <c r="J7" s="20" t="n">
        <v>-0.43959618717597</v>
      </c>
      <c r="K7" s="20" t="n">
        <v>-0.256300900251088</v>
      </c>
      <c r="L7" t="s">
        <v>1545</v>
      </c>
      <c r="M7" t="s">
        <v>50</v>
      </c>
      <c r="N7" t="s">
        <v>1491</v>
      </c>
      <c r="O7" t="s">
        <v>1492</v>
      </c>
      <c r="P7" t="s">
        <v>1486</v>
      </c>
      <c r="Q7"/>
    </row>
    <row r="8">
      <c r="A8" t="s">
        <v>177</v>
      </c>
      <c r="B8" t="s">
        <v>440</v>
      </c>
      <c r="C8" s="20" t="n">
        <v>-0.0210057152976841</v>
      </c>
      <c r="D8" s="20" t="n">
        <v>0.0485067044700613</v>
      </c>
      <c r="E8" s="20" t="n">
        <v>-0.433047668918612</v>
      </c>
      <c r="F8" t="n">
        <v>0.665304273846181</v>
      </c>
      <c r="G8" t="n">
        <v>288</v>
      </c>
      <c r="H8" t="s">
        <v>1487</v>
      </c>
      <c r="I8" s="20" t="n">
        <v>-0.0210057152976841</v>
      </c>
      <c r="J8" s="20" t="n">
        <v>-0.116478317191796</v>
      </c>
      <c r="K8" s="20" t="n">
        <v>0.0744668865964281</v>
      </c>
      <c r="L8" t="s">
        <v>1546</v>
      </c>
      <c r="M8" t="s">
        <v>458</v>
      </c>
      <c r="N8" t="s">
        <v>1491</v>
      </c>
      <c r="O8" t="s">
        <v>1492</v>
      </c>
      <c r="P8" t="s">
        <v>1486</v>
      </c>
      <c r="Q8"/>
    </row>
    <row r="9">
      <c r="A9" t="s">
        <v>185</v>
      </c>
      <c r="B9" t="s">
        <v>1481</v>
      </c>
      <c r="C9" s="20" t="n">
        <v>-0.27428239935734</v>
      </c>
      <c r="D9" s="20" t="n">
        <v>0.0174662896535286</v>
      </c>
      <c r="E9" s="20" t="n">
        <v>-15.7035297592198</v>
      </c>
      <c r="F9" t="n">
        <v>0.000000000000000000000000000000000000000142692862096514</v>
      </c>
      <c r="G9" t="n">
        <v>288</v>
      </c>
      <c r="H9" t="s">
        <v>1482</v>
      </c>
      <c r="I9" s="20" t="n">
        <v>-0.27428239935734</v>
      </c>
      <c r="J9" s="20" t="n">
        <v>-0.308660165005959</v>
      </c>
      <c r="K9" s="20" t="n">
        <v>-0.239904633708721</v>
      </c>
      <c r="L9" t="s">
        <v>1547</v>
      </c>
      <c r="M9" t="s">
        <v>50</v>
      </c>
      <c r="N9" t="s">
        <v>1491</v>
      </c>
      <c r="O9" t="s">
        <v>1492</v>
      </c>
      <c r="P9" t="s">
        <v>1486</v>
      </c>
      <c r="Q9"/>
    </row>
    <row r="10">
      <c r="A10" t="s">
        <v>185</v>
      </c>
      <c r="B10" t="s">
        <v>417</v>
      </c>
      <c r="C10" s="20" t="n">
        <v>0.0392332169120397</v>
      </c>
      <c r="D10" s="20" t="n">
        <v>0.0213129030699485</v>
      </c>
      <c r="E10" s="20" t="n">
        <v>1.84081993819786</v>
      </c>
      <c r="F10" t="n">
        <v>0.0666765046318654</v>
      </c>
      <c r="G10" t="n">
        <v>288</v>
      </c>
      <c r="H10" t="s">
        <v>1487</v>
      </c>
      <c r="I10" s="20" t="n">
        <v>0.0392332169120397</v>
      </c>
      <c r="J10" s="20" t="n">
        <v>-0.00271558856207556</v>
      </c>
      <c r="K10" s="20" t="n">
        <v>0.0811820223861549</v>
      </c>
      <c r="L10" t="s">
        <v>1548</v>
      </c>
      <c r="M10" t="s">
        <v>72</v>
      </c>
      <c r="N10" t="s">
        <v>1491</v>
      </c>
      <c r="O10" t="s">
        <v>1492</v>
      </c>
      <c r="P10" t="s">
        <v>1486</v>
      </c>
      <c r="Q10"/>
    </row>
    <row r="11">
      <c r="A11" t="s">
        <v>185</v>
      </c>
      <c r="B11" t="s">
        <v>440</v>
      </c>
      <c r="C11" s="20" t="n">
        <v>0.00712591778605039</v>
      </c>
      <c r="D11" s="20" t="n">
        <v>0.0275922485113786</v>
      </c>
      <c r="E11" s="20" t="n">
        <v>0.258257959046425</v>
      </c>
      <c r="F11" t="n">
        <v>0.796392288948931</v>
      </c>
      <c r="G11" t="n">
        <v>288</v>
      </c>
      <c r="H11" t="s">
        <v>1487</v>
      </c>
      <c r="I11" s="20" t="n">
        <v>0.00712591778605039</v>
      </c>
      <c r="J11" s="20" t="n">
        <v>-0.0471821162531652</v>
      </c>
      <c r="K11" s="20" t="n">
        <v>0.0614339518252659</v>
      </c>
      <c r="L11" t="s">
        <v>1549</v>
      </c>
      <c r="M11" t="s">
        <v>540</v>
      </c>
      <c r="N11" t="s">
        <v>1491</v>
      </c>
      <c r="O11" t="s">
        <v>1492</v>
      </c>
      <c r="P11" t="s">
        <v>1486</v>
      </c>
      <c r="Q11"/>
    </row>
    <row r="12">
      <c r="A12" t="s">
        <v>194</v>
      </c>
      <c r="B12" t="s">
        <v>1481</v>
      </c>
      <c r="C12" s="20" t="n">
        <v>-0.0359252915816149</v>
      </c>
      <c r="D12" s="20" t="n">
        <v>0.00921914117934841</v>
      </c>
      <c r="E12" s="20" t="n">
        <v>-3.89681542811063</v>
      </c>
      <c r="F12" t="n">
        <v>0.000121360233245221</v>
      </c>
      <c r="G12" t="n">
        <v>287</v>
      </c>
      <c r="H12" t="s">
        <v>1482</v>
      </c>
      <c r="I12" s="20" t="n">
        <v>-0.0359252915816149</v>
      </c>
      <c r="J12" s="20" t="n">
        <v>-0.0540709963159641</v>
      </c>
      <c r="K12" s="20" t="n">
        <v>-0.0177795868472657</v>
      </c>
      <c r="L12" t="s">
        <v>1550</v>
      </c>
      <c r="M12" t="s">
        <v>50</v>
      </c>
      <c r="N12" t="s">
        <v>1491</v>
      </c>
      <c r="O12" t="s">
        <v>1492</v>
      </c>
      <c r="P12" t="s">
        <v>1486</v>
      </c>
      <c r="Q12"/>
    </row>
    <row r="13">
      <c r="A13" t="s">
        <v>194</v>
      </c>
      <c r="B13" t="s">
        <v>417</v>
      </c>
      <c r="C13" s="20" t="n">
        <v>0.0297019768546012</v>
      </c>
      <c r="D13" s="20" t="n">
        <v>0.0134844697683438</v>
      </c>
      <c r="E13" s="20" t="n">
        <v>2.20268036970423</v>
      </c>
      <c r="F13" t="n">
        <v>0.0284121396890755</v>
      </c>
      <c r="G13" t="n">
        <v>287</v>
      </c>
      <c r="H13" t="s">
        <v>1487</v>
      </c>
      <c r="I13" s="20" t="n">
        <v>0.0297019768546012</v>
      </c>
      <c r="J13" s="20" t="n">
        <v>0.00316097892913941</v>
      </c>
      <c r="K13" s="20" t="n">
        <v>0.056242974780063</v>
      </c>
      <c r="L13" t="s">
        <v>1551</v>
      </c>
      <c r="M13" t="s">
        <v>198</v>
      </c>
      <c r="N13" t="s">
        <v>1491</v>
      </c>
      <c r="O13" t="s">
        <v>1492</v>
      </c>
      <c r="P13" t="s">
        <v>1486</v>
      </c>
      <c r="Q13"/>
    </row>
    <row r="14">
      <c r="A14" t="s">
        <v>194</v>
      </c>
      <c r="B14" t="s">
        <v>440</v>
      </c>
      <c r="C14" s="20" t="n">
        <v>-0.004562695555897</v>
      </c>
      <c r="D14" s="20" t="n">
        <v>0.013484599882945</v>
      </c>
      <c r="E14" s="20" t="n">
        <v>-0.338363436475991</v>
      </c>
      <c r="F14" t="n">
        <v>0.735336718042572</v>
      </c>
      <c r="G14" t="n">
        <v>287</v>
      </c>
      <c r="H14" t="s">
        <v>1487</v>
      </c>
      <c r="I14" s="20" t="n">
        <v>-0.004562695555897</v>
      </c>
      <c r="J14" s="20" t="n">
        <v>-0.0311039495812587</v>
      </c>
      <c r="K14" s="20" t="n">
        <v>0.0219785584694647</v>
      </c>
      <c r="L14" t="s">
        <v>1552</v>
      </c>
      <c r="M14" t="s">
        <v>511</v>
      </c>
      <c r="N14" t="s">
        <v>1491</v>
      </c>
      <c r="O14" t="s">
        <v>1492</v>
      </c>
      <c r="P14" t="s">
        <v>1486</v>
      </c>
      <c r="Q14"/>
    </row>
    <row r="15">
      <c r="A15" t="s">
        <v>203</v>
      </c>
      <c r="B15" t="s">
        <v>1481</v>
      </c>
      <c r="C15" s="20" t="n">
        <v>-0.0631482238730433</v>
      </c>
      <c r="D15" s="20" t="n">
        <v>0.0085147855050982</v>
      </c>
      <c r="E15" s="20" t="n">
        <v>-7.41630236430894</v>
      </c>
      <c r="F15" t="n">
        <v>0.00000000000135423332535087</v>
      </c>
      <c r="G15" t="n">
        <v>288</v>
      </c>
      <c r="H15" t="s">
        <v>1482</v>
      </c>
      <c r="I15" s="20" t="n">
        <v>-0.0631482238730433</v>
      </c>
      <c r="J15" s="20" t="n">
        <v>-0.0799073241999629</v>
      </c>
      <c r="K15" s="20" t="n">
        <v>-0.0463891235461237</v>
      </c>
      <c r="L15" t="s">
        <v>1553</v>
      </c>
      <c r="M15" t="s">
        <v>50</v>
      </c>
      <c r="N15" t="s">
        <v>1491</v>
      </c>
      <c r="O15" t="s">
        <v>1492</v>
      </c>
      <c r="P15" t="s">
        <v>1486</v>
      </c>
      <c r="Q15"/>
    </row>
    <row r="16">
      <c r="A16" t="s">
        <v>203</v>
      </c>
      <c r="B16" t="s">
        <v>417</v>
      </c>
      <c r="C16" s="20" t="n">
        <v>0.0104992960586081</v>
      </c>
      <c r="D16" s="20" t="n">
        <v>0.0117658013350142</v>
      </c>
      <c r="E16" s="20" t="n">
        <v>0.892357074512466</v>
      </c>
      <c r="F16" t="n">
        <v>0.372946550084806</v>
      </c>
      <c r="G16" t="n">
        <v>288</v>
      </c>
      <c r="H16" t="s">
        <v>1487</v>
      </c>
      <c r="I16" s="20" t="n">
        <v>0.0104992960586081</v>
      </c>
      <c r="J16" s="20" t="n">
        <v>-0.0126585679747305</v>
      </c>
      <c r="K16" s="20" t="n">
        <v>0.0336571600919467</v>
      </c>
      <c r="L16" t="s">
        <v>1554</v>
      </c>
      <c r="M16" t="s">
        <v>461</v>
      </c>
      <c r="N16" t="s">
        <v>1491</v>
      </c>
      <c r="O16" t="s">
        <v>1492</v>
      </c>
      <c r="P16" t="s">
        <v>1486</v>
      </c>
      <c r="Q16"/>
    </row>
    <row r="17">
      <c r="A17" t="s">
        <v>203</v>
      </c>
      <c r="B17" t="s">
        <v>440</v>
      </c>
      <c r="C17" s="20" t="n">
        <v>0.0071806188598826</v>
      </c>
      <c r="D17" s="20" t="n">
        <v>0.0125869640930543</v>
      </c>
      <c r="E17" s="20" t="n">
        <v>0.57048060253425</v>
      </c>
      <c r="F17" t="n">
        <v>0.5687965808602</v>
      </c>
      <c r="G17" t="n">
        <v>288</v>
      </c>
      <c r="H17" t="s">
        <v>1487</v>
      </c>
      <c r="I17" s="20" t="n">
        <v>0.0071806188598826</v>
      </c>
      <c r="J17" s="20" t="n">
        <v>-0.0175934865970932</v>
      </c>
      <c r="K17" s="20" t="n">
        <v>0.0319547243168584</v>
      </c>
      <c r="L17" t="s">
        <v>1555</v>
      </c>
      <c r="M17" t="s">
        <v>492</v>
      </c>
      <c r="N17" t="s">
        <v>1491</v>
      </c>
      <c r="O17" t="s">
        <v>1492</v>
      </c>
      <c r="P17" t="s">
        <v>1486</v>
      </c>
      <c r="Q17"/>
    </row>
    <row r="18">
      <c r="A18" t="s">
        <v>212</v>
      </c>
      <c r="B18"/>
      <c r="C18" s="20"/>
      <c r="D18" s="20"/>
      <c r="E18" s="20"/>
      <c r="F18"/>
      <c r="G18"/>
      <c r="H18"/>
      <c r="I18" s="20"/>
      <c r="J18" s="20"/>
      <c r="K18" s="20"/>
      <c r="L18"/>
      <c r="M18" t="s">
        <v>109</v>
      </c>
      <c r="N18"/>
      <c r="O18" t="s">
        <v>1515</v>
      </c>
      <c r="P18"/>
      <c r="Q18"/>
    </row>
    <row r="19">
      <c r="A19" t="s">
        <v>216</v>
      </c>
      <c r="B19"/>
      <c r="C19" s="20"/>
      <c r="D19" s="20"/>
      <c r="E19" s="20"/>
      <c r="F19"/>
      <c r="G19"/>
      <c r="H19"/>
      <c r="I19" s="20"/>
      <c r="J19" s="20"/>
      <c r="K19" s="20"/>
      <c r="L19"/>
      <c r="M19" t="s">
        <v>109</v>
      </c>
      <c r="N19"/>
      <c r="O19" t="s">
        <v>1515</v>
      </c>
      <c r="P19"/>
      <c r="Q19"/>
    </row>
    <row r="20">
      <c r="A20" t="s">
        <v>1556</v>
      </c>
      <c r="B20" t="s">
        <v>1481</v>
      </c>
      <c r="C20" s="20" t="n">
        <v>-1.93736824457968</v>
      </c>
      <c r="D20" s="20" t="n">
        <v>0.240646355099284</v>
      </c>
      <c r="E20" s="20" t="n">
        <v>-8.05068601093241</v>
      </c>
      <c r="F20" t="n">
        <v>0.0000000000000218469125346825</v>
      </c>
      <c r="G20" t="n">
        <v>288</v>
      </c>
      <c r="H20" t="s">
        <v>1516</v>
      </c>
      <c r="I20" s="20" t="n">
        <v>0.144082641519902</v>
      </c>
      <c r="J20" s="20" t="n">
        <v>0.0897240109542308</v>
      </c>
      <c r="K20" s="20" t="n">
        <v>0.231374047666486</v>
      </c>
      <c r="L20" t="s">
        <v>1557</v>
      </c>
      <c r="M20" t="s">
        <v>50</v>
      </c>
      <c r="N20" t="s">
        <v>1491</v>
      </c>
      <c r="O20" t="s">
        <v>1558</v>
      </c>
      <c r="P20" t="s">
        <v>1486</v>
      </c>
      <c r="Q20"/>
    </row>
    <row r="21">
      <c r="A21" t="s">
        <v>1556</v>
      </c>
      <c r="B21" t="s">
        <v>417</v>
      </c>
      <c r="C21" s="20" t="n">
        <v>1.55140044577577</v>
      </c>
      <c r="D21" s="20" t="n">
        <v>0.308822620799304</v>
      </c>
      <c r="E21" s="20" t="n">
        <v>5.02359717614073</v>
      </c>
      <c r="F21" t="n">
        <v>0.00000089126054232223</v>
      </c>
      <c r="G21" t="n">
        <v>288</v>
      </c>
      <c r="H21" t="s">
        <v>1520</v>
      </c>
      <c r="I21" s="20" t="n">
        <v>4.71807296344473</v>
      </c>
      <c r="J21" s="20" t="n">
        <v>2.56912378506528</v>
      </c>
      <c r="K21" s="20" t="n">
        <v>8.66451535647688</v>
      </c>
      <c r="L21" t="s">
        <v>1559</v>
      </c>
      <c r="M21" t="s">
        <v>50</v>
      </c>
      <c r="N21" t="s">
        <v>1491</v>
      </c>
      <c r="O21" t="s">
        <v>1558</v>
      </c>
      <c r="P21" t="s">
        <v>1486</v>
      </c>
      <c r="Q21"/>
    </row>
    <row r="22">
      <c r="A22" t="s">
        <v>1556</v>
      </c>
      <c r="B22" t="s">
        <v>440</v>
      </c>
      <c r="C22" s="20" t="n">
        <v>0.576726707665195</v>
      </c>
      <c r="D22" s="20" t="n">
        <v>0.347686748155007</v>
      </c>
      <c r="E22" s="20" t="n">
        <v>1.658753779733</v>
      </c>
      <c r="F22" t="n">
        <v>0.0982540305684506</v>
      </c>
      <c r="G22" t="n">
        <v>288</v>
      </c>
      <c r="H22" t="s">
        <v>1520</v>
      </c>
      <c r="I22" s="20" t="n">
        <v>1.78020176261695</v>
      </c>
      <c r="J22" s="20" t="n">
        <v>0.897984402977029</v>
      </c>
      <c r="K22" s="20" t="n">
        <v>3.529146280401</v>
      </c>
      <c r="L22" t="s">
        <v>1560</v>
      </c>
      <c r="M22" t="s">
        <v>433</v>
      </c>
      <c r="N22" t="s">
        <v>1491</v>
      </c>
      <c r="O22" t="s">
        <v>1558</v>
      </c>
      <c r="P22" t="s">
        <v>1486</v>
      </c>
      <c r="Q22"/>
    </row>
    <row r="23">
      <c r="A23" t="s">
        <v>1561</v>
      </c>
      <c r="B23" t="s">
        <v>1481</v>
      </c>
      <c r="C23" s="20" t="n">
        <v>-2.54439216933735</v>
      </c>
      <c r="D23" s="20" t="n">
        <v>0.314050629731473</v>
      </c>
      <c r="E23" s="20" t="n">
        <v>-8.10185342252909</v>
      </c>
      <c r="F23" t="n">
        <v>0.0000000000000155201771368912</v>
      </c>
      <c r="G23" t="n">
        <v>288</v>
      </c>
      <c r="H23" t="s">
        <v>1516</v>
      </c>
      <c r="I23" s="20" t="n">
        <v>0.0785207648070971</v>
      </c>
      <c r="J23" s="20" t="n">
        <v>0.0423190616220177</v>
      </c>
      <c r="K23" s="20" t="n">
        <v>0.145691096862216</v>
      </c>
      <c r="L23" t="s">
        <v>1562</v>
      </c>
      <c r="M23" t="s">
        <v>50</v>
      </c>
      <c r="N23" t="s">
        <v>1491</v>
      </c>
      <c r="O23" t="s">
        <v>1558</v>
      </c>
      <c r="P23" t="s">
        <v>1486</v>
      </c>
      <c r="Q23"/>
    </row>
    <row r="24">
      <c r="A24" t="s">
        <v>1561</v>
      </c>
      <c r="B24" t="s">
        <v>417</v>
      </c>
      <c r="C24" s="20" t="n">
        <v>0.224703694272977</v>
      </c>
      <c r="D24" s="20" t="n">
        <v>0.426583812220952</v>
      </c>
      <c r="E24" s="20" t="n">
        <v>0.526751573396766</v>
      </c>
      <c r="F24" t="n">
        <v>0.598771579848861</v>
      </c>
      <c r="G24" t="n">
        <v>288</v>
      </c>
      <c r="H24" t="s">
        <v>1520</v>
      </c>
      <c r="I24" s="20" t="n">
        <v>1.25195170076869</v>
      </c>
      <c r="J24" s="20" t="n">
        <v>0.540687625226785</v>
      </c>
      <c r="K24" s="20" t="n">
        <v>2.8988698611332</v>
      </c>
      <c r="L24" t="s">
        <v>1563</v>
      </c>
      <c r="M24" t="s">
        <v>1564</v>
      </c>
      <c r="N24" t="s">
        <v>1491</v>
      </c>
      <c r="O24" t="s">
        <v>1558</v>
      </c>
      <c r="P24" t="s">
        <v>1486</v>
      </c>
      <c r="Q24"/>
    </row>
    <row r="25">
      <c r="A25" t="s">
        <v>1561</v>
      </c>
      <c r="B25" t="s">
        <v>440</v>
      </c>
      <c r="C25" s="20" t="n">
        <v>0.00675935099052901</v>
      </c>
      <c r="D25" s="20" t="n">
        <v>0.446515536078719</v>
      </c>
      <c r="E25" s="20" t="n">
        <v>0.0151379973245486</v>
      </c>
      <c r="F25" t="n">
        <v>0.98793256827818</v>
      </c>
      <c r="G25" t="n">
        <v>288</v>
      </c>
      <c r="H25" t="s">
        <v>1520</v>
      </c>
      <c r="I25" s="20" t="n">
        <v>1.00678224696167</v>
      </c>
      <c r="J25" s="20" t="n">
        <v>0.41807759375784</v>
      </c>
      <c r="K25" s="20" t="n">
        <v>2.42445543107553</v>
      </c>
      <c r="L25" t="s">
        <v>1565</v>
      </c>
      <c r="M25" t="s">
        <v>1566</v>
      </c>
      <c r="N25" t="s">
        <v>1491</v>
      </c>
      <c r="O25" t="s">
        <v>1558</v>
      </c>
      <c r="P25" t="s">
        <v>1486</v>
      </c>
      <c r="Q25"/>
    </row>
    <row r="26">
      <c r="A26" t="s">
        <v>1567</v>
      </c>
      <c r="B26"/>
      <c r="C26" s="20"/>
      <c r="D26" s="20"/>
      <c r="E26" s="20"/>
      <c r="F26"/>
      <c r="G26"/>
      <c r="H26"/>
      <c r="I26" s="20"/>
      <c r="J26" s="20"/>
      <c r="K26" s="20"/>
      <c r="L26"/>
      <c r="M26" t="s">
        <v>109</v>
      </c>
      <c r="N26"/>
      <c r="O26" t="s">
        <v>1530</v>
      </c>
      <c r="P26"/>
      <c r="Q26"/>
    </row>
  </sheetData>
  <pageMargins left="0.7" right="0.7" top="0.75" bottom="0.75" header="0.3" footer="0.3"/>
  <pageSetup paperSize="9" orientation="portrait" horizontalDpi="300" verticalDpi="300"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0" t="s">
        <v>1463</v>
      </c>
    </row>
    <row r="3">
      <c r="A3" s="1" t="s">
        <v>1464</v>
      </c>
    </row>
    <row r="4">
      <c r="A4" t="s">
        <v>1465</v>
      </c>
      <c r="B4" t="s">
        <v>1466</v>
      </c>
      <c r="C4" t="s">
        <v>1467</v>
      </c>
      <c r="D4" t="s">
        <v>1468</v>
      </c>
      <c r="E4" t="s">
        <v>1469</v>
      </c>
      <c r="F4" t="s">
        <v>1470</v>
      </c>
      <c r="G4" t="s">
        <v>1471</v>
      </c>
      <c r="H4" t="s">
        <v>1472</v>
      </c>
      <c r="I4" t="s">
        <v>1473</v>
      </c>
      <c r="J4" t="s">
        <v>1474</v>
      </c>
      <c r="K4" t="s">
        <v>1475</v>
      </c>
      <c r="L4" t="s">
        <v>1476</v>
      </c>
      <c r="M4" t="s">
        <v>41</v>
      </c>
      <c r="N4" t="s">
        <v>1477</v>
      </c>
      <c r="O4" t="s">
        <v>1478</v>
      </c>
      <c r="P4" t="s">
        <v>1479</v>
      </c>
      <c r="Q4" t="s">
        <v>1</v>
      </c>
    </row>
    <row r="5">
      <c r="A5" t="s">
        <v>1480</v>
      </c>
      <c r="B5" t="s">
        <v>1568</v>
      </c>
      <c r="C5" s="21" t="n">
        <v>15.5990429084062</v>
      </c>
      <c r="D5" s="21" t="n">
        <v>9.36477386521428</v>
      </c>
      <c r="E5" s="21" t="n">
        <v>1.66571485151919</v>
      </c>
      <c r="F5" t="n">
        <v>0.0967739019114088</v>
      </c>
      <c r="G5" t="n">
        <v>312</v>
      </c>
      <c r="H5"/>
      <c r="I5" s="21"/>
      <c r="J5" s="21"/>
      <c r="K5" s="21"/>
      <c r="L5"/>
      <c r="M5" t="s">
        <v>433</v>
      </c>
      <c r="N5" t="s">
        <v>1484</v>
      </c>
      <c r="O5" t="s">
        <v>1569</v>
      </c>
      <c r="P5" t="s">
        <v>1570</v>
      </c>
      <c r="Q5"/>
    </row>
    <row r="6">
      <c r="A6" t="s">
        <v>1480</v>
      </c>
      <c r="B6" t="s">
        <v>417</v>
      </c>
      <c r="C6" s="21" t="n">
        <v>5.6440417141484</v>
      </c>
      <c r="D6" s="21" t="n">
        <v>1.12236358132913</v>
      </c>
      <c r="E6" s="21" t="n">
        <v>5.02871066741546</v>
      </c>
      <c r="F6" t="n">
        <v>0.000000834443157625258</v>
      </c>
      <c r="G6" t="n">
        <v>312</v>
      </c>
      <c r="H6" t="s">
        <v>1487</v>
      </c>
      <c r="I6" s="21" t="n">
        <v>5.6440417141484</v>
      </c>
      <c r="J6" s="21" t="n">
        <v>3.43568306272962</v>
      </c>
      <c r="K6" s="21" t="n">
        <v>7.85240036556718</v>
      </c>
      <c r="L6" t="s">
        <v>1571</v>
      </c>
      <c r="M6" t="s">
        <v>50</v>
      </c>
      <c r="N6" t="s">
        <v>1484</v>
      </c>
      <c r="O6" t="s">
        <v>1569</v>
      </c>
      <c r="P6" t="s">
        <v>1570</v>
      </c>
      <c r="Q6"/>
    </row>
    <row r="7">
      <c r="A7" t="s">
        <v>1480</v>
      </c>
      <c r="B7" t="s">
        <v>440</v>
      </c>
      <c r="C7" s="21" t="n">
        <v>-2.6712047466554</v>
      </c>
      <c r="D7" s="21" t="n">
        <v>1.07901902517885</v>
      </c>
      <c r="E7" s="21" t="n">
        <v>-2.47558632825093</v>
      </c>
      <c r="F7" t="n">
        <v>0.0138323779591457</v>
      </c>
      <c r="G7" t="n">
        <v>312</v>
      </c>
      <c r="H7" t="s">
        <v>1487</v>
      </c>
      <c r="I7" s="21" t="n">
        <v>-2.6712047466554</v>
      </c>
      <c r="J7" s="21" t="n">
        <v>-4.79427880121207</v>
      </c>
      <c r="K7" s="21" t="n">
        <v>-0.548130692098733</v>
      </c>
      <c r="L7" t="s">
        <v>1572</v>
      </c>
      <c r="M7" t="s">
        <v>411</v>
      </c>
      <c r="N7" t="s">
        <v>1484</v>
      </c>
      <c r="O7" t="s">
        <v>1569</v>
      </c>
      <c r="P7" t="s">
        <v>1570</v>
      </c>
      <c r="Q7"/>
    </row>
    <row r="8">
      <c r="A8" t="s">
        <v>1480</v>
      </c>
      <c r="B8" t="s">
        <v>55</v>
      </c>
      <c r="C8" s="21" t="n">
        <v>0.785608411108672</v>
      </c>
      <c r="D8" s="21" t="n">
        <v>0.250097761000769</v>
      </c>
      <c r="E8" s="21" t="n">
        <v>3.14120529494167</v>
      </c>
      <c r="F8" t="n">
        <v>0.00184384177682607</v>
      </c>
      <c r="G8" t="n">
        <v>312</v>
      </c>
      <c r="H8" t="s">
        <v>1487</v>
      </c>
      <c r="I8" s="21" t="n">
        <v>0.785608411108672</v>
      </c>
      <c r="J8" s="21" t="n">
        <v>0.293516932559035</v>
      </c>
      <c r="K8" s="21" t="n">
        <v>1.27769988965831</v>
      </c>
      <c r="L8" t="s">
        <v>1573</v>
      </c>
      <c r="M8" t="s">
        <v>567</v>
      </c>
      <c r="N8" t="s">
        <v>1484</v>
      </c>
      <c r="O8" t="s">
        <v>1569</v>
      </c>
      <c r="P8" t="s">
        <v>1570</v>
      </c>
      <c r="Q8"/>
    </row>
    <row r="9">
      <c r="A9" t="s">
        <v>1480</v>
      </c>
      <c r="B9" t="s">
        <v>89</v>
      </c>
      <c r="C9" s="21" t="n">
        <v>0.0393909077425889</v>
      </c>
      <c r="D9" s="21" t="n">
        <v>0.01725716686361</v>
      </c>
      <c r="E9" s="21" t="n">
        <v>2.28258253825267</v>
      </c>
      <c r="F9" t="n">
        <v>0.0231276002317921</v>
      </c>
      <c r="G9" t="n">
        <v>312</v>
      </c>
      <c r="H9" t="s">
        <v>1487</v>
      </c>
      <c r="I9" s="21" t="n">
        <v>0.0393909077425889</v>
      </c>
      <c r="J9" s="21" t="n">
        <v>0.00543576666691346</v>
      </c>
      <c r="K9" s="21" t="n">
        <v>0.0733460488182643</v>
      </c>
      <c r="L9" t="s">
        <v>1574</v>
      </c>
      <c r="M9" t="s">
        <v>372</v>
      </c>
      <c r="N9" t="s">
        <v>1484</v>
      </c>
      <c r="O9" t="s">
        <v>1569</v>
      </c>
      <c r="P9" t="s">
        <v>1570</v>
      </c>
      <c r="Q9"/>
    </row>
    <row r="10">
      <c r="A10" t="s">
        <v>55</v>
      </c>
      <c r="B10" t="s">
        <v>1568</v>
      </c>
      <c r="C10" s="21" t="n">
        <v>-0.419042477106026</v>
      </c>
      <c r="D10" s="21" t="n">
        <v>1.9180207163104</v>
      </c>
      <c r="E10" s="21" t="n">
        <v>-0.218476512554107</v>
      </c>
      <c r="F10" t="n">
        <v>0.827200691604782</v>
      </c>
      <c r="G10" t="n">
        <v>312</v>
      </c>
      <c r="H10"/>
      <c r="I10" s="21"/>
      <c r="J10" s="21"/>
      <c r="K10" s="21"/>
      <c r="L10"/>
      <c r="M10" t="s">
        <v>234</v>
      </c>
      <c r="N10" t="s">
        <v>1491</v>
      </c>
      <c r="O10" t="s">
        <v>1575</v>
      </c>
      <c r="P10" t="s">
        <v>1576</v>
      </c>
      <c r="Q10"/>
    </row>
    <row r="11">
      <c r="A11" t="s">
        <v>55</v>
      </c>
      <c r="B11" t="s">
        <v>417</v>
      </c>
      <c r="C11" s="21" t="n">
        <v>-1.63479664092549</v>
      </c>
      <c r="D11" s="21" t="n">
        <v>0.242519741801306</v>
      </c>
      <c r="E11" s="21" t="n">
        <v>-6.74088067545801</v>
      </c>
      <c r="F11" t="n">
        <v>0.0000000000761895065194479</v>
      </c>
      <c r="G11" t="n">
        <v>312</v>
      </c>
      <c r="H11" t="s">
        <v>1487</v>
      </c>
      <c r="I11" s="21" t="n">
        <v>-1.63479664092549</v>
      </c>
      <c r="J11" s="21" t="n">
        <v>-2.11197763544113</v>
      </c>
      <c r="K11" s="21" t="n">
        <v>-1.15761564640986</v>
      </c>
      <c r="L11" t="s">
        <v>1577</v>
      </c>
      <c r="M11" t="s">
        <v>50</v>
      </c>
      <c r="N11" t="s">
        <v>1491</v>
      </c>
      <c r="O11" t="s">
        <v>1575</v>
      </c>
      <c r="P11" t="s">
        <v>1576</v>
      </c>
      <c r="Q11"/>
    </row>
    <row r="12">
      <c r="A12" t="s">
        <v>55</v>
      </c>
      <c r="B12" t="s">
        <v>440</v>
      </c>
      <c r="C12" s="21" t="n">
        <v>0.449603534856305</v>
      </c>
      <c r="D12" s="21" t="n">
        <v>0.235033088920238</v>
      </c>
      <c r="E12" s="21" t="n">
        <v>1.91293718225728</v>
      </c>
      <c r="F12" t="n">
        <v>0.0566713211164886</v>
      </c>
      <c r="G12" t="n">
        <v>312</v>
      </c>
      <c r="H12" t="s">
        <v>1487</v>
      </c>
      <c r="I12" s="21" t="n">
        <v>0.449603534856305</v>
      </c>
      <c r="J12" s="21" t="n">
        <v>-0.0128467476733831</v>
      </c>
      <c r="K12" s="21" t="n">
        <v>0.912053817385993</v>
      </c>
      <c r="L12" t="s">
        <v>1578</v>
      </c>
      <c r="M12" t="s">
        <v>481</v>
      </c>
      <c r="N12" t="s">
        <v>1491</v>
      </c>
      <c r="O12" t="s">
        <v>1575</v>
      </c>
      <c r="P12" t="s">
        <v>1576</v>
      </c>
      <c r="Q12"/>
    </row>
    <row r="13">
      <c r="A13" t="s">
        <v>55</v>
      </c>
      <c r="B13" t="s">
        <v>1480</v>
      </c>
      <c r="C13" s="21" t="n">
        <v>0.0377450385932455</v>
      </c>
      <c r="D13" s="21" t="n">
        <v>0.0120196931268676</v>
      </c>
      <c r="E13" s="21" t="n">
        <v>3.1402664107018</v>
      </c>
      <c r="F13" t="n">
        <v>0.00184957792208748</v>
      </c>
      <c r="G13" t="n">
        <v>312</v>
      </c>
      <c r="H13" t="s">
        <v>1487</v>
      </c>
      <c r="I13" s="21" t="n">
        <v>0.0377450385932455</v>
      </c>
      <c r="J13" s="21" t="n">
        <v>0.014095132497145</v>
      </c>
      <c r="K13" s="21" t="n">
        <v>0.061394944689346</v>
      </c>
      <c r="L13" t="s">
        <v>1579</v>
      </c>
      <c r="M13" t="s">
        <v>567</v>
      </c>
      <c r="N13" t="s">
        <v>1491</v>
      </c>
      <c r="O13" t="s">
        <v>1575</v>
      </c>
      <c r="P13" t="s">
        <v>1576</v>
      </c>
      <c r="Q13"/>
    </row>
    <row r="14">
      <c r="A14" t="s">
        <v>55</v>
      </c>
      <c r="B14" t="s">
        <v>89</v>
      </c>
      <c r="C14" s="21" t="n">
        <v>-0.00830584708725406</v>
      </c>
      <c r="D14" s="21" t="n">
        <v>0.00336617079250664</v>
      </c>
      <c r="E14" s="21" t="n">
        <v>-2.46744672187862</v>
      </c>
      <c r="F14" t="n">
        <v>0.0141445454720128</v>
      </c>
      <c r="G14" t="n">
        <v>312</v>
      </c>
      <c r="H14" t="s">
        <v>1487</v>
      </c>
      <c r="I14" s="21" t="n">
        <v>-0.00830584708725406</v>
      </c>
      <c r="J14" s="21" t="n">
        <v>-0.0149291129481991</v>
      </c>
      <c r="K14" s="21" t="n">
        <v>-0.00168258122630899</v>
      </c>
      <c r="L14" t="s">
        <v>1580</v>
      </c>
      <c r="M14" t="s">
        <v>411</v>
      </c>
      <c r="N14" t="s">
        <v>1491</v>
      </c>
      <c r="O14" t="s">
        <v>1575</v>
      </c>
      <c r="P14" t="s">
        <v>1576</v>
      </c>
      <c r="Q14"/>
    </row>
    <row r="15">
      <c r="A15" t="s">
        <v>62</v>
      </c>
      <c r="B15" t="s">
        <v>1568</v>
      </c>
      <c r="C15" s="21" t="n">
        <v>0.33043812725479</v>
      </c>
      <c r="D15" s="21" t="n">
        <v>0.315556619901055</v>
      </c>
      <c r="E15" s="21" t="n">
        <v>1.04715954733702</v>
      </c>
      <c r="F15" t="n">
        <v>0.295839139368384</v>
      </c>
      <c r="G15" t="n">
        <v>311</v>
      </c>
      <c r="H15"/>
      <c r="I15" s="21"/>
      <c r="J15" s="21"/>
      <c r="K15" s="21"/>
      <c r="L15"/>
      <c r="M15" t="s">
        <v>479</v>
      </c>
      <c r="N15" t="s">
        <v>1491</v>
      </c>
      <c r="O15" t="s">
        <v>1492</v>
      </c>
      <c r="P15" t="s">
        <v>1581</v>
      </c>
      <c r="Q15"/>
    </row>
    <row r="16">
      <c r="A16" t="s">
        <v>62</v>
      </c>
      <c r="B16" t="s">
        <v>417</v>
      </c>
      <c r="C16" s="21" t="n">
        <v>-0.0758559188914616</v>
      </c>
      <c r="D16" s="21" t="n">
        <v>0.0364405907461041</v>
      </c>
      <c r="E16" s="21" t="n">
        <v>-2.08163252401641</v>
      </c>
      <c r="F16" t="n">
        <v>0.0381936072099574</v>
      </c>
      <c r="G16" t="n">
        <v>311</v>
      </c>
      <c r="H16" t="s">
        <v>1487</v>
      </c>
      <c r="I16" s="21" t="n">
        <v>-0.0758559188914616</v>
      </c>
      <c r="J16" s="21" t="n">
        <v>-0.147557195353678</v>
      </c>
      <c r="K16" s="21" t="n">
        <v>-0.00415464242924483</v>
      </c>
      <c r="L16" t="s">
        <v>1582</v>
      </c>
      <c r="M16" t="s">
        <v>460</v>
      </c>
      <c r="N16" t="s">
        <v>1491</v>
      </c>
      <c r="O16" t="s">
        <v>1492</v>
      </c>
      <c r="P16" t="s">
        <v>1581</v>
      </c>
      <c r="Q16"/>
    </row>
    <row r="17">
      <c r="A17" t="s">
        <v>62</v>
      </c>
      <c r="B17" t="s">
        <v>440</v>
      </c>
      <c r="C17" s="21" t="n">
        <v>-0.0149642489652577</v>
      </c>
      <c r="D17" s="21" t="n">
        <v>0.0422197150083115</v>
      </c>
      <c r="E17" s="21" t="n">
        <v>-0.354437469848192</v>
      </c>
      <c r="F17" t="n">
        <v>0.723251262013241</v>
      </c>
      <c r="G17" t="n">
        <v>311</v>
      </c>
      <c r="H17" t="s">
        <v>1487</v>
      </c>
      <c r="I17" s="21" t="n">
        <v>-0.0149642489652577</v>
      </c>
      <c r="J17" s="21" t="n">
        <v>-0.0980366524577994</v>
      </c>
      <c r="K17" s="21" t="n">
        <v>0.0681081545272841</v>
      </c>
      <c r="L17" t="s">
        <v>1583</v>
      </c>
      <c r="M17" t="s">
        <v>390</v>
      </c>
      <c r="N17" t="s">
        <v>1491</v>
      </c>
      <c r="O17" t="s">
        <v>1492</v>
      </c>
      <c r="P17" t="s">
        <v>1581</v>
      </c>
      <c r="Q17"/>
    </row>
    <row r="18">
      <c r="A18" t="s">
        <v>62</v>
      </c>
      <c r="B18" t="s">
        <v>1480</v>
      </c>
      <c r="C18" s="21" t="n">
        <v>0.0024183928610908</v>
      </c>
      <c r="D18" s="21" t="n">
        <v>0.00196245783839174</v>
      </c>
      <c r="E18" s="21" t="n">
        <v>1.23232856970456</v>
      </c>
      <c r="F18" t="n">
        <v>0.218757198490146</v>
      </c>
      <c r="G18" t="n">
        <v>311</v>
      </c>
      <c r="H18" t="s">
        <v>1487</v>
      </c>
      <c r="I18" s="21" t="n">
        <v>0.0024183928610908</v>
      </c>
      <c r="J18" s="21" t="n">
        <v>-0.00144298065495226</v>
      </c>
      <c r="K18" s="21" t="n">
        <v>0.00627976637713386</v>
      </c>
      <c r="L18" t="s">
        <v>1584</v>
      </c>
      <c r="M18" t="s">
        <v>449</v>
      </c>
      <c r="N18" t="s">
        <v>1491</v>
      </c>
      <c r="O18" t="s">
        <v>1492</v>
      </c>
      <c r="P18" t="s">
        <v>1581</v>
      </c>
      <c r="Q18"/>
    </row>
    <row r="19">
      <c r="A19" t="s">
        <v>62</v>
      </c>
      <c r="B19" t="s">
        <v>55</v>
      </c>
      <c r="C19" s="21" t="n">
        <v>1.00156678184253</v>
      </c>
      <c r="D19" s="21" t="n">
        <v>0.0071669794880919</v>
      </c>
      <c r="E19" s="21" t="n">
        <v>139.747404538642</v>
      </c>
      <c r="F19" t="n">
        <v>1.03272153325872e-282</v>
      </c>
      <c r="G19" t="n">
        <v>311</v>
      </c>
      <c r="H19" t="s">
        <v>1487</v>
      </c>
      <c r="I19" s="21" t="n">
        <v>1.00156678184253</v>
      </c>
      <c r="J19" s="21" t="n">
        <v>0.987464881539781</v>
      </c>
      <c r="K19" s="21" t="n">
        <v>1.01566868214527</v>
      </c>
      <c r="L19" t="s">
        <v>1585</v>
      </c>
      <c r="M19" t="s">
        <v>50</v>
      </c>
      <c r="N19" t="s">
        <v>1491</v>
      </c>
      <c r="O19" t="s">
        <v>1492</v>
      </c>
      <c r="P19" t="s">
        <v>1581</v>
      </c>
      <c r="Q19"/>
    </row>
    <row r="20">
      <c r="A20" t="s">
        <v>62</v>
      </c>
      <c r="B20" t="s">
        <v>89</v>
      </c>
      <c r="C20" s="21" t="n">
        <v>0.0000872981156633851</v>
      </c>
      <c r="D20" s="21" t="n">
        <v>0.000585719338162661</v>
      </c>
      <c r="E20" s="21" t="n">
        <v>0.149044277652211</v>
      </c>
      <c r="F20" t="n">
        <v>0.88161529417795</v>
      </c>
      <c r="G20" t="n">
        <v>311</v>
      </c>
      <c r="H20" t="s">
        <v>1487</v>
      </c>
      <c r="I20" s="21" t="n">
        <v>0.0000872981156633851</v>
      </c>
      <c r="J20" s="21" t="n">
        <v>-0.00106517563229191</v>
      </c>
      <c r="K20" s="21" t="n">
        <v>0.00123977186361868</v>
      </c>
      <c r="L20" t="s">
        <v>1586</v>
      </c>
      <c r="M20" t="s">
        <v>434</v>
      </c>
      <c r="N20" t="s">
        <v>1491</v>
      </c>
      <c r="O20" t="s">
        <v>1492</v>
      </c>
      <c r="P20" t="s">
        <v>1581</v>
      </c>
      <c r="Q20"/>
    </row>
    <row r="21">
      <c r="A21" t="s">
        <v>68</v>
      </c>
      <c r="B21" t="s">
        <v>1568</v>
      </c>
      <c r="C21" s="21" t="n">
        <v>-0.660876254509584</v>
      </c>
      <c r="D21" s="21" t="n">
        <v>0.631113239801993</v>
      </c>
      <c r="E21" s="21" t="n">
        <v>-1.04715954733722</v>
      </c>
      <c r="F21" t="n">
        <v>0.295839139368291</v>
      </c>
      <c r="G21" t="n">
        <v>311</v>
      </c>
      <c r="H21"/>
      <c r="I21" s="21"/>
      <c r="J21" s="21"/>
      <c r="K21" s="21"/>
      <c r="L21"/>
      <c r="M21" t="s">
        <v>479</v>
      </c>
      <c r="N21" t="s">
        <v>1491</v>
      </c>
      <c r="O21" t="s">
        <v>1492</v>
      </c>
      <c r="P21" t="s">
        <v>1581</v>
      </c>
      <c r="Q21"/>
    </row>
    <row r="22">
      <c r="A22" t="s">
        <v>68</v>
      </c>
      <c r="B22" t="s">
        <v>417</v>
      </c>
      <c r="C22" s="21" t="n">
        <v>0.151711837782923</v>
      </c>
      <c r="D22" s="21" t="n">
        <v>0.0728811814922074</v>
      </c>
      <c r="E22" s="21" t="n">
        <v>2.08163252401643</v>
      </c>
      <c r="F22" t="n">
        <v>0.0381936072099549</v>
      </c>
      <c r="G22" t="n">
        <v>311</v>
      </c>
      <c r="H22" t="s">
        <v>1487</v>
      </c>
      <c r="I22" s="21" t="n">
        <v>0.151711837782923</v>
      </c>
      <c r="J22" s="21" t="n">
        <v>0.00830928485849156</v>
      </c>
      <c r="K22" s="21" t="n">
        <v>0.295114390707355</v>
      </c>
      <c r="L22" t="s">
        <v>1587</v>
      </c>
      <c r="M22" t="s">
        <v>460</v>
      </c>
      <c r="N22" t="s">
        <v>1491</v>
      </c>
      <c r="O22" t="s">
        <v>1492</v>
      </c>
      <c r="P22" t="s">
        <v>1581</v>
      </c>
      <c r="Q22"/>
    </row>
    <row r="23">
      <c r="A23" t="s">
        <v>68</v>
      </c>
      <c r="B23" t="s">
        <v>440</v>
      </c>
      <c r="C23" s="21" t="n">
        <v>0.0299284979305153</v>
      </c>
      <c r="D23" s="21" t="n">
        <v>0.0844394300166233</v>
      </c>
      <c r="E23" s="21" t="n">
        <v>0.354437469848191</v>
      </c>
      <c r="F23" t="n">
        <v>0.723251262013243</v>
      </c>
      <c r="G23" t="n">
        <v>311</v>
      </c>
      <c r="H23" t="s">
        <v>1487</v>
      </c>
      <c r="I23" s="21" t="n">
        <v>0.0299284979305153</v>
      </c>
      <c r="J23" s="21" t="n">
        <v>-0.136216309054569</v>
      </c>
      <c r="K23" s="21" t="n">
        <v>0.196073304915599</v>
      </c>
      <c r="L23" t="s">
        <v>1588</v>
      </c>
      <c r="M23" t="s">
        <v>390</v>
      </c>
      <c r="N23" t="s">
        <v>1491</v>
      </c>
      <c r="O23" t="s">
        <v>1492</v>
      </c>
      <c r="P23" t="s">
        <v>1581</v>
      </c>
      <c r="Q23"/>
    </row>
    <row r="24">
      <c r="A24" t="s">
        <v>68</v>
      </c>
      <c r="B24" t="s">
        <v>1480</v>
      </c>
      <c r="C24" s="21" t="n">
        <v>-0.0048367857221816</v>
      </c>
      <c r="D24" s="21" t="n">
        <v>0.00392491567678344</v>
      </c>
      <c r="E24" s="21" t="n">
        <v>-1.23232856970457</v>
      </c>
      <c r="F24" t="n">
        <v>0.218757198490142</v>
      </c>
      <c r="G24" t="n">
        <v>311</v>
      </c>
      <c r="H24" t="s">
        <v>1487</v>
      </c>
      <c r="I24" s="21" t="n">
        <v>-0.0048367857221816</v>
      </c>
      <c r="J24" s="21" t="n">
        <v>-0.0125595327542677</v>
      </c>
      <c r="K24" s="21" t="n">
        <v>0.00288596130990446</v>
      </c>
      <c r="L24" t="s">
        <v>1589</v>
      </c>
      <c r="M24" t="s">
        <v>449</v>
      </c>
      <c r="N24" t="s">
        <v>1491</v>
      </c>
      <c r="O24" t="s">
        <v>1492</v>
      </c>
      <c r="P24" t="s">
        <v>1581</v>
      </c>
      <c r="Q24"/>
    </row>
    <row r="25">
      <c r="A25" t="s">
        <v>68</v>
      </c>
      <c r="B25" t="s">
        <v>55</v>
      </c>
      <c r="C25" s="21" t="n">
        <v>-0.00313356368505326</v>
      </c>
      <c r="D25" s="21" t="n">
        <v>0.0143339589761838</v>
      </c>
      <c r="E25" s="21" t="n">
        <v>-0.218611179944058</v>
      </c>
      <c r="F25" t="n">
        <v>0.827096329378234</v>
      </c>
      <c r="G25" t="n">
        <v>311</v>
      </c>
      <c r="H25" t="s">
        <v>1487</v>
      </c>
      <c r="I25" s="21" t="n">
        <v>-0.00313356368505326</v>
      </c>
      <c r="J25" s="21" t="n">
        <v>-0.0313373642905445</v>
      </c>
      <c r="K25" s="21" t="n">
        <v>0.025070236920438</v>
      </c>
      <c r="L25" t="s">
        <v>1590</v>
      </c>
      <c r="M25" t="s">
        <v>234</v>
      </c>
      <c r="N25" t="s">
        <v>1491</v>
      </c>
      <c r="O25" t="s">
        <v>1492</v>
      </c>
      <c r="P25" t="s">
        <v>1581</v>
      </c>
      <c r="Q25"/>
    </row>
    <row r="26">
      <c r="A26" t="s">
        <v>68</v>
      </c>
      <c r="B26" t="s">
        <v>89</v>
      </c>
      <c r="C26" s="21" t="n">
        <v>-0.000174596231326763</v>
      </c>
      <c r="D26" s="21" t="n">
        <v>0.00117143867632516</v>
      </c>
      <c r="E26" s="21" t="n">
        <v>-0.149044277652226</v>
      </c>
      <c r="F26" t="n">
        <v>0.881615294177938</v>
      </c>
      <c r="G26" t="n">
        <v>311</v>
      </c>
      <c r="H26" t="s">
        <v>1487</v>
      </c>
      <c r="I26" s="21" t="n">
        <v>-0.000174596231326763</v>
      </c>
      <c r="J26" s="21" t="n">
        <v>-0.00247954372723702</v>
      </c>
      <c r="K26" s="21" t="n">
        <v>0.0021303512645835</v>
      </c>
      <c r="L26" t="s">
        <v>1591</v>
      </c>
      <c r="M26" t="s">
        <v>434</v>
      </c>
      <c r="N26" t="s">
        <v>1491</v>
      </c>
      <c r="O26" t="s">
        <v>1492</v>
      </c>
      <c r="P26" t="s">
        <v>1581</v>
      </c>
      <c r="Q26"/>
    </row>
    <row r="27">
      <c r="A27" t="s">
        <v>76</v>
      </c>
      <c r="B27" t="s">
        <v>1568</v>
      </c>
      <c r="C27" s="21" t="n">
        <v>0.244587996618174</v>
      </c>
      <c r="D27" s="21" t="n">
        <v>0.153944629659025</v>
      </c>
      <c r="E27" s="21" t="n">
        <v>1.58880499540592</v>
      </c>
      <c r="F27" t="n">
        <v>0.113120484764556</v>
      </c>
      <c r="G27" t="n">
        <v>311</v>
      </c>
      <c r="H27"/>
      <c r="I27" s="21"/>
      <c r="J27" s="21"/>
      <c r="K27" s="21"/>
      <c r="L27"/>
      <c r="M27" t="s">
        <v>86</v>
      </c>
      <c r="N27" t="s">
        <v>1491</v>
      </c>
      <c r="O27" t="s">
        <v>1492</v>
      </c>
      <c r="P27" t="s">
        <v>1581</v>
      </c>
      <c r="Q27"/>
    </row>
    <row r="28">
      <c r="A28" t="s">
        <v>76</v>
      </c>
      <c r="B28" t="s">
        <v>417</v>
      </c>
      <c r="C28" s="21" t="n">
        <v>-0.0526904278610702</v>
      </c>
      <c r="D28" s="21" t="n">
        <v>0.019576989047317</v>
      </c>
      <c r="E28" s="21" t="n">
        <v>-2.69144697040588</v>
      </c>
      <c r="F28" t="n">
        <v>0.0074991998538135</v>
      </c>
      <c r="G28" t="n">
        <v>311</v>
      </c>
      <c r="H28" t="s">
        <v>1487</v>
      </c>
      <c r="I28" s="21" t="n">
        <v>-0.0526904278610702</v>
      </c>
      <c r="J28" s="21" t="n">
        <v>-0.0912105252370858</v>
      </c>
      <c r="K28" s="21" t="n">
        <v>-0.0141703304850547</v>
      </c>
      <c r="L28" t="s">
        <v>1592</v>
      </c>
      <c r="M28" t="s">
        <v>1593</v>
      </c>
      <c r="N28" t="s">
        <v>1491</v>
      </c>
      <c r="O28" t="s">
        <v>1492</v>
      </c>
      <c r="P28" t="s">
        <v>1581</v>
      </c>
      <c r="Q28"/>
    </row>
    <row r="29">
      <c r="A29" t="s">
        <v>76</v>
      </c>
      <c r="B29" t="s">
        <v>440</v>
      </c>
      <c r="C29" s="21" t="n">
        <v>-0.0187643432538724</v>
      </c>
      <c r="D29" s="21" t="n">
        <v>0.0167338671725038</v>
      </c>
      <c r="E29" s="21" t="n">
        <v>-1.12133932105694</v>
      </c>
      <c r="F29" t="n">
        <v>0.263008527741791</v>
      </c>
      <c r="G29" t="n">
        <v>311</v>
      </c>
      <c r="H29" t="s">
        <v>1487</v>
      </c>
      <c r="I29" s="21" t="n">
        <v>-0.0187643432538724</v>
      </c>
      <c r="J29" s="21" t="n">
        <v>-0.051690253944439</v>
      </c>
      <c r="K29" s="21" t="n">
        <v>0.0141615674366942</v>
      </c>
      <c r="L29" t="s">
        <v>1594</v>
      </c>
      <c r="M29" t="s">
        <v>524</v>
      </c>
      <c r="N29" t="s">
        <v>1491</v>
      </c>
      <c r="O29" t="s">
        <v>1492</v>
      </c>
      <c r="P29" t="s">
        <v>1581</v>
      </c>
      <c r="Q29"/>
    </row>
    <row r="30">
      <c r="A30" t="s">
        <v>76</v>
      </c>
      <c r="B30" t="s">
        <v>1480</v>
      </c>
      <c r="C30" s="21" t="n">
        <v>0.00025003110167853</v>
      </c>
      <c r="D30" s="21" t="n">
        <v>0.00100634381196007</v>
      </c>
      <c r="E30" s="21" t="n">
        <v>0.248454950193952</v>
      </c>
      <c r="F30" t="n">
        <v>0.803946402916333</v>
      </c>
      <c r="G30" t="n">
        <v>311</v>
      </c>
      <c r="H30" t="s">
        <v>1487</v>
      </c>
      <c r="I30" s="21" t="n">
        <v>0.00025003110167853</v>
      </c>
      <c r="J30" s="21" t="n">
        <v>-0.00173007225010657</v>
      </c>
      <c r="K30" s="21" t="n">
        <v>0.00223013445346363</v>
      </c>
      <c r="L30" t="s">
        <v>1595</v>
      </c>
      <c r="M30" t="s">
        <v>540</v>
      </c>
      <c r="N30" t="s">
        <v>1491</v>
      </c>
      <c r="O30" t="s">
        <v>1492</v>
      </c>
      <c r="P30" t="s">
        <v>1581</v>
      </c>
      <c r="Q30"/>
    </row>
    <row r="31">
      <c r="A31" t="s">
        <v>76</v>
      </c>
      <c r="B31" t="s">
        <v>55</v>
      </c>
      <c r="C31" s="21" t="n">
        <v>-0.247436615293626</v>
      </c>
      <c r="D31" s="21" t="n">
        <v>0.00516992394327005</v>
      </c>
      <c r="E31" s="21" t="n">
        <v>-47.8607844155476</v>
      </c>
      <c r="F31" t="n">
        <v>0.000000000000000000000000000000000000000000000000000000000000000000000000000000000000000000000000000000000000000000000000000000000000000000000000172023234955994</v>
      </c>
      <c r="G31" t="n">
        <v>311</v>
      </c>
      <c r="H31" t="s">
        <v>1487</v>
      </c>
      <c r="I31" s="21" t="n">
        <v>-0.247436615293626</v>
      </c>
      <c r="J31" s="21" t="n">
        <v>-0.257609066901992</v>
      </c>
      <c r="K31" s="21" t="n">
        <v>-0.237264163685259</v>
      </c>
      <c r="L31" t="s">
        <v>1596</v>
      </c>
      <c r="M31" t="s">
        <v>50</v>
      </c>
      <c r="N31" t="s">
        <v>1491</v>
      </c>
      <c r="O31" t="s">
        <v>1492</v>
      </c>
      <c r="P31" t="s">
        <v>1581</v>
      </c>
      <c r="Q31"/>
    </row>
    <row r="32">
      <c r="A32" t="s">
        <v>76</v>
      </c>
      <c r="B32" t="s">
        <v>89</v>
      </c>
      <c r="C32" s="21" t="n">
        <v>-0.000288693528603479</v>
      </c>
      <c r="D32" s="21" t="n">
        <v>0.000284410499987361</v>
      </c>
      <c r="E32" s="21" t="n">
        <v>-1.01505931959723</v>
      </c>
      <c r="F32" t="n">
        <v>0.310866578085109</v>
      </c>
      <c r="G32" t="n">
        <v>311</v>
      </c>
      <c r="H32" t="s">
        <v>1487</v>
      </c>
      <c r="I32" s="21" t="n">
        <v>-0.000288693528603479</v>
      </c>
      <c r="J32" s="21" t="n">
        <v>-0.000848305638912949</v>
      </c>
      <c r="K32" s="21" t="n">
        <v>0.000270918581705991</v>
      </c>
      <c r="L32" t="s">
        <v>1597</v>
      </c>
      <c r="M32" t="s">
        <v>414</v>
      </c>
      <c r="N32" t="s">
        <v>1491</v>
      </c>
      <c r="O32" t="s">
        <v>1492</v>
      </c>
      <c r="P32" t="s">
        <v>1581</v>
      </c>
      <c r="Q32"/>
    </row>
    <row r="33">
      <c r="A33" t="s">
        <v>82</v>
      </c>
      <c r="B33" t="s">
        <v>1568</v>
      </c>
      <c r="C33" s="21" t="n">
        <v>-0.0391723731828676</v>
      </c>
      <c r="D33" s="21" t="n">
        <v>0.0643971785020868</v>
      </c>
      <c r="E33" s="21" t="n">
        <v>-0.608293314925254</v>
      </c>
      <c r="F33" t="n">
        <v>0.543436940845298</v>
      </c>
      <c r="G33" t="n">
        <v>311</v>
      </c>
      <c r="H33"/>
      <c r="I33" s="21"/>
      <c r="J33" s="21"/>
      <c r="K33" s="21"/>
      <c r="L33"/>
      <c r="M33" t="s">
        <v>1598</v>
      </c>
      <c r="N33" t="s">
        <v>1491</v>
      </c>
      <c r="O33" t="s">
        <v>1492</v>
      </c>
      <c r="P33" t="s">
        <v>1581</v>
      </c>
      <c r="Q33"/>
    </row>
    <row r="34">
      <c r="A34" t="s">
        <v>82</v>
      </c>
      <c r="B34" t="s">
        <v>417</v>
      </c>
      <c r="C34" s="21" t="n">
        <v>-0.0107235332455933</v>
      </c>
      <c r="D34" s="21" t="n">
        <v>0.00815749308845566</v>
      </c>
      <c r="E34" s="21" t="n">
        <v>-1.31456234523435</v>
      </c>
      <c r="F34" t="n">
        <v>0.189625636048933</v>
      </c>
      <c r="G34" t="n">
        <v>311</v>
      </c>
      <c r="H34" t="s">
        <v>1487</v>
      </c>
      <c r="I34" s="21" t="n">
        <v>-0.0107235332455933</v>
      </c>
      <c r="J34" s="21" t="n">
        <v>-0.0267743890412424</v>
      </c>
      <c r="K34" s="21" t="n">
        <v>0.00532732255005578</v>
      </c>
      <c r="L34" t="s">
        <v>1599</v>
      </c>
      <c r="M34" t="s">
        <v>397</v>
      </c>
      <c r="N34" t="s">
        <v>1491</v>
      </c>
      <c r="O34" t="s">
        <v>1492</v>
      </c>
      <c r="P34" t="s">
        <v>1581</v>
      </c>
      <c r="Q34"/>
    </row>
    <row r="35">
      <c r="A35" t="s">
        <v>82</v>
      </c>
      <c r="B35" t="s">
        <v>440</v>
      </c>
      <c r="C35" s="21" t="n">
        <v>-0.0136774130594866</v>
      </c>
      <c r="D35" s="21" t="n">
        <v>0.00877442149029076</v>
      </c>
      <c r="E35" s="21" t="n">
        <v>-1.55878231683094</v>
      </c>
      <c r="F35" t="n">
        <v>0.120064909022388</v>
      </c>
      <c r="G35" t="n">
        <v>311</v>
      </c>
      <c r="H35" t="s">
        <v>1487</v>
      </c>
      <c r="I35" s="21" t="n">
        <v>-0.0136774130594866</v>
      </c>
      <c r="J35" s="21" t="n">
        <v>-0.0309421502163236</v>
      </c>
      <c r="K35" s="21" t="n">
        <v>0.0035873240973504</v>
      </c>
      <c r="L35" t="s">
        <v>1600</v>
      </c>
      <c r="M35" t="s">
        <v>419</v>
      </c>
      <c r="N35" t="s">
        <v>1491</v>
      </c>
      <c r="O35" t="s">
        <v>1492</v>
      </c>
      <c r="P35" t="s">
        <v>1581</v>
      </c>
      <c r="Q35"/>
    </row>
    <row r="36">
      <c r="A36" t="s">
        <v>82</v>
      </c>
      <c r="B36" t="s">
        <v>1480</v>
      </c>
      <c r="C36" s="21" t="n">
        <v>-0.00045284883954469</v>
      </c>
      <c r="D36" s="21" t="n">
        <v>0.000438325047396019</v>
      </c>
      <c r="E36" s="21" t="n">
        <v>-1.0331347529304</v>
      </c>
      <c r="F36" t="n">
        <v>0.302343557361395</v>
      </c>
      <c r="G36" t="n">
        <v>311</v>
      </c>
      <c r="H36" t="s">
        <v>1487</v>
      </c>
      <c r="I36" s="21" t="n">
        <v>-0.00045284883954469</v>
      </c>
      <c r="J36" s="21" t="n">
        <v>-0.00131530646605878</v>
      </c>
      <c r="K36" s="21" t="n">
        <v>0.000409608786969398</v>
      </c>
      <c r="L36" t="s">
        <v>1601</v>
      </c>
      <c r="M36" t="s">
        <v>479</v>
      </c>
      <c r="N36" t="s">
        <v>1491</v>
      </c>
      <c r="O36" t="s">
        <v>1492</v>
      </c>
      <c r="P36" t="s">
        <v>1581</v>
      </c>
      <c r="Q36"/>
    </row>
    <row r="37">
      <c r="A37" t="s">
        <v>82</v>
      </c>
      <c r="B37" t="s">
        <v>55</v>
      </c>
      <c r="C37" s="21" t="n">
        <v>-0.00873955034276545</v>
      </c>
      <c r="D37" s="21" t="n">
        <v>0.00170440693896499</v>
      </c>
      <c r="E37" s="21" t="n">
        <v>-5.12761955080551</v>
      </c>
      <c r="F37" t="n">
        <v>0.000000516896004214789</v>
      </c>
      <c r="G37" t="n">
        <v>311</v>
      </c>
      <c r="H37" t="s">
        <v>1487</v>
      </c>
      <c r="I37" s="21" t="n">
        <v>-0.00873955034276545</v>
      </c>
      <c r="J37" s="21" t="n">
        <v>-0.0120931774556276</v>
      </c>
      <c r="K37" s="21" t="n">
        <v>-0.00538592322990328</v>
      </c>
      <c r="L37" t="s">
        <v>1602</v>
      </c>
      <c r="M37" t="s">
        <v>50</v>
      </c>
      <c r="N37" t="s">
        <v>1491</v>
      </c>
      <c r="O37" t="s">
        <v>1492</v>
      </c>
      <c r="P37" t="s">
        <v>1581</v>
      </c>
      <c r="Q37"/>
    </row>
    <row r="38">
      <c r="A38" t="s">
        <v>82</v>
      </c>
      <c r="B38" t="s">
        <v>89</v>
      </c>
      <c r="C38" s="21" t="n">
        <v>-0.00000672572809657618</v>
      </c>
      <c r="D38" s="21" t="n">
        <v>0.000122411888704592</v>
      </c>
      <c r="E38" s="21" t="n">
        <v>-0.0549434223076722</v>
      </c>
      <c r="F38" t="n">
        <v>0.956218816863399</v>
      </c>
      <c r="G38" t="n">
        <v>311</v>
      </c>
      <c r="H38" t="s">
        <v>1487</v>
      </c>
      <c r="I38" s="21" t="n">
        <v>-0.00000672572809657618</v>
      </c>
      <c r="J38" s="21" t="n">
        <v>-0.000247585947279725</v>
      </c>
      <c r="K38" s="21" t="n">
        <v>0.000234134491086573</v>
      </c>
      <c r="L38" t="s">
        <v>1603</v>
      </c>
      <c r="M38" t="s">
        <v>423</v>
      </c>
      <c r="N38" t="s">
        <v>1491</v>
      </c>
      <c r="O38" t="s">
        <v>1492</v>
      </c>
      <c r="P38" t="s">
        <v>1581</v>
      </c>
      <c r="Q38"/>
    </row>
    <row r="39">
      <c r="A39" t="s">
        <v>89</v>
      </c>
      <c r="B39" t="s">
        <v>1568</v>
      </c>
      <c r="C39" s="21" t="n">
        <v>535.817934737142</v>
      </c>
      <c r="D39" s="21" t="n">
        <v>7.12025567463141</v>
      </c>
      <c r="E39" s="21" t="n">
        <v>75.2526256390195</v>
      </c>
      <c r="F39" t="n">
        <v>0.000000000000000000000000000000000000000000000000000000000000000000000000000000000000000000000000000000000000000000000000000000000000000000000000000000000000000000000000000000000000000000000000000000000442554902905191</v>
      </c>
      <c r="G39" t="n">
        <v>312</v>
      </c>
      <c r="H39"/>
      <c r="I39" s="21"/>
      <c r="J39" s="21"/>
      <c r="K39" s="21"/>
      <c r="L39"/>
      <c r="M39" t="s">
        <v>50</v>
      </c>
      <c r="N39" t="s">
        <v>1491</v>
      </c>
      <c r="O39" t="s">
        <v>1575</v>
      </c>
      <c r="P39" t="s">
        <v>1604</v>
      </c>
      <c r="Q39"/>
    </row>
    <row r="40">
      <c r="A40" t="s">
        <v>89</v>
      </c>
      <c r="B40" t="s">
        <v>417</v>
      </c>
      <c r="C40" s="21" t="n">
        <v>-17.6368482622553</v>
      </c>
      <c r="D40" s="21" t="n">
        <v>3.34451441904985</v>
      </c>
      <c r="E40" s="21" t="n">
        <v>-5.27336589186117</v>
      </c>
      <c r="F40" t="n">
        <v>0.000000250787727046525</v>
      </c>
      <c r="G40" t="n">
        <v>312</v>
      </c>
      <c r="H40" t="s">
        <v>1487</v>
      </c>
      <c r="I40" s="21" t="n">
        <v>-17.6368482622553</v>
      </c>
      <c r="J40" s="21" t="n">
        <v>-24.2175031186407</v>
      </c>
      <c r="K40" s="21" t="n">
        <v>-11.05619340587</v>
      </c>
      <c r="L40" t="s">
        <v>1605</v>
      </c>
      <c r="M40" t="s">
        <v>50</v>
      </c>
      <c r="N40" t="s">
        <v>1491</v>
      </c>
      <c r="O40" t="s">
        <v>1575</v>
      </c>
      <c r="P40" t="s">
        <v>1604</v>
      </c>
      <c r="Q40"/>
    </row>
    <row r="41">
      <c r="A41" t="s">
        <v>89</v>
      </c>
      <c r="B41" t="s">
        <v>440</v>
      </c>
      <c r="C41" s="21" t="n">
        <v>9.52869328684238</v>
      </c>
      <c r="D41" s="21" t="n">
        <v>3.74097578320868</v>
      </c>
      <c r="E41" s="21" t="n">
        <v>2.54711439983434</v>
      </c>
      <c r="F41" t="n">
        <v>0.0113415925245028</v>
      </c>
      <c r="G41" t="n">
        <v>312</v>
      </c>
      <c r="H41" t="s">
        <v>1487</v>
      </c>
      <c r="I41" s="21" t="n">
        <v>9.52869328684238</v>
      </c>
      <c r="J41" s="21" t="n">
        <v>2.16796243898852</v>
      </c>
      <c r="K41" s="21" t="n">
        <v>16.8894241346962</v>
      </c>
      <c r="L41" t="s">
        <v>1606</v>
      </c>
      <c r="M41" t="s">
        <v>411</v>
      </c>
      <c r="N41" t="s">
        <v>1491</v>
      </c>
      <c r="O41" t="s">
        <v>1575</v>
      </c>
      <c r="P41" t="s">
        <v>1604</v>
      </c>
      <c r="Q41"/>
    </row>
    <row r="42">
      <c r="A42" t="s">
        <v>89</v>
      </c>
      <c r="B42" t="s">
        <v>1480</v>
      </c>
      <c r="C42" s="21" t="n">
        <v>0.33119017163851</v>
      </c>
      <c r="D42" s="21" t="n">
        <v>0.174835244002965</v>
      </c>
      <c r="E42" s="21" t="n">
        <v>1.89429867831965</v>
      </c>
      <c r="F42" t="n">
        <v>0.0591100120574149</v>
      </c>
      <c r="G42" t="n">
        <v>312</v>
      </c>
      <c r="H42" t="s">
        <v>1487</v>
      </c>
      <c r="I42" s="21" t="n">
        <v>0.33119017163851</v>
      </c>
      <c r="J42" s="21" t="n">
        <v>-0.0128150420816601</v>
      </c>
      <c r="K42" s="21" t="n">
        <v>0.67519538535868</v>
      </c>
      <c r="L42" t="s">
        <v>1607</v>
      </c>
      <c r="M42" t="s">
        <v>481</v>
      </c>
      <c r="N42" t="s">
        <v>1491</v>
      </c>
      <c r="O42" t="s">
        <v>1575</v>
      </c>
      <c r="P42" t="s">
        <v>1604</v>
      </c>
      <c r="Q42"/>
    </row>
    <row r="43">
      <c r="A43" t="s">
        <v>89</v>
      </c>
      <c r="B43" t="s">
        <v>55</v>
      </c>
      <c r="C43" s="21" t="n">
        <v>-0.131402945803049</v>
      </c>
      <c r="D43" s="21" t="n">
        <v>0.534992160775092</v>
      </c>
      <c r="E43" s="21" t="n">
        <v>-0.245616581769486</v>
      </c>
      <c r="F43" t="n">
        <v>0.806140540108023</v>
      </c>
      <c r="G43" t="n">
        <v>312</v>
      </c>
      <c r="H43" t="s">
        <v>1487</v>
      </c>
      <c r="I43" s="21" t="n">
        <v>-0.131402945803049</v>
      </c>
      <c r="J43" s="21" t="n">
        <v>-1.18405164747404</v>
      </c>
      <c r="K43" s="21" t="n">
        <v>0.921245755867936</v>
      </c>
      <c r="L43" t="s">
        <v>1608</v>
      </c>
      <c r="M43" t="s">
        <v>507</v>
      </c>
      <c r="N43" t="s">
        <v>1491</v>
      </c>
      <c r="O43" t="s">
        <v>1575</v>
      </c>
      <c r="P43" t="s">
        <v>1604</v>
      </c>
      <c r="Q43"/>
    </row>
    <row r="44">
      <c r="A44" t="s">
        <v>95</v>
      </c>
      <c r="B44" t="s">
        <v>1568</v>
      </c>
      <c r="C44" s="21" t="n">
        <v>44.1811901608244</v>
      </c>
      <c r="D44" s="21" t="n">
        <v>1.77269614890601</v>
      </c>
      <c r="E44" s="21" t="n">
        <v>24.9231602314305</v>
      </c>
      <c r="F44" t="n">
        <v>0.00000000000000000000000000000000000000000000000000000000000000000000000000050715199866637</v>
      </c>
      <c r="G44" t="n">
        <v>310</v>
      </c>
      <c r="H44"/>
      <c r="I44" s="21"/>
      <c r="J44" s="21"/>
      <c r="K44" s="21"/>
      <c r="L44"/>
      <c r="M44" t="s">
        <v>50</v>
      </c>
      <c r="N44" t="s">
        <v>1491</v>
      </c>
      <c r="O44" t="s">
        <v>1609</v>
      </c>
      <c r="P44" t="s">
        <v>1581</v>
      </c>
      <c r="Q44"/>
    </row>
    <row r="45">
      <c r="A45" t="s">
        <v>95</v>
      </c>
      <c r="B45" t="s">
        <v>417</v>
      </c>
      <c r="C45" s="21" t="n">
        <v>-0.0843225557753761</v>
      </c>
      <c r="D45" s="21" t="n">
        <v>0.229597167292004</v>
      </c>
      <c r="E45" s="21" t="n">
        <v>-0.367263049322093</v>
      </c>
      <c r="F45" t="n">
        <v>0.713673402081168</v>
      </c>
      <c r="G45" t="n">
        <v>310</v>
      </c>
      <c r="H45" t="s">
        <v>1487</v>
      </c>
      <c r="I45" s="21" t="n">
        <v>-0.0843225557753761</v>
      </c>
      <c r="J45" s="21" t="n">
        <v>-0.536088487256408</v>
      </c>
      <c r="K45" s="21" t="n">
        <v>0.367443375705656</v>
      </c>
      <c r="L45" t="s">
        <v>1610</v>
      </c>
      <c r="M45" t="s">
        <v>468</v>
      </c>
      <c r="N45" t="s">
        <v>1491</v>
      </c>
      <c r="O45" t="s">
        <v>1609</v>
      </c>
      <c r="P45" t="s">
        <v>1581</v>
      </c>
      <c r="Q45"/>
    </row>
    <row r="46">
      <c r="A46" t="s">
        <v>95</v>
      </c>
      <c r="B46" t="s">
        <v>440</v>
      </c>
      <c r="C46" s="21" t="n">
        <v>0.154819303737749</v>
      </c>
      <c r="D46" s="21" t="n">
        <v>0.208843673172054</v>
      </c>
      <c r="E46" s="21" t="n">
        <v>0.74131670539142</v>
      </c>
      <c r="F46" t="n">
        <v>0.459062633706465</v>
      </c>
      <c r="G46" t="n">
        <v>310</v>
      </c>
      <c r="H46" t="s">
        <v>1487</v>
      </c>
      <c r="I46" s="21" t="n">
        <v>0.154819303737749</v>
      </c>
      <c r="J46" s="21" t="n">
        <v>-0.256111099530248</v>
      </c>
      <c r="K46" s="21" t="n">
        <v>0.565749707005747</v>
      </c>
      <c r="L46" t="s">
        <v>1611</v>
      </c>
      <c r="M46" t="s">
        <v>403</v>
      </c>
      <c r="N46" t="s">
        <v>1491</v>
      </c>
      <c r="O46" t="s">
        <v>1609</v>
      </c>
      <c r="P46" t="s">
        <v>1581</v>
      </c>
      <c r="Q46"/>
    </row>
    <row r="47">
      <c r="A47" t="s">
        <v>95</v>
      </c>
      <c r="B47" t="s">
        <v>1480</v>
      </c>
      <c r="C47" s="21" t="n">
        <v>-0.000843030898532245</v>
      </c>
      <c r="D47" s="21" t="n">
        <v>0.0104885941450015</v>
      </c>
      <c r="E47" s="21" t="n">
        <v>-0.0803759671580014</v>
      </c>
      <c r="F47" t="n">
        <v>0.9359901039764</v>
      </c>
      <c r="G47" t="n">
        <v>310</v>
      </c>
      <c r="H47" t="s">
        <v>1487</v>
      </c>
      <c r="I47" s="21" t="n">
        <v>-0.000843030898532245</v>
      </c>
      <c r="J47" s="21" t="n">
        <v>-0.0214808704665473</v>
      </c>
      <c r="K47" s="21" t="n">
        <v>0.0197948086694828</v>
      </c>
      <c r="L47" t="s">
        <v>1612</v>
      </c>
      <c r="M47" t="s">
        <v>447</v>
      </c>
      <c r="N47" t="s">
        <v>1491</v>
      </c>
      <c r="O47" t="s">
        <v>1609</v>
      </c>
      <c r="P47" t="s">
        <v>1581</v>
      </c>
      <c r="Q47"/>
    </row>
    <row r="48">
      <c r="A48" t="s">
        <v>95</v>
      </c>
      <c r="B48" t="s">
        <v>55</v>
      </c>
      <c r="C48" s="21" t="n">
        <v>-0.0025467150053813</v>
      </c>
      <c r="D48" s="21" t="n">
        <v>0.0434191835576035</v>
      </c>
      <c r="E48" s="21" t="n">
        <v>-0.0586541430932854</v>
      </c>
      <c r="F48" t="n">
        <v>0.953265375655993</v>
      </c>
      <c r="G48" t="n">
        <v>310</v>
      </c>
      <c r="H48" t="s">
        <v>1487</v>
      </c>
      <c r="I48" s="21" t="n">
        <v>-0.0025467150053813</v>
      </c>
      <c r="J48" s="21" t="n">
        <v>-0.0879802947633568</v>
      </c>
      <c r="K48" s="21" t="n">
        <v>0.0828868647525942</v>
      </c>
      <c r="L48" t="s">
        <v>1613</v>
      </c>
      <c r="M48" t="s">
        <v>544</v>
      </c>
      <c r="N48" t="s">
        <v>1491</v>
      </c>
      <c r="O48" t="s">
        <v>1609</v>
      </c>
      <c r="P48" t="s">
        <v>1581</v>
      </c>
      <c r="Q48"/>
    </row>
    <row r="49">
      <c r="A49" t="s">
        <v>95</v>
      </c>
      <c r="B49" t="s">
        <v>89</v>
      </c>
      <c r="C49" s="21" t="n">
        <v>-0.00131205930473183</v>
      </c>
      <c r="D49" s="21" t="n">
        <v>0.00331092126536556</v>
      </c>
      <c r="E49" s="21" t="n">
        <v>-0.39628224278748</v>
      </c>
      <c r="F49" t="n">
        <v>0.692169453645036</v>
      </c>
      <c r="G49" t="n">
        <v>310</v>
      </c>
      <c r="H49" t="s">
        <v>1487</v>
      </c>
      <c r="I49" s="21" t="n">
        <v>-0.00131205930473183</v>
      </c>
      <c r="J49" s="21" t="n">
        <v>-0.00782678005303229</v>
      </c>
      <c r="K49" s="21" t="n">
        <v>0.00520266144356864</v>
      </c>
      <c r="L49" t="s">
        <v>1614</v>
      </c>
      <c r="M49" t="s">
        <v>500</v>
      </c>
      <c r="N49" t="s">
        <v>1491</v>
      </c>
      <c r="O49" t="s">
        <v>1609</v>
      </c>
      <c r="P49" t="s">
        <v>1581</v>
      </c>
      <c r="Q49"/>
    </row>
    <row r="50">
      <c r="A50" t="s">
        <v>103</v>
      </c>
      <c r="B50"/>
      <c r="C50" s="21"/>
      <c r="D50" s="21"/>
      <c r="E50" s="21"/>
      <c r="F50"/>
      <c r="G50"/>
      <c r="H50"/>
      <c r="I50" s="21"/>
      <c r="J50" s="21"/>
      <c r="K50" s="21"/>
      <c r="L50"/>
      <c r="M50" t="s">
        <v>109</v>
      </c>
      <c r="N50"/>
      <c r="O50" t="s">
        <v>1515</v>
      </c>
      <c r="P50"/>
      <c r="Q50"/>
    </row>
    <row r="51">
      <c r="A51" t="s">
        <v>23</v>
      </c>
      <c r="B51" t="s">
        <v>1568</v>
      </c>
      <c r="C51" s="21" t="n">
        <v>-2.05451474745386</v>
      </c>
      <c r="D51" s="21" t="n">
        <v>2.50378890792368</v>
      </c>
      <c r="E51" s="21" t="n">
        <v>-0.820562285004134</v>
      </c>
      <c r="F51" t="n">
        <v>0.411895637734185</v>
      </c>
      <c r="G51"/>
      <c r="H51"/>
      <c r="I51" s="21"/>
      <c r="J51" s="21"/>
      <c r="K51" s="21"/>
      <c r="L51"/>
      <c r="M51" t="s">
        <v>1615</v>
      </c>
      <c r="N51" t="s">
        <v>1518</v>
      </c>
      <c r="O51" t="s">
        <v>1616</v>
      </c>
      <c r="P51" t="s">
        <v>1581</v>
      </c>
      <c r="Q51"/>
    </row>
    <row r="52">
      <c r="A52" t="s">
        <v>23</v>
      </c>
      <c r="B52" t="s">
        <v>417</v>
      </c>
      <c r="C52" s="21" t="n">
        <v>0.37375060328616</v>
      </c>
      <c r="D52" s="21" t="n">
        <v>0.311681754754434</v>
      </c>
      <c r="E52" s="21" t="n">
        <v>1.1991417450169</v>
      </c>
      <c r="F52" t="n">
        <v>0.230472834405397</v>
      </c>
      <c r="G52"/>
      <c r="H52" t="s">
        <v>1520</v>
      </c>
      <c r="I52" s="21" t="n">
        <v>1.4531746882684</v>
      </c>
      <c r="J52" s="21" t="n">
        <v>0.78888524629608</v>
      </c>
      <c r="K52" s="21" t="n">
        <v>2.6768363136955</v>
      </c>
      <c r="L52" t="s">
        <v>1617</v>
      </c>
      <c r="M52" t="s">
        <v>429</v>
      </c>
      <c r="N52" t="s">
        <v>1518</v>
      </c>
      <c r="O52" t="s">
        <v>1616</v>
      </c>
      <c r="P52" t="s">
        <v>1581</v>
      </c>
      <c r="Q52"/>
    </row>
    <row r="53">
      <c r="A53" t="s">
        <v>23</v>
      </c>
      <c r="B53" t="s">
        <v>440</v>
      </c>
      <c r="C53" s="21" t="n">
        <v>0.153685931210774</v>
      </c>
      <c r="D53" s="21" t="n">
        <v>0.287503099589438</v>
      </c>
      <c r="E53" s="21" t="n">
        <v>0.534553997609908</v>
      </c>
      <c r="F53" t="n">
        <v>0.592958301108814</v>
      </c>
      <c r="G53"/>
      <c r="H53" t="s">
        <v>1520</v>
      </c>
      <c r="I53" s="21" t="n">
        <v>1.16612458592283</v>
      </c>
      <c r="J53" s="21" t="n">
        <v>0.663776495436116</v>
      </c>
      <c r="K53" s="21" t="n">
        <v>2.04865125421508</v>
      </c>
      <c r="L53" t="s">
        <v>1618</v>
      </c>
      <c r="M53" t="s">
        <v>473</v>
      </c>
      <c r="N53" t="s">
        <v>1518</v>
      </c>
      <c r="O53" t="s">
        <v>1616</v>
      </c>
      <c r="P53" t="s">
        <v>1581</v>
      </c>
      <c r="Q53"/>
    </row>
    <row r="54">
      <c r="A54" t="s">
        <v>23</v>
      </c>
      <c r="B54" t="s">
        <v>1480</v>
      </c>
      <c r="C54" s="21" t="n">
        <v>0.0126600290967074</v>
      </c>
      <c r="D54" s="21" t="n">
        <v>0.0151003656862366</v>
      </c>
      <c r="E54" s="21" t="n">
        <v>0.838392219086889</v>
      </c>
      <c r="F54" t="n">
        <v>0.40181045799162</v>
      </c>
      <c r="G54"/>
      <c r="H54" t="s">
        <v>1520</v>
      </c>
      <c r="I54" s="21" t="n">
        <v>1.01274050652199</v>
      </c>
      <c r="J54" s="21" t="n">
        <v>0.983206466457475</v>
      </c>
      <c r="K54" s="21" t="n">
        <v>1.04316170462735</v>
      </c>
      <c r="L54" t="s">
        <v>1619</v>
      </c>
      <c r="M54" t="s">
        <v>1620</v>
      </c>
      <c r="N54" t="s">
        <v>1518</v>
      </c>
      <c r="O54" t="s">
        <v>1616</v>
      </c>
      <c r="P54" t="s">
        <v>1581</v>
      </c>
      <c r="Q54"/>
    </row>
    <row r="55">
      <c r="A55" t="s">
        <v>23</v>
      </c>
      <c r="B55" t="s">
        <v>55</v>
      </c>
      <c r="C55" s="21" t="n">
        <v>-0.0381505272522644</v>
      </c>
      <c r="D55" s="21" t="n">
        <v>0.0676458714773258</v>
      </c>
      <c r="E55" s="21" t="n">
        <v>-0.563974214820369</v>
      </c>
      <c r="F55" t="n">
        <v>0.572771680630683</v>
      </c>
      <c r="G55"/>
      <c r="H55" t="s">
        <v>1520</v>
      </c>
      <c r="I55" s="21" t="n">
        <v>0.962568037263734</v>
      </c>
      <c r="J55" s="21" t="n">
        <v>0.843045794630496</v>
      </c>
      <c r="K55" s="21" t="n">
        <v>1.09903546434017</v>
      </c>
      <c r="L55" t="s">
        <v>1621</v>
      </c>
      <c r="M55" t="s">
        <v>492</v>
      </c>
      <c r="N55" t="s">
        <v>1518</v>
      </c>
      <c r="O55" t="s">
        <v>1616</v>
      </c>
      <c r="P55" t="s">
        <v>1581</v>
      </c>
      <c r="Q55"/>
    </row>
    <row r="56">
      <c r="A56" t="s">
        <v>23</v>
      </c>
      <c r="B56" t="s">
        <v>89</v>
      </c>
      <c r="C56" s="21" t="n">
        <v>0.00297268929130621</v>
      </c>
      <c r="D56" s="21" t="n">
        <v>0.00462399463269405</v>
      </c>
      <c r="E56" s="21" t="n">
        <v>0.642883378429497</v>
      </c>
      <c r="F56" t="n">
        <v>0.520299775491659</v>
      </c>
      <c r="G56"/>
      <c r="H56" t="s">
        <v>1520</v>
      </c>
      <c r="I56" s="21" t="n">
        <v>1.00297711211359</v>
      </c>
      <c r="J56" s="21" t="n">
        <v>0.993928333863693</v>
      </c>
      <c r="K56" s="21" t="n">
        <v>1.01210827093865</v>
      </c>
      <c r="L56" t="s">
        <v>1622</v>
      </c>
      <c r="M56" t="s">
        <v>1623</v>
      </c>
      <c r="N56" t="s">
        <v>1518</v>
      </c>
      <c r="O56" t="s">
        <v>1616</v>
      </c>
      <c r="P56" t="s">
        <v>1581</v>
      </c>
      <c r="Q56"/>
    </row>
    <row r="57">
      <c r="A57" t="s">
        <v>1524</v>
      </c>
      <c r="B57" t="s">
        <v>1568</v>
      </c>
      <c r="C57" s="21" t="n">
        <v>-2.23536155455586</v>
      </c>
      <c r="D57" s="21" t="n">
        <v>3.77744849995616</v>
      </c>
      <c r="E57" s="21" t="n">
        <v>-0.59176493195918</v>
      </c>
      <c r="F57" t="n">
        <v>0.55400800899772</v>
      </c>
      <c r="G57"/>
      <c r="H57"/>
      <c r="I57" s="21"/>
      <c r="J57" s="21"/>
      <c r="K57" s="21"/>
      <c r="L57"/>
      <c r="M57" t="s">
        <v>1624</v>
      </c>
      <c r="N57" t="s">
        <v>1518</v>
      </c>
      <c r="O57" t="s">
        <v>1625</v>
      </c>
      <c r="P57" t="s">
        <v>1581</v>
      </c>
      <c r="Q57"/>
    </row>
    <row r="58">
      <c r="A58" t="s">
        <v>1524</v>
      </c>
      <c r="B58" t="s">
        <v>417</v>
      </c>
      <c r="C58" s="21" t="n">
        <v>-0.872878231444649</v>
      </c>
      <c r="D58" s="21" t="n">
        <v>0.53910406578178</v>
      </c>
      <c r="E58" s="21" t="n">
        <v>-1.61912752443974</v>
      </c>
      <c r="F58" t="n">
        <v>0.10541982774777</v>
      </c>
      <c r="G58"/>
      <c r="H58" t="s">
        <v>1520</v>
      </c>
      <c r="I58" s="21" t="n">
        <v>0.417747443403717</v>
      </c>
      <c r="J58" s="21" t="n">
        <v>0.145220386392304</v>
      </c>
      <c r="K58" s="21" t="n">
        <v>1.20171093608652</v>
      </c>
      <c r="L58" t="s">
        <v>1626</v>
      </c>
      <c r="M58" t="s">
        <v>86</v>
      </c>
      <c r="N58" t="s">
        <v>1518</v>
      </c>
      <c r="O58" t="s">
        <v>1625</v>
      </c>
      <c r="P58" t="s">
        <v>1581</v>
      </c>
      <c r="Q58"/>
    </row>
    <row r="59">
      <c r="A59" t="s">
        <v>1524</v>
      </c>
      <c r="B59" t="s">
        <v>440</v>
      </c>
      <c r="C59" s="21" t="n">
        <v>0.231259061986856</v>
      </c>
      <c r="D59" s="21" t="n">
        <v>0.399635036334916</v>
      </c>
      <c r="E59" s="21" t="n">
        <v>0.578675643926896</v>
      </c>
      <c r="F59" t="n">
        <v>0.562808053240472</v>
      </c>
      <c r="G59"/>
      <c r="H59" t="s">
        <v>1520</v>
      </c>
      <c r="I59" s="21" t="n">
        <v>1.26018566336715</v>
      </c>
      <c r="J59" s="21" t="n">
        <v>0.57579060567745</v>
      </c>
      <c r="K59" s="21" t="n">
        <v>2.75806498143132</v>
      </c>
      <c r="L59" t="s">
        <v>1627</v>
      </c>
      <c r="M59" t="s">
        <v>471</v>
      </c>
      <c r="N59" t="s">
        <v>1518</v>
      </c>
      <c r="O59" t="s">
        <v>1625</v>
      </c>
      <c r="P59" t="s">
        <v>1581</v>
      </c>
      <c r="Q59"/>
    </row>
    <row r="60">
      <c r="A60" t="s">
        <v>1524</v>
      </c>
      <c r="B60" t="s">
        <v>1480</v>
      </c>
      <c r="C60" s="21" t="n">
        <v>0.0204153373426255</v>
      </c>
      <c r="D60" s="21" t="n">
        <v>0.0232173791225838</v>
      </c>
      <c r="E60" s="21" t="n">
        <v>0.879312743907741</v>
      </c>
      <c r="F60" t="n">
        <v>0.379231727958944</v>
      </c>
      <c r="G60"/>
      <c r="H60" t="s">
        <v>1520</v>
      </c>
      <c r="I60" s="21" t="n">
        <v>1.02062515574742</v>
      </c>
      <c r="J60" s="21" t="n">
        <v>0.975222245796453</v>
      </c>
      <c r="K60" s="21" t="n">
        <v>1.06814186513324</v>
      </c>
      <c r="L60" t="s">
        <v>1628</v>
      </c>
      <c r="M60" t="s">
        <v>1629</v>
      </c>
      <c r="N60" t="s">
        <v>1518</v>
      </c>
      <c r="O60" t="s">
        <v>1625</v>
      </c>
      <c r="P60" t="s">
        <v>1581</v>
      </c>
      <c r="Q60"/>
    </row>
    <row r="61">
      <c r="A61" t="s">
        <v>1524</v>
      </c>
      <c r="B61" t="s">
        <v>55</v>
      </c>
      <c r="C61" s="21" t="n">
        <v>0.0831711753286132</v>
      </c>
      <c r="D61" s="21" t="n">
        <v>0.104161017401947</v>
      </c>
      <c r="E61" s="21" t="n">
        <v>0.798486587430915</v>
      </c>
      <c r="F61" t="n">
        <v>0.424588173531973</v>
      </c>
      <c r="G61"/>
      <c r="H61" t="s">
        <v>1520</v>
      </c>
      <c r="I61" s="21" t="n">
        <v>1.08672781361865</v>
      </c>
      <c r="J61" s="21" t="n">
        <v>0.886051089123166</v>
      </c>
      <c r="K61" s="21" t="n">
        <v>1.33285468004003</v>
      </c>
      <c r="L61" t="s">
        <v>1630</v>
      </c>
      <c r="M61" t="s">
        <v>406</v>
      </c>
      <c r="N61" t="s">
        <v>1518</v>
      </c>
      <c r="O61" t="s">
        <v>1625</v>
      </c>
      <c r="P61" t="s">
        <v>1581</v>
      </c>
      <c r="Q61"/>
    </row>
    <row r="62">
      <c r="A62" t="s">
        <v>1524</v>
      </c>
      <c r="B62" t="s">
        <v>89</v>
      </c>
      <c r="C62" s="21" t="n">
        <v>0.000098096002760679</v>
      </c>
      <c r="D62" s="21" t="n">
        <v>0.00699050011526052</v>
      </c>
      <c r="E62" s="21" t="n">
        <v>0.014032758907554</v>
      </c>
      <c r="F62" t="n">
        <v>0.988803845778051</v>
      </c>
      <c r="G62"/>
      <c r="H62" t="s">
        <v>1520</v>
      </c>
      <c r="I62" s="21" t="n">
        <v>1.00009810081433</v>
      </c>
      <c r="J62" s="21" t="n">
        <v>0.986489070688594</v>
      </c>
      <c r="K62" s="21" t="n">
        <v>1.01389487321362</v>
      </c>
      <c r="L62" t="s">
        <v>1631</v>
      </c>
      <c r="M62" t="s">
        <v>1566</v>
      </c>
      <c r="N62" t="s">
        <v>1518</v>
      </c>
      <c r="O62" t="s">
        <v>1625</v>
      </c>
      <c r="P62" t="s">
        <v>1581</v>
      </c>
      <c r="Q62"/>
    </row>
    <row r="63">
      <c r="A63" t="s">
        <v>1529</v>
      </c>
      <c r="B63"/>
      <c r="C63" s="21"/>
      <c r="D63" s="21"/>
      <c r="E63" s="21"/>
      <c r="F63"/>
      <c r="G63"/>
      <c r="H63"/>
      <c r="I63" s="21"/>
      <c r="J63" s="21"/>
      <c r="K63" s="21"/>
      <c r="L63"/>
      <c r="M63" t="s">
        <v>109</v>
      </c>
      <c r="N63"/>
      <c r="O63" t="s">
        <v>1530</v>
      </c>
      <c r="P63"/>
      <c r="Q63"/>
    </row>
  </sheetData>
  <pageMargins left="0.7" right="0.7" top="0.75" bottom="0.75" header="0.3" footer="0.3"/>
  <pageSetup paperSize="9" orientation="portrait" horizontalDpi="300" verticalDpi="300"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0" t="s">
        <v>1531</v>
      </c>
    </row>
    <row r="3">
      <c r="A3" s="1" t="s">
        <v>1464</v>
      </c>
    </row>
    <row r="4">
      <c r="A4" t="s">
        <v>1465</v>
      </c>
      <c r="B4" t="s">
        <v>1466</v>
      </c>
      <c r="C4" t="s">
        <v>1467</v>
      </c>
      <c r="D4" t="s">
        <v>1468</v>
      </c>
      <c r="E4" t="s">
        <v>1469</v>
      </c>
      <c r="F4" t="s">
        <v>1470</v>
      </c>
      <c r="G4" t="s">
        <v>1471</v>
      </c>
      <c r="H4" t="s">
        <v>1472</v>
      </c>
      <c r="I4" t="s">
        <v>1473</v>
      </c>
      <c r="J4" t="s">
        <v>1474</v>
      </c>
      <c r="K4" t="s">
        <v>1475</v>
      </c>
      <c r="L4" t="s">
        <v>1476</v>
      </c>
      <c r="M4" t="s">
        <v>41</v>
      </c>
      <c r="N4" t="s">
        <v>1477</v>
      </c>
      <c r="O4" t="s">
        <v>1478</v>
      </c>
      <c r="P4" t="s">
        <v>1479</v>
      </c>
      <c r="Q4" t="s">
        <v>1</v>
      </c>
    </row>
    <row r="5">
      <c r="A5" t="s">
        <v>1532</v>
      </c>
      <c r="B5" t="s">
        <v>1568</v>
      </c>
      <c r="C5" s="22" t="n">
        <v>6.68921121259561</v>
      </c>
      <c r="D5" s="22" t="n">
        <v>0.152614921291075</v>
      </c>
      <c r="E5" s="22" t="n">
        <v>43.8306500832746</v>
      </c>
      <c r="F5" t="n">
        <v>0.00000000000000000000000000000000000000000000000000000000000000000000000000000000000000000000000000000000000000000000000000000000000000385525370287649</v>
      </c>
      <c r="G5" t="n">
        <v>311</v>
      </c>
      <c r="H5"/>
      <c r="I5" s="22"/>
      <c r="J5" s="22"/>
      <c r="K5" s="22"/>
      <c r="L5"/>
      <c r="M5" t="s">
        <v>50</v>
      </c>
      <c r="N5" t="s">
        <v>1484</v>
      </c>
      <c r="O5" t="s">
        <v>1632</v>
      </c>
      <c r="P5" t="s">
        <v>1581</v>
      </c>
      <c r="Q5"/>
    </row>
    <row r="6">
      <c r="A6" t="s">
        <v>1532</v>
      </c>
      <c r="B6" t="s">
        <v>417</v>
      </c>
      <c r="C6" s="22" t="n">
        <v>-0.0243201394334513</v>
      </c>
      <c r="D6" s="22" t="n">
        <v>0.0189336273284375</v>
      </c>
      <c r="E6" s="22" t="n">
        <v>-1.28449446118143</v>
      </c>
      <c r="F6" t="n">
        <v>0.199924958524805</v>
      </c>
      <c r="G6" t="n">
        <v>311</v>
      </c>
      <c r="H6" t="s">
        <v>1487</v>
      </c>
      <c r="I6" s="22" t="n">
        <v>-0.0243201394334513</v>
      </c>
      <c r="J6" s="22" t="n">
        <v>-0.0615743446950391</v>
      </c>
      <c r="K6" s="22" t="n">
        <v>0.0129340658281365</v>
      </c>
      <c r="L6" t="s">
        <v>1633</v>
      </c>
      <c r="M6" t="s">
        <v>129</v>
      </c>
      <c r="N6" t="s">
        <v>1484</v>
      </c>
      <c r="O6" t="s">
        <v>1632</v>
      </c>
      <c r="P6" t="s">
        <v>1581</v>
      </c>
      <c r="Q6"/>
    </row>
    <row r="7">
      <c r="A7" t="s">
        <v>1532</v>
      </c>
      <c r="B7" t="s">
        <v>440</v>
      </c>
      <c r="C7" s="22" t="n">
        <v>0.00645101184987134</v>
      </c>
      <c r="D7" s="22" t="n">
        <v>0.017677883510109</v>
      </c>
      <c r="E7" s="22" t="n">
        <v>0.364919920768929</v>
      </c>
      <c r="F7" t="n">
        <v>0.715419210838219</v>
      </c>
      <c r="G7" t="n">
        <v>311</v>
      </c>
      <c r="H7" t="s">
        <v>1487</v>
      </c>
      <c r="I7" s="22" t="n">
        <v>0.00645101184987134</v>
      </c>
      <c r="J7" s="22" t="n">
        <v>-0.028332365336754</v>
      </c>
      <c r="K7" s="22" t="n">
        <v>0.0412343890364967</v>
      </c>
      <c r="L7" t="s">
        <v>1634</v>
      </c>
      <c r="M7" t="s">
        <v>390</v>
      </c>
      <c r="N7" t="s">
        <v>1484</v>
      </c>
      <c r="O7" t="s">
        <v>1632</v>
      </c>
      <c r="P7" t="s">
        <v>1581</v>
      </c>
      <c r="Q7"/>
    </row>
    <row r="8">
      <c r="A8" t="s">
        <v>1532</v>
      </c>
      <c r="B8" t="s">
        <v>1480</v>
      </c>
      <c r="C8" s="22" t="n">
        <v>-0.0000971113104038682</v>
      </c>
      <c r="D8" s="22" t="n">
        <v>0.00091854377396064</v>
      </c>
      <c r="E8" s="22" t="n">
        <v>-0.105723116477222</v>
      </c>
      <c r="F8" t="n">
        <v>0.915870196274019</v>
      </c>
      <c r="G8" t="n">
        <v>311</v>
      </c>
      <c r="H8" t="s">
        <v>1487</v>
      </c>
      <c r="I8" s="22" t="n">
        <v>-0.0000971113104038682</v>
      </c>
      <c r="J8" s="22" t="n">
        <v>-0.00190445745191616</v>
      </c>
      <c r="K8" s="22" t="n">
        <v>0.00171023483110842</v>
      </c>
      <c r="L8" t="s">
        <v>1635</v>
      </c>
      <c r="M8" t="s">
        <v>420</v>
      </c>
      <c r="N8" t="s">
        <v>1484</v>
      </c>
      <c r="O8" t="s">
        <v>1632</v>
      </c>
      <c r="P8" t="s">
        <v>1581</v>
      </c>
      <c r="Q8"/>
    </row>
    <row r="9">
      <c r="A9" t="s">
        <v>1532</v>
      </c>
      <c r="B9" t="s">
        <v>55</v>
      </c>
      <c r="C9" s="22" t="n">
        <v>0.0509516806342711</v>
      </c>
      <c r="D9" s="22" t="n">
        <v>0.00412143070933302</v>
      </c>
      <c r="E9" s="22" t="n">
        <v>12.3626197375806</v>
      </c>
      <c r="F9" t="n">
        <v>0.0000000000000000000000000000791240121737603</v>
      </c>
      <c r="G9" t="n">
        <v>311</v>
      </c>
      <c r="H9" t="s">
        <v>1487</v>
      </c>
      <c r="I9" s="22" t="n">
        <v>0.0509516806342711</v>
      </c>
      <c r="J9" s="22" t="n">
        <v>0.042842266471128</v>
      </c>
      <c r="K9" s="22" t="n">
        <v>0.0590610947974142</v>
      </c>
      <c r="L9" t="s">
        <v>1636</v>
      </c>
      <c r="M9" t="s">
        <v>50</v>
      </c>
      <c r="N9" t="s">
        <v>1484</v>
      </c>
      <c r="O9" t="s">
        <v>1632</v>
      </c>
      <c r="P9" t="s">
        <v>1581</v>
      </c>
      <c r="Q9"/>
    </row>
    <row r="10">
      <c r="A10" t="s">
        <v>1532</v>
      </c>
      <c r="B10" t="s">
        <v>89</v>
      </c>
      <c r="C10" s="22" t="n">
        <v>0.0000488329170051252</v>
      </c>
      <c r="D10" s="22" t="n">
        <v>0.000282320826321527</v>
      </c>
      <c r="E10" s="22" t="n">
        <v>0.172969587973332</v>
      </c>
      <c r="F10" t="n">
        <v>0.862787849147185</v>
      </c>
      <c r="G10" t="n">
        <v>311</v>
      </c>
      <c r="H10" t="s">
        <v>1487</v>
      </c>
      <c r="I10" s="22" t="n">
        <v>0.0000488329170051252</v>
      </c>
      <c r="J10" s="22" t="n">
        <v>-0.000506667507237735</v>
      </c>
      <c r="K10" s="22" t="n">
        <v>0.000604333341247985</v>
      </c>
      <c r="L10" t="s">
        <v>1637</v>
      </c>
      <c r="M10" t="s">
        <v>485</v>
      </c>
      <c r="N10" t="s">
        <v>1484</v>
      </c>
      <c r="O10" t="s">
        <v>1632</v>
      </c>
      <c r="P10" t="s">
        <v>1581</v>
      </c>
      <c r="Q10"/>
    </row>
    <row r="11">
      <c r="A11" t="s">
        <v>145</v>
      </c>
      <c r="B11" t="s">
        <v>1568</v>
      </c>
      <c r="C11" s="22" t="n">
        <v>-18.054055985168</v>
      </c>
      <c r="D11" s="22" t="n">
        <v>8.89701977902849</v>
      </c>
      <c r="E11" s="22" t="n">
        <v>-2.02922511510247</v>
      </c>
      <c r="F11" t="n">
        <v>0.0432867497414944</v>
      </c>
      <c r="G11" t="n">
        <v>311</v>
      </c>
      <c r="H11"/>
      <c r="I11" s="22"/>
      <c r="J11" s="22"/>
      <c r="K11" s="22"/>
      <c r="L11"/>
      <c r="M11" t="s">
        <v>460</v>
      </c>
      <c r="N11" t="s">
        <v>1491</v>
      </c>
      <c r="O11" t="s">
        <v>1492</v>
      </c>
      <c r="P11" t="s">
        <v>1581</v>
      </c>
      <c r="Q11"/>
    </row>
    <row r="12">
      <c r="A12" t="s">
        <v>145</v>
      </c>
      <c r="B12" t="s">
        <v>417</v>
      </c>
      <c r="C12" s="22" t="n">
        <v>-2.05643585856704</v>
      </c>
      <c r="D12" s="22" t="n">
        <v>1.01384634373619</v>
      </c>
      <c r="E12" s="22" t="n">
        <v>-2.02835061868323</v>
      </c>
      <c r="F12" t="n">
        <v>0.0433764064910237</v>
      </c>
      <c r="G12" t="n">
        <v>311</v>
      </c>
      <c r="H12" t="s">
        <v>1487</v>
      </c>
      <c r="I12" s="22" t="n">
        <v>-2.05643585856704</v>
      </c>
      <c r="J12" s="22" t="n">
        <v>-4.05130135042815</v>
      </c>
      <c r="K12" s="22" t="n">
        <v>-0.0615703667059271</v>
      </c>
      <c r="L12" t="s">
        <v>1638</v>
      </c>
      <c r="M12" t="s">
        <v>460</v>
      </c>
      <c r="N12" t="s">
        <v>1491</v>
      </c>
      <c r="O12" t="s">
        <v>1492</v>
      </c>
      <c r="P12" t="s">
        <v>1581</v>
      </c>
      <c r="Q12"/>
    </row>
    <row r="13">
      <c r="A13" t="s">
        <v>145</v>
      </c>
      <c r="B13" t="s">
        <v>440</v>
      </c>
      <c r="C13" s="22" t="n">
        <v>-0.323549857175455</v>
      </c>
      <c r="D13" s="22" t="n">
        <v>1.12561918470938</v>
      </c>
      <c r="E13" s="22" t="n">
        <v>-0.28744166905701</v>
      </c>
      <c r="F13" t="n">
        <v>0.773965593215689</v>
      </c>
      <c r="G13" t="n">
        <v>311</v>
      </c>
      <c r="H13" t="s">
        <v>1487</v>
      </c>
      <c r="I13" s="22" t="n">
        <v>-0.323549857175455</v>
      </c>
      <c r="J13" s="22" t="n">
        <v>-2.53834195306514</v>
      </c>
      <c r="K13" s="22" t="n">
        <v>1.89124223871423</v>
      </c>
      <c r="L13" t="s">
        <v>1639</v>
      </c>
      <c r="M13" t="s">
        <v>546</v>
      </c>
      <c r="N13" t="s">
        <v>1491</v>
      </c>
      <c r="O13" t="s">
        <v>1492</v>
      </c>
      <c r="P13" t="s">
        <v>1581</v>
      </c>
      <c r="Q13"/>
    </row>
    <row r="14">
      <c r="A14" t="s">
        <v>145</v>
      </c>
      <c r="B14" t="s">
        <v>1480</v>
      </c>
      <c r="C14" s="22" t="n">
        <v>0.00351597787626955</v>
      </c>
      <c r="D14" s="22" t="n">
        <v>0.0535791672478864</v>
      </c>
      <c r="E14" s="22" t="n">
        <v>0.0656221075628653</v>
      </c>
      <c r="F14" t="n">
        <v>0.947720850139854</v>
      </c>
      <c r="G14" t="n">
        <v>311</v>
      </c>
      <c r="H14" t="s">
        <v>1487</v>
      </c>
      <c r="I14" s="22" t="n">
        <v>0.00351597787626955</v>
      </c>
      <c r="J14" s="22" t="n">
        <v>-0.101907523905649</v>
      </c>
      <c r="K14" s="22" t="n">
        <v>0.108939479658188</v>
      </c>
      <c r="L14" t="s">
        <v>1640</v>
      </c>
      <c r="M14" t="s">
        <v>544</v>
      </c>
      <c r="N14" t="s">
        <v>1491</v>
      </c>
      <c r="O14" t="s">
        <v>1492</v>
      </c>
      <c r="P14" t="s">
        <v>1581</v>
      </c>
      <c r="Q14"/>
    </row>
    <row r="15">
      <c r="A15" t="s">
        <v>145</v>
      </c>
      <c r="B15" t="s">
        <v>55</v>
      </c>
      <c r="C15" s="22" t="n">
        <v>-13.3852618249907</v>
      </c>
      <c r="D15" s="22" t="n">
        <v>0.203140750241381</v>
      </c>
      <c r="E15" s="22" t="n">
        <v>-65.8915643911215</v>
      </c>
      <c r="F15" t="n">
        <v>0.0000000000000000000000000000000000000000000000000000000000000000000000000000000000000000000000000000000000000000000000000000000000000000000000000000000000000000000000000000000000000000925261400272378</v>
      </c>
      <c r="G15" t="n">
        <v>311</v>
      </c>
      <c r="H15" t="s">
        <v>1487</v>
      </c>
      <c r="I15" s="22" t="n">
        <v>-13.3852618249907</v>
      </c>
      <c r="J15" s="22" t="n">
        <v>-13.7849658582014</v>
      </c>
      <c r="K15" s="22" t="n">
        <v>-12.98555779178</v>
      </c>
      <c r="L15" t="s">
        <v>1641</v>
      </c>
      <c r="M15" t="s">
        <v>50</v>
      </c>
      <c r="N15" t="s">
        <v>1491</v>
      </c>
      <c r="O15" t="s">
        <v>1492</v>
      </c>
      <c r="P15" t="s">
        <v>1581</v>
      </c>
      <c r="Q15"/>
    </row>
    <row r="16">
      <c r="A16" t="s">
        <v>145</v>
      </c>
      <c r="B16" t="s">
        <v>89</v>
      </c>
      <c r="C16" s="22" t="n">
        <v>0.0533442676086562</v>
      </c>
      <c r="D16" s="22" t="n">
        <v>0.0167597733923466</v>
      </c>
      <c r="E16" s="22" t="n">
        <v>3.18287523105868</v>
      </c>
      <c r="F16" t="n">
        <v>0.00160568374465849</v>
      </c>
      <c r="G16" t="n">
        <v>311</v>
      </c>
      <c r="H16" t="s">
        <v>1487</v>
      </c>
      <c r="I16" s="22" t="n">
        <v>0.0533442676086562</v>
      </c>
      <c r="J16" s="22" t="n">
        <v>0.0203673832924429</v>
      </c>
      <c r="K16" s="22" t="n">
        <v>0.0863211519248694</v>
      </c>
      <c r="L16" t="s">
        <v>1642</v>
      </c>
      <c r="M16" t="s">
        <v>567</v>
      </c>
      <c r="N16" t="s">
        <v>1491</v>
      </c>
      <c r="O16" t="s">
        <v>1492</v>
      </c>
      <c r="P16" t="s">
        <v>1581</v>
      </c>
      <c r="Q16"/>
    </row>
    <row r="17">
      <c r="A17" t="s">
        <v>1539</v>
      </c>
      <c r="B17"/>
      <c r="C17" s="22"/>
      <c r="D17" s="22"/>
      <c r="E17" s="22"/>
      <c r="F17"/>
      <c r="G17"/>
      <c r="H17"/>
      <c r="I17" s="22"/>
      <c r="J17" s="22"/>
      <c r="K17" s="22"/>
      <c r="L17"/>
      <c r="M17" t="s">
        <v>109</v>
      </c>
      <c r="N17"/>
      <c r="O17" t="s">
        <v>1530</v>
      </c>
      <c r="P17"/>
      <c r="Q17"/>
    </row>
  </sheetData>
  <pageMargins left="0.7" right="0.7" top="0.75" bottom="0.75" header="0.3" footer="0.3"/>
  <pageSetup paperSize="9" orientation="portrait" horizontalDpi="300" verticalDpi="300"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 t="s">
        <v>1464</v>
      </c>
    </row>
    <row r="2">
      <c r="A2" t="s">
        <v>1465</v>
      </c>
      <c r="B2" t="s">
        <v>1466</v>
      </c>
      <c r="C2" t="s">
        <v>1467</v>
      </c>
      <c r="D2" t="s">
        <v>1468</v>
      </c>
      <c r="E2" t="s">
        <v>1469</v>
      </c>
      <c r="F2" t="s">
        <v>1470</v>
      </c>
      <c r="G2" t="s">
        <v>1471</v>
      </c>
      <c r="H2" t="s">
        <v>1472</v>
      </c>
      <c r="I2" t="s">
        <v>1473</v>
      </c>
      <c r="J2" t="s">
        <v>1474</v>
      </c>
      <c r="K2" t="s">
        <v>1475</v>
      </c>
      <c r="L2" t="s">
        <v>1476</v>
      </c>
      <c r="M2" t="s">
        <v>41</v>
      </c>
      <c r="N2" t="s">
        <v>1477</v>
      </c>
      <c r="O2" t="s">
        <v>1478</v>
      </c>
      <c r="P2" t="s">
        <v>1479</v>
      </c>
      <c r="Q2" t="s">
        <v>1</v>
      </c>
    </row>
    <row r="3">
      <c r="A3" t="s">
        <v>167</v>
      </c>
      <c r="B3" t="s">
        <v>1568</v>
      </c>
      <c r="C3" s="23" t="n">
        <v>175.672732447055</v>
      </c>
      <c r="D3" s="23" t="n">
        <v>12.7857461119807</v>
      </c>
      <c r="E3" s="23" t="n">
        <v>13.7397325825549</v>
      </c>
      <c r="F3" t="n">
        <v>0.00000000000000000000000000000000261437585323329</v>
      </c>
      <c r="G3" t="n">
        <v>285</v>
      </c>
      <c r="H3"/>
      <c r="I3" s="23"/>
      <c r="J3" s="23"/>
      <c r="K3" s="23"/>
      <c r="L3"/>
      <c r="M3" t="s">
        <v>50</v>
      </c>
      <c r="N3" t="s">
        <v>1491</v>
      </c>
      <c r="O3" t="s">
        <v>1492</v>
      </c>
      <c r="P3" t="s">
        <v>1581</v>
      </c>
      <c r="Q3"/>
    </row>
    <row r="4">
      <c r="A4" t="s">
        <v>167</v>
      </c>
      <c r="B4" t="s">
        <v>417</v>
      </c>
      <c r="C4" s="23" t="n">
        <v>-2.15493805905379</v>
      </c>
      <c r="D4" s="23" t="n">
        <v>1.82262742000008</v>
      </c>
      <c r="E4" s="23" t="n">
        <v>-1.18232505195916</v>
      </c>
      <c r="F4" t="n">
        <v>0.238062218621713</v>
      </c>
      <c r="G4" t="n">
        <v>285</v>
      </c>
      <c r="H4" t="s">
        <v>1487</v>
      </c>
      <c r="I4" s="23" t="n">
        <v>-2.15493805905379</v>
      </c>
      <c r="J4" s="23" t="n">
        <v>-5.74245680673995</v>
      </c>
      <c r="K4" s="23" t="n">
        <v>1.43258068863237</v>
      </c>
      <c r="L4" t="s">
        <v>1643</v>
      </c>
      <c r="M4" t="s">
        <v>385</v>
      </c>
      <c r="N4" t="s">
        <v>1491</v>
      </c>
      <c r="O4" t="s">
        <v>1492</v>
      </c>
      <c r="P4" t="s">
        <v>1581</v>
      </c>
      <c r="Q4"/>
    </row>
    <row r="5">
      <c r="A5" t="s">
        <v>167</v>
      </c>
      <c r="B5" t="s">
        <v>440</v>
      </c>
      <c r="C5" s="23" t="n">
        <v>-2.49448365093461</v>
      </c>
      <c r="D5" s="23" t="n">
        <v>1.60720053605983</v>
      </c>
      <c r="E5" s="23" t="n">
        <v>-1.55206745827127</v>
      </c>
      <c r="F5" t="n">
        <v>0.121755809430923</v>
      </c>
      <c r="G5" t="n">
        <v>285</v>
      </c>
      <c r="H5" t="s">
        <v>1487</v>
      </c>
      <c r="I5" s="23" t="n">
        <v>-2.49448365093461</v>
      </c>
      <c r="J5" s="23" t="n">
        <v>-5.65797279366113</v>
      </c>
      <c r="K5" s="23" t="n">
        <v>0.669005491791912</v>
      </c>
      <c r="L5" t="s">
        <v>1644</v>
      </c>
      <c r="M5" t="s">
        <v>419</v>
      </c>
      <c r="N5" t="s">
        <v>1491</v>
      </c>
      <c r="O5" t="s">
        <v>1492</v>
      </c>
      <c r="P5" t="s">
        <v>1581</v>
      </c>
      <c r="Q5"/>
    </row>
    <row r="6">
      <c r="A6" t="s">
        <v>167</v>
      </c>
      <c r="B6" t="s">
        <v>1480</v>
      </c>
      <c r="C6" s="23" t="n">
        <v>-0.0412697715545478</v>
      </c>
      <c r="D6" s="23" t="n">
        <v>0.0869725805397521</v>
      </c>
      <c r="E6" s="23" t="n">
        <v>-0.474514741294641</v>
      </c>
      <c r="F6" t="n">
        <v>0.635496262769027</v>
      </c>
      <c r="G6" t="n">
        <v>285</v>
      </c>
      <c r="H6" t="s">
        <v>1487</v>
      </c>
      <c r="I6" s="23" t="n">
        <v>-0.0412697715545478</v>
      </c>
      <c r="J6" s="23" t="n">
        <v>-0.212459867674682</v>
      </c>
      <c r="K6" s="23" t="n">
        <v>0.129920324565586</v>
      </c>
      <c r="L6" t="s">
        <v>1645</v>
      </c>
      <c r="M6" t="s">
        <v>99</v>
      </c>
      <c r="N6" t="s">
        <v>1491</v>
      </c>
      <c r="O6" t="s">
        <v>1492</v>
      </c>
      <c r="P6" t="s">
        <v>1581</v>
      </c>
      <c r="Q6"/>
    </row>
    <row r="7">
      <c r="A7" t="s">
        <v>167</v>
      </c>
      <c r="B7" t="s">
        <v>55</v>
      </c>
      <c r="C7" s="23" t="n">
        <v>0.343858306808827</v>
      </c>
      <c r="D7" s="23" t="n">
        <v>0.379788058753742</v>
      </c>
      <c r="E7" s="23" t="n">
        <v>0.905395256336346</v>
      </c>
      <c r="F7" t="n">
        <v>0.366020785678637</v>
      </c>
      <c r="G7" t="n">
        <v>285</v>
      </c>
      <c r="H7" t="s">
        <v>1487</v>
      </c>
      <c r="I7" s="23" t="n">
        <v>0.343858306808827</v>
      </c>
      <c r="J7" s="23" t="n">
        <v>-0.40368711359658</v>
      </c>
      <c r="K7" s="23" t="n">
        <v>1.09140372721423</v>
      </c>
      <c r="L7" t="s">
        <v>1646</v>
      </c>
      <c r="M7" t="s">
        <v>461</v>
      </c>
      <c r="N7" t="s">
        <v>1491</v>
      </c>
      <c r="O7" t="s">
        <v>1492</v>
      </c>
      <c r="P7" t="s">
        <v>1581</v>
      </c>
      <c r="Q7"/>
    </row>
    <row r="8">
      <c r="A8" t="s">
        <v>167</v>
      </c>
      <c r="B8" t="s">
        <v>89</v>
      </c>
      <c r="C8" s="23" t="n">
        <v>0.0156644510919667</v>
      </c>
      <c r="D8" s="23" t="n">
        <v>0.0236938663164663</v>
      </c>
      <c r="E8" s="23" t="n">
        <v>0.661118404347564</v>
      </c>
      <c r="F8" t="n">
        <v>0.509070463860087</v>
      </c>
      <c r="G8" t="n">
        <v>285</v>
      </c>
      <c r="H8" t="s">
        <v>1487</v>
      </c>
      <c r="I8" s="23" t="n">
        <v>0.0156644510919667</v>
      </c>
      <c r="J8" s="23" t="n">
        <v>-0.0309727215318759</v>
      </c>
      <c r="K8" s="23" t="n">
        <v>0.0623016237158093</v>
      </c>
      <c r="L8" t="s">
        <v>1647</v>
      </c>
      <c r="M8" t="s">
        <v>431</v>
      </c>
      <c r="N8" t="s">
        <v>1491</v>
      </c>
      <c r="O8" t="s">
        <v>1492</v>
      </c>
      <c r="P8" t="s">
        <v>1581</v>
      </c>
      <c r="Q8"/>
    </row>
    <row r="9">
      <c r="A9" t="s">
        <v>177</v>
      </c>
      <c r="B9" t="s">
        <v>1568</v>
      </c>
      <c r="C9" s="23" t="n">
        <v>-0.0656198819363697</v>
      </c>
      <c r="D9" s="23" t="n">
        <v>0.358107731181562</v>
      </c>
      <c r="E9" s="23" t="n">
        <v>-0.183240617899702</v>
      </c>
      <c r="F9" t="n">
        <v>0.854739515894641</v>
      </c>
      <c r="G9" t="n">
        <v>285</v>
      </c>
      <c r="H9"/>
      <c r="I9" s="23"/>
      <c r="J9" s="23"/>
      <c r="K9" s="23"/>
      <c r="L9"/>
      <c r="M9" t="s">
        <v>1648</v>
      </c>
      <c r="N9" t="s">
        <v>1491</v>
      </c>
      <c r="O9" t="s">
        <v>1492</v>
      </c>
      <c r="P9" t="s">
        <v>1581</v>
      </c>
      <c r="Q9"/>
    </row>
    <row r="10">
      <c r="A10" t="s">
        <v>177</v>
      </c>
      <c r="B10" t="s">
        <v>417</v>
      </c>
      <c r="C10" s="23" t="n">
        <v>-0.220493073217265</v>
      </c>
      <c r="D10" s="23" t="n">
        <v>0.049981545101967</v>
      </c>
      <c r="E10" s="23" t="n">
        <v>-4.4114897362104</v>
      </c>
      <c r="F10" t="n">
        <v>0.0000145720125783011</v>
      </c>
      <c r="G10" t="n">
        <v>285</v>
      </c>
      <c r="H10" t="s">
        <v>1487</v>
      </c>
      <c r="I10" s="23" t="n">
        <v>-0.220493073217265</v>
      </c>
      <c r="J10" s="23" t="n">
        <v>-0.318872878175768</v>
      </c>
      <c r="K10" s="23" t="n">
        <v>-0.122113268258761</v>
      </c>
      <c r="L10" t="s">
        <v>1649</v>
      </c>
      <c r="M10" t="s">
        <v>50</v>
      </c>
      <c r="N10" t="s">
        <v>1491</v>
      </c>
      <c r="O10" t="s">
        <v>1492</v>
      </c>
      <c r="P10" t="s">
        <v>1581</v>
      </c>
      <c r="Q10"/>
    </row>
    <row r="11">
      <c r="A11" t="s">
        <v>177</v>
      </c>
      <c r="B11" t="s">
        <v>440</v>
      </c>
      <c r="C11" s="23" t="n">
        <v>-0.0716119506597653</v>
      </c>
      <c r="D11" s="23" t="n">
        <v>0.0464030574862732</v>
      </c>
      <c r="E11" s="23" t="n">
        <v>-1.54325931391373</v>
      </c>
      <c r="F11" t="n">
        <v>0.123877475788538</v>
      </c>
      <c r="G11" t="n">
        <v>285</v>
      </c>
      <c r="H11" t="s">
        <v>1487</v>
      </c>
      <c r="I11" s="23" t="n">
        <v>-0.0716119506597653</v>
      </c>
      <c r="J11" s="23" t="n">
        <v>-0.16294813755964</v>
      </c>
      <c r="K11" s="23" t="n">
        <v>0.0197242362401095</v>
      </c>
      <c r="L11" t="s">
        <v>1650</v>
      </c>
      <c r="M11" t="s">
        <v>419</v>
      </c>
      <c r="N11" t="s">
        <v>1491</v>
      </c>
      <c r="O11" t="s">
        <v>1492</v>
      </c>
      <c r="P11" t="s">
        <v>1581</v>
      </c>
      <c r="Q11"/>
    </row>
    <row r="12">
      <c r="A12" t="s">
        <v>177</v>
      </c>
      <c r="B12" t="s">
        <v>1480</v>
      </c>
      <c r="C12" s="23" t="n">
        <v>-0.0127627890248353</v>
      </c>
      <c r="D12" s="23" t="n">
        <v>0.00235970214861232</v>
      </c>
      <c r="E12" s="23" t="n">
        <v>-5.40864406651525</v>
      </c>
      <c r="F12" t="n">
        <v>0.000000134588577306154</v>
      </c>
      <c r="G12" t="n">
        <v>285</v>
      </c>
      <c r="H12" t="s">
        <v>1487</v>
      </c>
      <c r="I12" s="23" t="n">
        <v>-0.0127627890248353</v>
      </c>
      <c r="J12" s="23" t="n">
        <v>-0.0174074441003645</v>
      </c>
      <c r="K12" s="23" t="n">
        <v>-0.00811813394930614</v>
      </c>
      <c r="L12" t="s">
        <v>1651</v>
      </c>
      <c r="M12" t="s">
        <v>50</v>
      </c>
      <c r="N12" t="s">
        <v>1491</v>
      </c>
      <c r="O12" t="s">
        <v>1492</v>
      </c>
      <c r="P12" t="s">
        <v>1581</v>
      </c>
      <c r="Q12"/>
    </row>
    <row r="13">
      <c r="A13" t="s">
        <v>177</v>
      </c>
      <c r="B13" t="s">
        <v>55</v>
      </c>
      <c r="C13" s="23" t="n">
        <v>0.0458251630473576</v>
      </c>
      <c r="D13" s="23" t="n">
        <v>0.0113223420357477</v>
      </c>
      <c r="E13" s="23" t="n">
        <v>4.04732191473064</v>
      </c>
      <c r="F13" t="n">
        <v>0.0000667940611101314</v>
      </c>
      <c r="G13" t="n">
        <v>285</v>
      </c>
      <c r="H13" t="s">
        <v>1487</v>
      </c>
      <c r="I13" s="23" t="n">
        <v>0.0458251630473576</v>
      </c>
      <c r="J13" s="23" t="n">
        <v>0.0235391412991726</v>
      </c>
      <c r="K13" s="23" t="n">
        <v>0.0681111847955426</v>
      </c>
      <c r="L13" t="s">
        <v>1652</v>
      </c>
      <c r="M13" t="s">
        <v>50</v>
      </c>
      <c r="N13" t="s">
        <v>1491</v>
      </c>
      <c r="O13" t="s">
        <v>1492</v>
      </c>
      <c r="P13" t="s">
        <v>1581</v>
      </c>
      <c r="Q13"/>
    </row>
    <row r="14">
      <c r="A14" t="s">
        <v>177</v>
      </c>
      <c r="B14" t="s">
        <v>89</v>
      </c>
      <c r="C14" s="23" t="n">
        <v>0.00133188066239276</v>
      </c>
      <c r="D14" s="23" t="n">
        <v>0.000653282412328071</v>
      </c>
      <c r="E14" s="23" t="n">
        <v>2.03875175155321</v>
      </c>
      <c r="F14" t="n">
        <v>0.0423974672458173</v>
      </c>
      <c r="G14" t="n">
        <v>285</v>
      </c>
      <c r="H14" t="s">
        <v>1487</v>
      </c>
      <c r="I14" s="23" t="n">
        <v>0.00133188066239276</v>
      </c>
      <c r="J14" s="23" t="n">
        <v>0.0000460101240462585</v>
      </c>
      <c r="K14" s="23" t="n">
        <v>0.00261775120073926</v>
      </c>
      <c r="L14" t="s">
        <v>1653</v>
      </c>
      <c r="M14" t="s">
        <v>460</v>
      </c>
      <c r="N14" t="s">
        <v>1491</v>
      </c>
      <c r="O14" t="s">
        <v>1492</v>
      </c>
      <c r="P14" t="s">
        <v>1581</v>
      </c>
      <c r="Q14"/>
    </row>
    <row r="15">
      <c r="A15" t="s">
        <v>185</v>
      </c>
      <c r="B15" t="s">
        <v>1568</v>
      </c>
      <c r="C15" s="23" t="n">
        <v>-0.152870406522462</v>
      </c>
      <c r="D15" s="23" t="n">
        <v>0.211328082096185</v>
      </c>
      <c r="E15" s="23" t="n">
        <v>-0.723379519683919</v>
      </c>
      <c r="F15" t="n">
        <v>0.470040024494102</v>
      </c>
      <c r="G15" t="n">
        <v>285</v>
      </c>
      <c r="H15"/>
      <c r="I15" s="23"/>
      <c r="J15" s="23"/>
      <c r="K15" s="23"/>
      <c r="L15"/>
      <c r="M15" t="s">
        <v>1654</v>
      </c>
      <c r="N15" t="s">
        <v>1491</v>
      </c>
      <c r="O15" t="s">
        <v>1492</v>
      </c>
      <c r="P15" t="s">
        <v>1581</v>
      </c>
      <c r="Q15"/>
    </row>
    <row r="16">
      <c r="A16" t="s">
        <v>185</v>
      </c>
      <c r="B16" t="s">
        <v>417</v>
      </c>
      <c r="C16" s="23" t="n">
        <v>0.0401982876405189</v>
      </c>
      <c r="D16" s="23" t="n">
        <v>0.0235030866904145</v>
      </c>
      <c r="E16" s="23" t="n">
        <v>1.71034078076704</v>
      </c>
      <c r="F16" t="n">
        <v>0.0882911312244005</v>
      </c>
      <c r="G16" t="n">
        <v>285</v>
      </c>
      <c r="H16" t="s">
        <v>1487</v>
      </c>
      <c r="I16" s="23" t="n">
        <v>0.0401982876405189</v>
      </c>
      <c r="J16" s="23" t="n">
        <v>-0.00606336913316852</v>
      </c>
      <c r="K16" s="23" t="n">
        <v>0.0864599444142063</v>
      </c>
      <c r="L16" t="s">
        <v>1655</v>
      </c>
      <c r="M16" t="s">
        <v>446</v>
      </c>
      <c r="N16" t="s">
        <v>1491</v>
      </c>
      <c r="O16" t="s">
        <v>1492</v>
      </c>
      <c r="P16" t="s">
        <v>1581</v>
      </c>
      <c r="Q16"/>
    </row>
    <row r="17">
      <c r="A17" t="s">
        <v>185</v>
      </c>
      <c r="B17" t="s">
        <v>440</v>
      </c>
      <c r="C17" s="23" t="n">
        <v>0.0110031338345682</v>
      </c>
      <c r="D17" s="23" t="n">
        <v>0.028287782332343</v>
      </c>
      <c r="E17" s="23" t="n">
        <v>0.388971242259161</v>
      </c>
      <c r="F17" t="n">
        <v>0.697587869190301</v>
      </c>
      <c r="G17" t="n">
        <v>285</v>
      </c>
      <c r="H17" t="s">
        <v>1487</v>
      </c>
      <c r="I17" s="23" t="n">
        <v>0.0110031338345682</v>
      </c>
      <c r="J17" s="23" t="n">
        <v>-0.0446763475197403</v>
      </c>
      <c r="K17" s="23" t="n">
        <v>0.0666826151888767</v>
      </c>
      <c r="L17" t="s">
        <v>1656</v>
      </c>
      <c r="M17" t="s">
        <v>1657</v>
      </c>
      <c r="N17" t="s">
        <v>1491</v>
      </c>
      <c r="O17" t="s">
        <v>1492</v>
      </c>
      <c r="P17" t="s">
        <v>1581</v>
      </c>
      <c r="Q17"/>
    </row>
    <row r="18">
      <c r="A18" t="s">
        <v>185</v>
      </c>
      <c r="B18" t="s">
        <v>1480</v>
      </c>
      <c r="C18" s="23" t="n">
        <v>-0.00154421663967088</v>
      </c>
      <c r="D18" s="23" t="n">
        <v>0.00144593628831264</v>
      </c>
      <c r="E18" s="23" t="n">
        <v>-1.06797004276927</v>
      </c>
      <c r="F18" t="n">
        <v>0.286437790512336</v>
      </c>
      <c r="G18" t="n">
        <v>285</v>
      </c>
      <c r="H18" t="s">
        <v>1487</v>
      </c>
      <c r="I18" s="23" t="n">
        <v>-0.00154421663967088</v>
      </c>
      <c r="J18" s="23" t="n">
        <v>-0.00439028571849616</v>
      </c>
      <c r="K18" s="23" t="n">
        <v>0.0013018524391544</v>
      </c>
      <c r="L18" t="s">
        <v>1658</v>
      </c>
      <c r="M18" t="s">
        <v>114</v>
      </c>
      <c r="N18" t="s">
        <v>1491</v>
      </c>
      <c r="O18" t="s">
        <v>1492</v>
      </c>
      <c r="P18" t="s">
        <v>1581</v>
      </c>
      <c r="Q18"/>
    </row>
    <row r="19">
      <c r="A19" t="s">
        <v>185</v>
      </c>
      <c r="B19" t="s">
        <v>55</v>
      </c>
      <c r="C19" s="23" t="n">
        <v>-0.00274899300544752</v>
      </c>
      <c r="D19" s="23" t="n">
        <v>0.00549545813328709</v>
      </c>
      <c r="E19" s="23" t="n">
        <v>-0.500229996985387</v>
      </c>
      <c r="F19" t="n">
        <v>0.617299169320593</v>
      </c>
      <c r="G19" t="n">
        <v>285</v>
      </c>
      <c r="H19" t="s">
        <v>1487</v>
      </c>
      <c r="I19" s="23" t="n">
        <v>-0.00274899300544752</v>
      </c>
      <c r="J19" s="23" t="n">
        <v>-0.0135658274631948</v>
      </c>
      <c r="K19" s="23" t="n">
        <v>0.00806784145229973</v>
      </c>
      <c r="L19" t="s">
        <v>1659</v>
      </c>
      <c r="M19" t="s">
        <v>1523</v>
      </c>
      <c r="N19" t="s">
        <v>1491</v>
      </c>
      <c r="O19" t="s">
        <v>1492</v>
      </c>
      <c r="P19" t="s">
        <v>1581</v>
      </c>
      <c r="Q19"/>
    </row>
    <row r="20">
      <c r="A20" t="s">
        <v>185</v>
      </c>
      <c r="B20" t="s">
        <v>89</v>
      </c>
      <c r="C20" s="23" t="n">
        <v>-0.000143207310547538</v>
      </c>
      <c r="D20" s="23" t="n">
        <v>0.000383689560156761</v>
      </c>
      <c r="E20" s="23" t="n">
        <v>-0.373237443544278</v>
      </c>
      <c r="F20" t="n">
        <v>0.709249188301969</v>
      </c>
      <c r="G20" t="n">
        <v>285</v>
      </c>
      <c r="H20" t="s">
        <v>1487</v>
      </c>
      <c r="I20" s="23" t="n">
        <v>-0.000143207310547538</v>
      </c>
      <c r="J20" s="23" t="n">
        <v>-0.000898432144350257</v>
      </c>
      <c r="K20" s="23" t="n">
        <v>0.000612017523255181</v>
      </c>
      <c r="L20" t="s">
        <v>1660</v>
      </c>
      <c r="M20" t="s">
        <v>468</v>
      </c>
      <c r="N20" t="s">
        <v>1491</v>
      </c>
      <c r="O20" t="s">
        <v>1492</v>
      </c>
      <c r="P20" t="s">
        <v>1581</v>
      </c>
      <c r="Q20"/>
    </row>
    <row r="21">
      <c r="A21" t="s">
        <v>194</v>
      </c>
      <c r="B21" t="s">
        <v>1568</v>
      </c>
      <c r="C21" s="23" t="n">
        <v>-0.02007832102771</v>
      </c>
      <c r="D21" s="23" t="n">
        <v>0.117642880061279</v>
      </c>
      <c r="E21" s="23" t="n">
        <v>-0.17067179090865</v>
      </c>
      <c r="F21" t="n">
        <v>0.864603371719851</v>
      </c>
      <c r="G21" t="n">
        <v>284</v>
      </c>
      <c r="H21"/>
      <c r="I21" s="23"/>
      <c r="J21" s="23"/>
      <c r="K21" s="23"/>
      <c r="L21"/>
      <c r="M21" t="s">
        <v>485</v>
      </c>
      <c r="N21" t="s">
        <v>1491</v>
      </c>
      <c r="O21" t="s">
        <v>1492</v>
      </c>
      <c r="P21" t="s">
        <v>1581</v>
      </c>
      <c r="Q21"/>
    </row>
    <row r="22">
      <c r="A22" t="s">
        <v>194</v>
      </c>
      <c r="B22" t="s">
        <v>417</v>
      </c>
      <c r="C22" s="23" t="n">
        <v>0.0225834114919184</v>
      </c>
      <c r="D22" s="23" t="n">
        <v>0.0150130876206255</v>
      </c>
      <c r="E22" s="23" t="n">
        <v>1.5042482973917</v>
      </c>
      <c r="F22" t="n">
        <v>0.133628697415198</v>
      </c>
      <c r="G22" t="n">
        <v>284</v>
      </c>
      <c r="H22" t="s">
        <v>1487</v>
      </c>
      <c r="I22" s="23" t="n">
        <v>0.0225834114919184</v>
      </c>
      <c r="J22" s="23" t="n">
        <v>-0.00696763192971498</v>
      </c>
      <c r="K22" s="23" t="n">
        <v>0.0521344549135518</v>
      </c>
      <c r="L22" t="s">
        <v>1661</v>
      </c>
      <c r="M22" t="s">
        <v>189</v>
      </c>
      <c r="N22" t="s">
        <v>1491</v>
      </c>
      <c r="O22" t="s">
        <v>1492</v>
      </c>
      <c r="P22" t="s">
        <v>1581</v>
      </c>
      <c r="Q22"/>
    </row>
    <row r="23">
      <c r="A23" t="s">
        <v>194</v>
      </c>
      <c r="B23" t="s">
        <v>440</v>
      </c>
      <c r="C23" s="23" t="n">
        <v>-0.000682666685077163</v>
      </c>
      <c r="D23" s="23" t="n">
        <v>0.014313002708835</v>
      </c>
      <c r="E23" s="23" t="n">
        <v>-0.0476955603910962</v>
      </c>
      <c r="F23" t="n">
        <v>0.961992395167625</v>
      </c>
      <c r="G23" t="n">
        <v>284</v>
      </c>
      <c r="H23" t="s">
        <v>1487</v>
      </c>
      <c r="I23" s="23" t="n">
        <v>-0.000682666685077163</v>
      </c>
      <c r="J23" s="23" t="n">
        <v>-0.0288556964595557</v>
      </c>
      <c r="K23" s="23" t="n">
        <v>0.0274903630894014</v>
      </c>
      <c r="L23" t="s">
        <v>1662</v>
      </c>
      <c r="M23" t="s">
        <v>423</v>
      </c>
      <c r="N23" t="s">
        <v>1491</v>
      </c>
      <c r="O23" t="s">
        <v>1492</v>
      </c>
      <c r="P23" t="s">
        <v>1581</v>
      </c>
      <c r="Q23"/>
    </row>
    <row r="24">
      <c r="A24" t="s">
        <v>194</v>
      </c>
      <c r="B24" t="s">
        <v>1480</v>
      </c>
      <c r="C24" s="23" t="n">
        <v>0.000510342394700735</v>
      </c>
      <c r="D24" s="23" t="n">
        <v>0.000737132256856594</v>
      </c>
      <c r="E24" s="23" t="n">
        <v>0.692334909988914</v>
      </c>
      <c r="F24" t="n">
        <v>0.489292709959561</v>
      </c>
      <c r="G24" t="n">
        <v>284</v>
      </c>
      <c r="H24" t="s">
        <v>1487</v>
      </c>
      <c r="I24" s="23" t="n">
        <v>0.000510342394700735</v>
      </c>
      <c r="J24" s="23" t="n">
        <v>-0.00094059347407615</v>
      </c>
      <c r="K24" s="23" t="n">
        <v>0.00196127826347762</v>
      </c>
      <c r="L24" t="s">
        <v>1663</v>
      </c>
      <c r="M24" t="s">
        <v>502</v>
      </c>
      <c r="N24" t="s">
        <v>1491</v>
      </c>
      <c r="O24" t="s">
        <v>1492</v>
      </c>
      <c r="P24" t="s">
        <v>1581</v>
      </c>
      <c r="Q24"/>
    </row>
    <row r="25">
      <c r="A25" t="s">
        <v>194</v>
      </c>
      <c r="B25" t="s">
        <v>55</v>
      </c>
      <c r="C25" s="23" t="n">
        <v>-0.0037455749884579</v>
      </c>
      <c r="D25" s="23" t="n">
        <v>0.00308805723385071</v>
      </c>
      <c r="E25" s="23" t="n">
        <v>-1.21292278763476</v>
      </c>
      <c r="F25" t="n">
        <v>0.226167259473966</v>
      </c>
      <c r="G25" t="n">
        <v>284</v>
      </c>
      <c r="H25" t="s">
        <v>1487</v>
      </c>
      <c r="I25" s="23" t="n">
        <v>-0.0037455749884579</v>
      </c>
      <c r="J25" s="23" t="n">
        <v>-0.00982395910983221</v>
      </c>
      <c r="K25" s="23" t="n">
        <v>0.00233280913291641</v>
      </c>
      <c r="L25" t="s">
        <v>1664</v>
      </c>
      <c r="M25" t="s">
        <v>429</v>
      </c>
      <c r="N25" t="s">
        <v>1491</v>
      </c>
      <c r="O25" t="s">
        <v>1492</v>
      </c>
      <c r="P25" t="s">
        <v>1581</v>
      </c>
      <c r="Q25"/>
    </row>
    <row r="26">
      <c r="A26" t="s">
        <v>194</v>
      </c>
      <c r="B26" t="s">
        <v>89</v>
      </c>
      <c r="C26" s="23" t="n">
        <v>-0.000085682815640873</v>
      </c>
      <c r="D26" s="23" t="n">
        <v>0.000211607848964519</v>
      </c>
      <c r="E26" s="23" t="n">
        <v>-0.404913220658652</v>
      </c>
      <c r="F26" t="n">
        <v>0.685846116204631</v>
      </c>
      <c r="G26" t="n">
        <v>284</v>
      </c>
      <c r="H26" t="s">
        <v>1487</v>
      </c>
      <c r="I26" s="23" t="n">
        <v>-0.000085682815640873</v>
      </c>
      <c r="J26" s="23" t="n">
        <v>-0.000502201581875076</v>
      </c>
      <c r="K26" s="23" t="n">
        <v>0.00033083595059333</v>
      </c>
      <c r="L26" t="s">
        <v>1665</v>
      </c>
      <c r="M26" t="s">
        <v>500</v>
      </c>
      <c r="N26" t="s">
        <v>1491</v>
      </c>
      <c r="O26" t="s">
        <v>1492</v>
      </c>
      <c r="P26" t="s">
        <v>1581</v>
      </c>
      <c r="Q26"/>
    </row>
    <row r="27">
      <c r="A27" t="s">
        <v>203</v>
      </c>
      <c r="B27" t="s">
        <v>1568</v>
      </c>
      <c r="C27" s="23" t="n">
        <v>-0.0947374063366021</v>
      </c>
      <c r="D27" s="23" t="n">
        <v>0.108203881740423</v>
      </c>
      <c r="E27" s="23" t="n">
        <v>-0.87554535764136</v>
      </c>
      <c r="F27" t="n">
        <v>0.382014536620727</v>
      </c>
      <c r="G27" t="n">
        <v>285</v>
      </c>
      <c r="H27"/>
      <c r="I27" s="23"/>
      <c r="J27" s="23"/>
      <c r="K27" s="23"/>
      <c r="L27"/>
      <c r="M27" t="s">
        <v>1629</v>
      </c>
      <c r="N27" t="s">
        <v>1491</v>
      </c>
      <c r="O27" t="s">
        <v>1492</v>
      </c>
      <c r="P27" t="s">
        <v>1581</v>
      </c>
      <c r="Q27"/>
    </row>
    <row r="28">
      <c r="A28" t="s">
        <v>203</v>
      </c>
      <c r="B28" t="s">
        <v>417</v>
      </c>
      <c r="C28" s="23" t="n">
        <v>0.0127821547349851</v>
      </c>
      <c r="D28" s="23" t="n">
        <v>0.0134379723611267</v>
      </c>
      <c r="E28" s="23" t="n">
        <v>0.951196682913357</v>
      </c>
      <c r="F28" t="n">
        <v>0.342310498601725</v>
      </c>
      <c r="G28" t="n">
        <v>285</v>
      </c>
      <c r="H28" t="s">
        <v>1487</v>
      </c>
      <c r="I28" s="23" t="n">
        <v>0.0127821547349851</v>
      </c>
      <c r="J28" s="23" t="n">
        <v>-0.0136681100022964</v>
      </c>
      <c r="K28" s="23" t="n">
        <v>0.0392324194722666</v>
      </c>
      <c r="L28" t="s">
        <v>1666</v>
      </c>
      <c r="M28" t="s">
        <v>1667</v>
      </c>
      <c r="N28" t="s">
        <v>1491</v>
      </c>
      <c r="O28" t="s">
        <v>1492</v>
      </c>
      <c r="P28" t="s">
        <v>1581</v>
      </c>
      <c r="Q28"/>
    </row>
    <row r="29">
      <c r="A29" t="s">
        <v>203</v>
      </c>
      <c r="B29" t="s">
        <v>440</v>
      </c>
      <c r="C29" s="23" t="n">
        <v>0.00656690338812999</v>
      </c>
      <c r="D29" s="23" t="n">
        <v>0.0130451738041207</v>
      </c>
      <c r="E29" s="23" t="n">
        <v>0.503397155663474</v>
      </c>
      <c r="F29" t="n">
        <v>0.615073914169847</v>
      </c>
      <c r="G29" t="n">
        <v>285</v>
      </c>
      <c r="H29" t="s">
        <v>1487</v>
      </c>
      <c r="I29" s="23" t="n">
        <v>0.00656690338812999</v>
      </c>
      <c r="J29" s="23" t="n">
        <v>-0.0191102070709594</v>
      </c>
      <c r="K29" s="23" t="n">
        <v>0.0322440138472194</v>
      </c>
      <c r="L29" t="s">
        <v>1555</v>
      </c>
      <c r="M29" t="s">
        <v>1523</v>
      </c>
      <c r="N29" t="s">
        <v>1491</v>
      </c>
      <c r="O29" t="s">
        <v>1492</v>
      </c>
      <c r="P29" t="s">
        <v>1581</v>
      </c>
      <c r="Q29"/>
    </row>
    <row r="30">
      <c r="A30" t="s">
        <v>203</v>
      </c>
      <c r="B30" t="s">
        <v>1480</v>
      </c>
      <c r="C30" s="23" t="n">
        <v>-0.000675874821617038</v>
      </c>
      <c r="D30" s="23" t="n">
        <v>0.000721841198866539</v>
      </c>
      <c r="E30" s="23" t="n">
        <v>-0.936320651520474</v>
      </c>
      <c r="F30" t="n">
        <v>0.349900834638681</v>
      </c>
      <c r="G30" t="n">
        <v>285</v>
      </c>
      <c r="H30" t="s">
        <v>1487</v>
      </c>
      <c r="I30" s="23" t="n">
        <v>-0.000675874821617038</v>
      </c>
      <c r="J30" s="23" t="n">
        <v>-0.00209669116914343</v>
      </c>
      <c r="K30" s="23" t="n">
        <v>0.000744941525909354</v>
      </c>
      <c r="L30" t="s">
        <v>1668</v>
      </c>
      <c r="M30" t="s">
        <v>476</v>
      </c>
      <c r="N30" t="s">
        <v>1491</v>
      </c>
      <c r="O30" t="s">
        <v>1492</v>
      </c>
      <c r="P30" t="s">
        <v>1581</v>
      </c>
      <c r="Q30"/>
    </row>
    <row r="31">
      <c r="A31" t="s">
        <v>203</v>
      </c>
      <c r="B31" t="s">
        <v>55</v>
      </c>
      <c r="C31" s="23" t="n">
        <v>-0.00195370272363462</v>
      </c>
      <c r="D31" s="23" t="n">
        <v>0.00282347547600183</v>
      </c>
      <c r="E31" s="23" t="n">
        <v>-0.691949599081042</v>
      </c>
      <c r="F31" t="n">
        <v>0.489532309390542</v>
      </c>
      <c r="G31" t="n">
        <v>285</v>
      </c>
      <c r="H31" t="s">
        <v>1487</v>
      </c>
      <c r="I31" s="23" t="n">
        <v>-0.00195370272363462</v>
      </c>
      <c r="J31" s="23" t="n">
        <v>-0.00751121332214642</v>
      </c>
      <c r="K31" s="23" t="n">
        <v>0.00360380787487718</v>
      </c>
      <c r="L31" t="s">
        <v>1669</v>
      </c>
      <c r="M31" t="s">
        <v>502</v>
      </c>
      <c r="N31" t="s">
        <v>1491</v>
      </c>
      <c r="O31" t="s">
        <v>1492</v>
      </c>
      <c r="P31" t="s">
        <v>1581</v>
      </c>
      <c r="Q31"/>
    </row>
    <row r="32">
      <c r="A32" t="s">
        <v>203</v>
      </c>
      <c r="B32" t="s">
        <v>89</v>
      </c>
      <c r="C32" s="23" t="n">
        <v>0.0000872228065776678</v>
      </c>
      <c r="D32" s="23" t="n">
        <v>0.000194816693774506</v>
      </c>
      <c r="E32" s="23" t="n">
        <v>0.44771731255549</v>
      </c>
      <c r="F32" t="n">
        <v>0.654697343898337</v>
      </c>
      <c r="G32" t="n">
        <v>285</v>
      </c>
      <c r="H32" t="s">
        <v>1487</v>
      </c>
      <c r="I32" s="23" t="n">
        <v>0.0000872228065776678</v>
      </c>
      <c r="J32" s="23" t="n">
        <v>-0.000296239295226026</v>
      </c>
      <c r="K32" s="23" t="n">
        <v>0.000470684908381362</v>
      </c>
      <c r="L32" t="s">
        <v>1670</v>
      </c>
      <c r="M32" t="s">
        <v>1671</v>
      </c>
      <c r="N32" t="s">
        <v>1491</v>
      </c>
      <c r="O32" t="s">
        <v>1492</v>
      </c>
      <c r="P32" t="s">
        <v>1581</v>
      </c>
      <c r="Q32"/>
    </row>
    <row r="33">
      <c r="A33" t="s">
        <v>212</v>
      </c>
      <c r="B33"/>
      <c r="C33" s="23"/>
      <c r="D33" s="23"/>
      <c r="E33" s="23"/>
      <c r="F33"/>
      <c r="G33"/>
      <c r="H33"/>
      <c r="I33" s="23"/>
      <c r="J33" s="23"/>
      <c r="K33" s="23"/>
      <c r="L33"/>
      <c r="M33" t="s">
        <v>109</v>
      </c>
      <c r="N33"/>
      <c r="O33" t="s">
        <v>1515</v>
      </c>
      <c r="P33"/>
      <c r="Q33"/>
    </row>
    <row r="34">
      <c r="A34" t="s">
        <v>216</v>
      </c>
      <c r="B34"/>
      <c r="C34" s="23"/>
      <c r="D34" s="23"/>
      <c r="E34" s="23"/>
      <c r="F34"/>
      <c r="G34"/>
      <c r="H34"/>
      <c r="I34" s="23"/>
      <c r="J34" s="23"/>
      <c r="K34" s="23"/>
      <c r="L34"/>
      <c r="M34" t="s">
        <v>109</v>
      </c>
      <c r="N34"/>
      <c r="O34" t="s">
        <v>1515</v>
      </c>
      <c r="P34"/>
      <c r="Q34"/>
    </row>
    <row r="35">
      <c r="A35" t="s">
        <v>1556</v>
      </c>
      <c r="B35" t="s">
        <v>1568</v>
      </c>
      <c r="C35" s="23" t="n">
        <v>3.57253652768421</v>
      </c>
      <c r="D35" s="23" t="n">
        <v>2.8268332488549</v>
      </c>
      <c r="E35" s="23" t="n">
        <v>1.26379457618569</v>
      </c>
      <c r="F35" t="n">
        <v>0.207336491816582</v>
      </c>
      <c r="G35" t="n">
        <v>285</v>
      </c>
      <c r="H35"/>
      <c r="I35" s="23"/>
      <c r="J35" s="23"/>
      <c r="K35" s="23"/>
      <c r="L35"/>
      <c r="M35" t="s">
        <v>522</v>
      </c>
      <c r="N35" t="s">
        <v>1491</v>
      </c>
      <c r="O35" t="s">
        <v>1558</v>
      </c>
      <c r="P35" t="s">
        <v>1581</v>
      </c>
      <c r="Q35"/>
    </row>
    <row r="36">
      <c r="A36" t="s">
        <v>1556</v>
      </c>
      <c r="B36" t="s">
        <v>417</v>
      </c>
      <c r="C36" s="23" t="n">
        <v>1.18441351770175</v>
      </c>
      <c r="D36" s="23" t="n">
        <v>0.376755294309095</v>
      </c>
      <c r="E36" s="23" t="n">
        <v>3.14372096581618</v>
      </c>
      <c r="F36" t="n">
        <v>0.0018441801833993</v>
      </c>
      <c r="G36" t="n">
        <v>285</v>
      </c>
      <c r="H36" t="s">
        <v>1520</v>
      </c>
      <c r="I36" s="23" t="n">
        <v>3.26876918392723</v>
      </c>
      <c r="J36" s="23" t="n">
        <v>1.55711936925665</v>
      </c>
      <c r="K36" s="23" t="n">
        <v>6.86193505054987</v>
      </c>
      <c r="L36" t="s">
        <v>1672</v>
      </c>
      <c r="M36" t="s">
        <v>567</v>
      </c>
      <c r="N36" t="s">
        <v>1491</v>
      </c>
      <c r="O36" t="s">
        <v>1558</v>
      </c>
      <c r="P36" t="s">
        <v>1581</v>
      </c>
      <c r="Q36"/>
    </row>
    <row r="37">
      <c r="A37" t="s">
        <v>1556</v>
      </c>
      <c r="B37" t="s">
        <v>440</v>
      </c>
      <c r="C37" s="23" t="n">
        <v>0.715653146499849</v>
      </c>
      <c r="D37" s="23" t="n">
        <v>0.353274006969655</v>
      </c>
      <c r="E37" s="23" t="n">
        <v>2.02577357060216</v>
      </c>
      <c r="F37" t="n">
        <v>0.0437195428748613</v>
      </c>
      <c r="G37" t="n">
        <v>285</v>
      </c>
      <c r="H37" t="s">
        <v>1520</v>
      </c>
      <c r="I37" s="23" t="n">
        <v>2.04552227175543</v>
      </c>
      <c r="J37" s="23" t="n">
        <v>1.02050329647665</v>
      </c>
      <c r="K37" s="23" t="n">
        <v>4.10009588278019</v>
      </c>
      <c r="L37" t="s">
        <v>1673</v>
      </c>
      <c r="M37" t="s">
        <v>460</v>
      </c>
      <c r="N37" t="s">
        <v>1491</v>
      </c>
      <c r="O37" t="s">
        <v>1558</v>
      </c>
      <c r="P37" t="s">
        <v>1581</v>
      </c>
      <c r="Q37"/>
    </row>
    <row r="38">
      <c r="A38" t="s">
        <v>1556</v>
      </c>
      <c r="B38" t="s">
        <v>1480</v>
      </c>
      <c r="C38" s="23" t="n">
        <v>0.0311262713081348</v>
      </c>
      <c r="D38" s="23" t="n">
        <v>0.0177633106581268</v>
      </c>
      <c r="E38" s="23" t="n">
        <v>1.75227872254176</v>
      </c>
      <c r="F38" t="n">
        <v>0.0808013002201579</v>
      </c>
      <c r="G38" t="n">
        <v>285</v>
      </c>
      <c r="H38" t="s">
        <v>1520</v>
      </c>
      <c r="I38" s="23" t="n">
        <v>1.031615759134</v>
      </c>
      <c r="J38" s="23" t="n">
        <v>0.99616969982053</v>
      </c>
      <c r="K38" s="23" t="n">
        <v>1.06832307255013</v>
      </c>
      <c r="L38" t="s">
        <v>1674</v>
      </c>
      <c r="M38" t="s">
        <v>122</v>
      </c>
      <c r="N38" t="s">
        <v>1491</v>
      </c>
      <c r="O38" t="s">
        <v>1558</v>
      </c>
      <c r="P38" t="s">
        <v>1581</v>
      </c>
      <c r="Q38"/>
    </row>
    <row r="39">
      <c r="A39" t="s">
        <v>1556</v>
      </c>
      <c r="B39" t="s">
        <v>55</v>
      </c>
      <c r="C39" s="23" t="n">
        <v>-0.101840743803481</v>
      </c>
      <c r="D39" s="23" t="n">
        <v>0.0791590606391008</v>
      </c>
      <c r="E39" s="23" t="n">
        <v>-1.28653300053407</v>
      </c>
      <c r="F39" t="n">
        <v>0.199301179558028</v>
      </c>
      <c r="G39" t="n">
        <v>285</v>
      </c>
      <c r="H39" t="s">
        <v>1520</v>
      </c>
      <c r="I39" s="23" t="n">
        <v>0.903173376172788</v>
      </c>
      <c r="J39" s="23" t="n">
        <v>0.772864673693419</v>
      </c>
      <c r="K39" s="23" t="n">
        <v>1.05545275284627</v>
      </c>
      <c r="L39" t="s">
        <v>1675</v>
      </c>
      <c r="M39" t="s">
        <v>129</v>
      </c>
      <c r="N39" t="s">
        <v>1491</v>
      </c>
      <c r="O39" t="s">
        <v>1558</v>
      </c>
      <c r="P39" t="s">
        <v>1581</v>
      </c>
      <c r="Q39"/>
    </row>
    <row r="40">
      <c r="A40" t="s">
        <v>1556</v>
      </c>
      <c r="B40" t="s">
        <v>89</v>
      </c>
      <c r="C40" s="23" t="n">
        <v>-0.0128084731409319</v>
      </c>
      <c r="D40" s="23" t="n">
        <v>0.00538029443869287</v>
      </c>
      <c r="E40" s="23" t="n">
        <v>-2.38062680154057</v>
      </c>
      <c r="F40" t="n">
        <v>0.0179404975947371</v>
      </c>
      <c r="G40" t="n">
        <v>285</v>
      </c>
      <c r="H40" t="s">
        <v>1520</v>
      </c>
      <c r="I40" s="23" t="n">
        <v>0.987273206249835</v>
      </c>
      <c r="J40" s="23" t="n">
        <v>0.97687299693045</v>
      </c>
      <c r="K40" s="23" t="n">
        <v>0.997784140662684</v>
      </c>
      <c r="L40" t="s">
        <v>1676</v>
      </c>
      <c r="M40" t="s">
        <v>372</v>
      </c>
      <c r="N40" t="s">
        <v>1491</v>
      </c>
      <c r="O40" t="s">
        <v>1558</v>
      </c>
      <c r="P40" t="s">
        <v>1581</v>
      </c>
      <c r="Q40"/>
    </row>
    <row r="41">
      <c r="A41" t="s">
        <v>1561</v>
      </c>
      <c r="B41" t="s">
        <v>1568</v>
      </c>
      <c r="C41" s="23" t="n">
        <v>1.44532644628494</v>
      </c>
      <c r="D41" s="23" t="n">
        <v>3.41294265644261</v>
      </c>
      <c r="E41" s="23" t="n">
        <v>0.423483952640283</v>
      </c>
      <c r="F41" t="n">
        <v>0.672261612501797</v>
      </c>
      <c r="G41" t="n">
        <v>285</v>
      </c>
      <c r="H41"/>
      <c r="I41" s="23"/>
      <c r="J41" s="23"/>
      <c r="K41" s="23"/>
      <c r="L41"/>
      <c r="M41" t="s">
        <v>458</v>
      </c>
      <c r="N41" t="s">
        <v>1491</v>
      </c>
      <c r="O41" t="s">
        <v>1558</v>
      </c>
      <c r="P41" t="s">
        <v>1581</v>
      </c>
      <c r="Q41"/>
    </row>
    <row r="42">
      <c r="A42" t="s">
        <v>1561</v>
      </c>
      <c r="B42" t="s">
        <v>417</v>
      </c>
      <c r="C42" s="23" t="n">
        <v>-0.00756179302732405</v>
      </c>
      <c r="D42" s="23" t="n">
        <v>0.473983946427822</v>
      </c>
      <c r="E42" s="23" t="n">
        <v>-0.015953690170972</v>
      </c>
      <c r="F42" t="n">
        <v>0.987282499345471</v>
      </c>
      <c r="G42" t="n">
        <v>285</v>
      </c>
      <c r="H42" t="s">
        <v>1520</v>
      </c>
      <c r="I42" s="23" t="n">
        <v>0.992466725400812</v>
      </c>
      <c r="J42" s="23" t="n">
        <v>0.390426671551309</v>
      </c>
      <c r="K42" s="23" t="n">
        <v>2.52285582107923</v>
      </c>
      <c r="L42" t="s">
        <v>1677</v>
      </c>
      <c r="M42" t="s">
        <v>1566</v>
      </c>
      <c r="N42" t="s">
        <v>1491</v>
      </c>
      <c r="O42" t="s">
        <v>1558</v>
      </c>
      <c r="P42" t="s">
        <v>1581</v>
      </c>
      <c r="Q42"/>
    </row>
    <row r="43">
      <c r="A43" t="s">
        <v>1561</v>
      </c>
      <c r="B43" t="s">
        <v>440</v>
      </c>
      <c r="C43" s="23" t="n">
        <v>0.101148952344424</v>
      </c>
      <c r="D43" s="23" t="n">
        <v>0.463013200852438</v>
      </c>
      <c r="E43" s="23" t="n">
        <v>0.21845803134382</v>
      </c>
      <c r="F43" t="n">
        <v>0.827228601491474</v>
      </c>
      <c r="G43" t="n">
        <v>285</v>
      </c>
      <c r="H43" t="s">
        <v>1520</v>
      </c>
      <c r="I43" s="23" t="n">
        <v>1.10644143653578</v>
      </c>
      <c r="J43" s="23" t="n">
        <v>0.444764479535405</v>
      </c>
      <c r="K43" s="23" t="n">
        <v>2.75249645331872</v>
      </c>
      <c r="L43" t="s">
        <v>1678</v>
      </c>
      <c r="M43" t="s">
        <v>234</v>
      </c>
      <c r="N43" t="s">
        <v>1491</v>
      </c>
      <c r="O43" t="s">
        <v>1558</v>
      </c>
      <c r="P43" t="s">
        <v>1581</v>
      </c>
      <c r="Q43"/>
    </row>
    <row r="44">
      <c r="A44" t="s">
        <v>1561</v>
      </c>
      <c r="B44" t="s">
        <v>1480</v>
      </c>
      <c r="C44" s="23" t="n">
        <v>-0.00636161965974009</v>
      </c>
      <c r="D44" s="23" t="n">
        <v>0.0276716045109618</v>
      </c>
      <c r="E44" s="23" t="n">
        <v>-0.229897028819561</v>
      </c>
      <c r="F44" t="n">
        <v>0.818336700287721</v>
      </c>
      <c r="G44" t="n">
        <v>285</v>
      </c>
      <c r="H44" t="s">
        <v>1520</v>
      </c>
      <c r="I44" s="23" t="n">
        <v>0.993658572601422</v>
      </c>
      <c r="J44" s="23" t="n">
        <v>0.940984826606508</v>
      </c>
      <c r="K44" s="23" t="n">
        <v>1.04928085021841</v>
      </c>
      <c r="L44" t="s">
        <v>1679</v>
      </c>
      <c r="M44" t="s">
        <v>532</v>
      </c>
      <c r="N44" t="s">
        <v>1491</v>
      </c>
      <c r="O44" t="s">
        <v>1558</v>
      </c>
      <c r="P44" t="s">
        <v>1581</v>
      </c>
      <c r="Q44"/>
    </row>
    <row r="45">
      <c r="A45" t="s">
        <v>1561</v>
      </c>
      <c r="B45" t="s">
        <v>55</v>
      </c>
      <c r="C45" s="23" t="n">
        <v>-0.128441271886663</v>
      </c>
      <c r="D45" s="23" t="n">
        <v>0.115560227209637</v>
      </c>
      <c r="E45" s="23" t="n">
        <v>-1.11146607261042</v>
      </c>
      <c r="F45" t="n">
        <v>0.267304528247424</v>
      </c>
      <c r="G45" t="n">
        <v>285</v>
      </c>
      <c r="H45" t="s">
        <v>1520</v>
      </c>
      <c r="I45" s="23" t="n">
        <v>0.879465210234354</v>
      </c>
      <c r="J45" s="23" t="n">
        <v>0.700541915034387</v>
      </c>
      <c r="K45" s="23" t="n">
        <v>1.10408676399411</v>
      </c>
      <c r="L45" t="s">
        <v>1680</v>
      </c>
      <c r="M45" t="s">
        <v>438</v>
      </c>
      <c r="N45" t="s">
        <v>1491</v>
      </c>
      <c r="O45" t="s">
        <v>1558</v>
      </c>
      <c r="P45" t="s">
        <v>1581</v>
      </c>
      <c r="Q45"/>
    </row>
    <row r="46">
      <c r="A46" t="s">
        <v>1561</v>
      </c>
      <c r="B46" t="s">
        <v>89</v>
      </c>
      <c r="C46" s="23" t="n">
        <v>-0.00780009836939094</v>
      </c>
      <c r="D46" s="23" t="n">
        <v>0.00655038598335337</v>
      </c>
      <c r="E46" s="23" t="n">
        <v>-1.19078454143214</v>
      </c>
      <c r="F46" t="n">
        <v>0.234729012906914</v>
      </c>
      <c r="G46" t="n">
        <v>285</v>
      </c>
      <c r="H46" t="s">
        <v>1520</v>
      </c>
      <c r="I46" s="23" t="n">
        <v>0.9922302434569</v>
      </c>
      <c r="J46" s="23" t="n">
        <v>0.979519267384061</v>
      </c>
      <c r="K46" s="23" t="n">
        <v>1.00510616668096</v>
      </c>
      <c r="L46" t="s">
        <v>1681</v>
      </c>
      <c r="M46" t="s">
        <v>429</v>
      </c>
      <c r="N46" t="s">
        <v>1491</v>
      </c>
      <c r="O46" t="s">
        <v>1558</v>
      </c>
      <c r="P46" t="s">
        <v>1581</v>
      </c>
      <c r="Q46"/>
    </row>
    <row r="47">
      <c r="A47" t="s">
        <v>1567</v>
      </c>
      <c r="B47"/>
      <c r="C47" s="23"/>
      <c r="D47" s="23"/>
      <c r="E47" s="23"/>
      <c r="F47"/>
      <c r="G47"/>
      <c r="H47"/>
      <c r="I47" s="23"/>
      <c r="J47" s="23"/>
      <c r="K47" s="23"/>
      <c r="L47"/>
      <c r="M47" t="s">
        <v>109</v>
      </c>
      <c r="N47"/>
      <c r="O47" t="s">
        <v>1530</v>
      </c>
      <c r="P47"/>
      <c r="Q47"/>
    </row>
  </sheetData>
  <pageMargins left="0.7" right="0.7" top="0.75" bottom="0.75" header="0.3" footer="0.3"/>
  <pageSetup paperSize="9" orientation="portrait" horizontalDpi="300" verticalDpi="300"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0" t="s">
        <v>1682</v>
      </c>
    </row>
    <row r="3">
      <c r="A3" s="1" t="s">
        <v>1683</v>
      </c>
    </row>
    <row r="4">
      <c r="A4" t="s">
        <v>1465</v>
      </c>
      <c r="B4" t="s">
        <v>377</v>
      </c>
      <c r="C4" t="s">
        <v>164</v>
      </c>
      <c r="D4" t="s">
        <v>41</v>
      </c>
      <c r="E4" t="s">
        <v>1684</v>
      </c>
      <c r="F4" t="s">
        <v>1685</v>
      </c>
      <c r="G4" t="s">
        <v>1686</v>
      </c>
      <c r="H4" t="s">
        <v>1687</v>
      </c>
      <c r="I4" t="s">
        <v>1688</v>
      </c>
      <c r="J4" t="s">
        <v>1</v>
      </c>
    </row>
    <row r="5">
      <c r="A5" t="s">
        <v>167</v>
      </c>
      <c r="B5" t="s">
        <v>417</v>
      </c>
      <c r="C5" t="s">
        <v>1643</v>
      </c>
      <c r="D5" t="s">
        <v>385</v>
      </c>
      <c r="E5" t="s">
        <v>385</v>
      </c>
      <c r="F5" t="s">
        <v>1689</v>
      </c>
      <c r="G5" t="s">
        <v>1690</v>
      </c>
      <c r="H5" t="s">
        <v>446</v>
      </c>
      <c r="I5" t="s">
        <v>176</v>
      </c>
      <c r="J5" t="s">
        <v>109</v>
      </c>
    </row>
    <row r="6">
      <c r="A6" t="s">
        <v>167</v>
      </c>
      <c r="B6" t="s">
        <v>440</v>
      </c>
      <c r="C6" t="s">
        <v>1644</v>
      </c>
      <c r="D6" t="s">
        <v>419</v>
      </c>
      <c r="E6" t="s">
        <v>385</v>
      </c>
      <c r="F6" t="s">
        <v>1691</v>
      </c>
      <c r="G6" t="s">
        <v>426</v>
      </c>
      <c r="H6" t="s">
        <v>426</v>
      </c>
      <c r="I6" t="s">
        <v>176</v>
      </c>
      <c r="J6" t="s">
        <v>109</v>
      </c>
    </row>
    <row r="7">
      <c r="A7" t="s">
        <v>177</v>
      </c>
      <c r="B7" t="s">
        <v>417</v>
      </c>
      <c r="C7" t="s">
        <v>1649</v>
      </c>
      <c r="D7" t="s">
        <v>50</v>
      </c>
      <c r="E7" t="s">
        <v>50</v>
      </c>
      <c r="F7" t="s">
        <v>1692</v>
      </c>
      <c r="G7" t="s">
        <v>50</v>
      </c>
      <c r="H7" t="s">
        <v>50</v>
      </c>
      <c r="I7" t="s">
        <v>176</v>
      </c>
      <c r="J7" t="s">
        <v>109</v>
      </c>
    </row>
    <row r="8">
      <c r="A8" t="s">
        <v>177</v>
      </c>
      <c r="B8" t="s">
        <v>440</v>
      </c>
      <c r="C8" t="s">
        <v>1650</v>
      </c>
      <c r="D8" t="s">
        <v>419</v>
      </c>
      <c r="E8" t="s">
        <v>419</v>
      </c>
      <c r="F8" t="s">
        <v>1693</v>
      </c>
      <c r="G8" t="s">
        <v>1564</v>
      </c>
      <c r="H8" t="s">
        <v>1564</v>
      </c>
      <c r="I8" t="s">
        <v>176</v>
      </c>
      <c r="J8" t="s">
        <v>109</v>
      </c>
    </row>
    <row r="9">
      <c r="A9" t="s">
        <v>185</v>
      </c>
      <c r="B9" t="s">
        <v>417</v>
      </c>
      <c r="C9" t="s">
        <v>1655</v>
      </c>
      <c r="D9" t="s">
        <v>446</v>
      </c>
      <c r="E9" t="s">
        <v>171</v>
      </c>
      <c r="F9" t="s">
        <v>1548</v>
      </c>
      <c r="G9" t="s">
        <v>481</v>
      </c>
      <c r="H9" t="s">
        <v>189</v>
      </c>
      <c r="I9" t="s">
        <v>176</v>
      </c>
      <c r="J9" t="s">
        <v>109</v>
      </c>
    </row>
    <row r="10">
      <c r="A10" t="s">
        <v>185</v>
      </c>
      <c r="B10" t="s">
        <v>440</v>
      </c>
      <c r="C10" t="s">
        <v>1656</v>
      </c>
      <c r="D10" t="s">
        <v>1657</v>
      </c>
      <c r="E10" t="s">
        <v>1657</v>
      </c>
      <c r="F10" t="s">
        <v>1656</v>
      </c>
      <c r="G10" t="s">
        <v>207</v>
      </c>
      <c r="H10" t="s">
        <v>207</v>
      </c>
      <c r="I10" t="s">
        <v>176</v>
      </c>
      <c r="J10" t="s">
        <v>109</v>
      </c>
    </row>
    <row r="11">
      <c r="A11" t="s">
        <v>194</v>
      </c>
      <c r="B11" t="s">
        <v>417</v>
      </c>
      <c r="C11" t="s">
        <v>1661</v>
      </c>
      <c r="D11" t="s">
        <v>189</v>
      </c>
      <c r="E11" t="s">
        <v>438</v>
      </c>
      <c r="F11" t="s">
        <v>1551</v>
      </c>
      <c r="G11" t="s">
        <v>372</v>
      </c>
      <c r="H11" t="s">
        <v>460</v>
      </c>
      <c r="I11" t="s">
        <v>202</v>
      </c>
      <c r="J11" t="s">
        <v>109</v>
      </c>
    </row>
    <row r="12">
      <c r="A12" t="s">
        <v>194</v>
      </c>
      <c r="B12" t="s">
        <v>440</v>
      </c>
      <c r="C12" t="s">
        <v>1662</v>
      </c>
      <c r="D12" t="s">
        <v>423</v>
      </c>
      <c r="E12" t="s">
        <v>423</v>
      </c>
      <c r="F12" t="s">
        <v>1552</v>
      </c>
      <c r="G12" t="s">
        <v>540</v>
      </c>
      <c r="H12" t="s">
        <v>540</v>
      </c>
      <c r="I12" t="s">
        <v>202</v>
      </c>
      <c r="J12" t="s">
        <v>109</v>
      </c>
    </row>
    <row r="13">
      <c r="A13" t="s">
        <v>203</v>
      </c>
      <c r="B13" t="s">
        <v>417</v>
      </c>
      <c r="C13" t="s">
        <v>1666</v>
      </c>
      <c r="D13" t="s">
        <v>1667</v>
      </c>
      <c r="E13" t="s">
        <v>374</v>
      </c>
      <c r="F13" t="s">
        <v>1554</v>
      </c>
      <c r="G13" t="s">
        <v>1694</v>
      </c>
      <c r="H13" t="s">
        <v>458</v>
      </c>
      <c r="I13" t="s">
        <v>176</v>
      </c>
      <c r="J13" t="s">
        <v>109</v>
      </c>
    </row>
    <row r="14">
      <c r="A14" t="s">
        <v>203</v>
      </c>
      <c r="B14" t="s">
        <v>440</v>
      </c>
      <c r="C14" t="s">
        <v>1555</v>
      </c>
      <c r="D14" t="s">
        <v>1523</v>
      </c>
      <c r="E14" t="s">
        <v>374</v>
      </c>
      <c r="F14" t="s">
        <v>1555</v>
      </c>
      <c r="G14" t="s">
        <v>1623</v>
      </c>
      <c r="H14" t="s">
        <v>458</v>
      </c>
      <c r="I14" t="s">
        <v>176</v>
      </c>
      <c r="J14" t="s">
        <v>109</v>
      </c>
    </row>
    <row r="15">
      <c r="A15" t="s">
        <v>212</v>
      </c>
      <c r="B15" t="s">
        <v>109</v>
      </c>
      <c r="C15" t="s">
        <v>109</v>
      </c>
      <c r="D15" t="s">
        <v>109</v>
      </c>
      <c r="E15" t="s">
        <v>109</v>
      </c>
      <c r="F15" t="s">
        <v>109</v>
      </c>
      <c r="G15" t="s">
        <v>109</v>
      </c>
      <c r="H15" t="s">
        <v>109</v>
      </c>
      <c r="I15"/>
      <c r="J15" t="s">
        <v>1695</v>
      </c>
    </row>
    <row r="16">
      <c r="A16" t="s">
        <v>216</v>
      </c>
      <c r="B16" t="s">
        <v>109</v>
      </c>
      <c r="C16" t="s">
        <v>109</v>
      </c>
      <c r="D16" t="s">
        <v>109</v>
      </c>
      <c r="E16" t="s">
        <v>109</v>
      </c>
      <c r="F16" t="s">
        <v>109</v>
      </c>
      <c r="G16" t="s">
        <v>109</v>
      </c>
      <c r="H16" t="s">
        <v>109</v>
      </c>
      <c r="I16"/>
      <c r="J16" t="s">
        <v>1695</v>
      </c>
    </row>
    <row r="17">
      <c r="A17" t="s">
        <v>1556</v>
      </c>
      <c r="B17" t="s">
        <v>417</v>
      </c>
      <c r="C17" t="s">
        <v>1672</v>
      </c>
      <c r="D17" t="s">
        <v>567</v>
      </c>
      <c r="E17" t="s">
        <v>568</v>
      </c>
      <c r="F17" t="s">
        <v>1696</v>
      </c>
      <c r="G17" t="s">
        <v>50</v>
      </c>
      <c r="H17" t="s">
        <v>50</v>
      </c>
      <c r="I17" t="s">
        <v>229</v>
      </c>
      <c r="J17" t="s">
        <v>109</v>
      </c>
    </row>
    <row r="18">
      <c r="A18" t="s">
        <v>1556</v>
      </c>
      <c r="B18" t="s">
        <v>440</v>
      </c>
      <c r="C18" t="s">
        <v>1673</v>
      </c>
      <c r="D18" t="s">
        <v>460</v>
      </c>
      <c r="E18" t="s">
        <v>460</v>
      </c>
      <c r="F18" t="s">
        <v>1697</v>
      </c>
      <c r="G18" t="s">
        <v>1698</v>
      </c>
      <c r="H18" t="s">
        <v>1698</v>
      </c>
      <c r="I18" t="s">
        <v>229</v>
      </c>
      <c r="J18" t="s">
        <v>109</v>
      </c>
    </row>
    <row r="19">
      <c r="A19" t="s">
        <v>1561</v>
      </c>
      <c r="B19" t="s">
        <v>417</v>
      </c>
      <c r="C19" t="s">
        <v>1677</v>
      </c>
      <c r="D19" t="s">
        <v>1566</v>
      </c>
      <c r="E19" t="s">
        <v>386</v>
      </c>
      <c r="F19" t="s">
        <v>1699</v>
      </c>
      <c r="G19" t="s">
        <v>471</v>
      </c>
      <c r="H19" t="s">
        <v>386</v>
      </c>
      <c r="I19" t="s">
        <v>239</v>
      </c>
      <c r="J19" t="s">
        <v>1700</v>
      </c>
    </row>
    <row r="20">
      <c r="A20" t="s">
        <v>1561</v>
      </c>
      <c r="B20" t="s">
        <v>440</v>
      </c>
      <c r="C20" t="s">
        <v>1678</v>
      </c>
      <c r="D20" t="s">
        <v>234</v>
      </c>
      <c r="E20" t="s">
        <v>386</v>
      </c>
      <c r="F20" t="s">
        <v>1701</v>
      </c>
      <c r="G20" t="s">
        <v>423</v>
      </c>
      <c r="H20" t="s">
        <v>386</v>
      </c>
      <c r="I20" t="s">
        <v>239</v>
      </c>
      <c r="J20" t="s">
        <v>1700</v>
      </c>
    </row>
    <row r="21">
      <c r="A21" t="s">
        <v>1567</v>
      </c>
      <c r="B21" t="s">
        <v>109</v>
      </c>
      <c r="C21" t="s">
        <v>109</v>
      </c>
      <c r="D21" t="s">
        <v>109</v>
      </c>
      <c r="E21" t="s">
        <v>109</v>
      </c>
      <c r="F21" t="s">
        <v>109</v>
      </c>
      <c r="G21" t="s">
        <v>109</v>
      </c>
      <c r="H21" t="s">
        <v>109</v>
      </c>
      <c r="I21"/>
      <c r="J21" t="s">
        <v>1702</v>
      </c>
    </row>
    <row r="23">
      <c r="A23" s="1" t="s">
        <v>1703</v>
      </c>
    </row>
    <row r="24">
      <c r="A24" t="s">
        <v>1465</v>
      </c>
      <c r="B24" t="s">
        <v>1466</v>
      </c>
      <c r="C24" t="s">
        <v>1467</v>
      </c>
      <c r="D24" t="s">
        <v>1468</v>
      </c>
      <c r="E24" t="s">
        <v>1469</v>
      </c>
      <c r="F24" t="s">
        <v>1470</v>
      </c>
      <c r="G24" t="s">
        <v>1471</v>
      </c>
      <c r="H24" t="s">
        <v>1472</v>
      </c>
      <c r="I24" t="s">
        <v>1473</v>
      </c>
      <c r="J24" t="s">
        <v>1474</v>
      </c>
      <c r="K24" t="s">
        <v>1475</v>
      </c>
      <c r="L24" t="s">
        <v>1476</v>
      </c>
      <c r="M24" t="s">
        <v>41</v>
      </c>
      <c r="N24" t="s">
        <v>1477</v>
      </c>
      <c r="O24" t="s">
        <v>1478</v>
      </c>
    </row>
    <row r="25">
      <c r="A25" t="s">
        <v>167</v>
      </c>
      <c r="B25" t="s">
        <v>1568</v>
      </c>
      <c r="C25" s="24" t="n">
        <v>175.672732447055</v>
      </c>
      <c r="D25" s="24" t="n">
        <v>12.7857461119807</v>
      </c>
      <c r="E25" s="24" t="n">
        <v>13.7397325825549</v>
      </c>
      <c r="F25" t="n">
        <v>0.00000000000000000000000000000000261437585323329</v>
      </c>
      <c r="G25" t="n">
        <v>285</v>
      </c>
      <c r="H25"/>
      <c r="I25" s="24"/>
      <c r="J25" s="24"/>
      <c r="K25" s="24"/>
      <c r="L25"/>
      <c r="M25" t="s">
        <v>50</v>
      </c>
      <c r="N25" t="s">
        <v>1491</v>
      </c>
      <c r="O25" t="s">
        <v>1704</v>
      </c>
    </row>
    <row r="26">
      <c r="A26" t="s">
        <v>167</v>
      </c>
      <c r="B26" t="s">
        <v>417</v>
      </c>
      <c r="C26" s="24" t="n">
        <v>-2.15493805905379</v>
      </c>
      <c r="D26" s="24" t="n">
        <v>1.82262742000008</v>
      </c>
      <c r="E26" s="24" t="n">
        <v>-1.18232505195916</v>
      </c>
      <c r="F26" t="n">
        <v>0.238062218621713</v>
      </c>
      <c r="G26" t="n">
        <v>285</v>
      </c>
      <c r="H26" t="s">
        <v>1487</v>
      </c>
      <c r="I26" s="24" t="n">
        <v>-2.15493805905379</v>
      </c>
      <c r="J26" s="24" t="n">
        <v>-5.74245680673995</v>
      </c>
      <c r="K26" s="24" t="n">
        <v>1.43258068863237</v>
      </c>
      <c r="L26" t="s">
        <v>1643</v>
      </c>
      <c r="M26" t="s">
        <v>385</v>
      </c>
      <c r="N26" t="s">
        <v>1491</v>
      </c>
      <c r="O26" t="s">
        <v>1704</v>
      </c>
    </row>
    <row r="27">
      <c r="A27" t="s">
        <v>167</v>
      </c>
      <c r="B27" t="s">
        <v>440</v>
      </c>
      <c r="C27" s="24" t="n">
        <v>-2.49448365093461</v>
      </c>
      <c r="D27" s="24" t="n">
        <v>1.60720053605983</v>
      </c>
      <c r="E27" s="24" t="n">
        <v>-1.55206745827127</v>
      </c>
      <c r="F27" t="n">
        <v>0.121755809430923</v>
      </c>
      <c r="G27" t="n">
        <v>285</v>
      </c>
      <c r="H27" t="s">
        <v>1487</v>
      </c>
      <c r="I27" s="24" t="n">
        <v>-2.49448365093461</v>
      </c>
      <c r="J27" s="24" t="n">
        <v>-5.65797279366113</v>
      </c>
      <c r="K27" s="24" t="n">
        <v>0.669005491791912</v>
      </c>
      <c r="L27" t="s">
        <v>1644</v>
      </c>
      <c r="M27" t="s">
        <v>419</v>
      </c>
      <c r="N27" t="s">
        <v>1491</v>
      </c>
      <c r="O27" t="s">
        <v>1704</v>
      </c>
    </row>
    <row r="28">
      <c r="A28" t="s">
        <v>167</v>
      </c>
      <c r="B28" t="s">
        <v>1480</v>
      </c>
      <c r="C28" s="24" t="n">
        <v>-0.0412697715545478</v>
      </c>
      <c r="D28" s="24" t="n">
        <v>0.0869725805397521</v>
      </c>
      <c r="E28" s="24" t="n">
        <v>-0.474514741294641</v>
      </c>
      <c r="F28" t="n">
        <v>0.635496262769027</v>
      </c>
      <c r="G28" t="n">
        <v>285</v>
      </c>
      <c r="H28" t="s">
        <v>1487</v>
      </c>
      <c r="I28" s="24" t="n">
        <v>-0.0412697715545478</v>
      </c>
      <c r="J28" s="24" t="n">
        <v>-0.212459867674682</v>
      </c>
      <c r="K28" s="24" t="n">
        <v>0.129920324565586</v>
      </c>
      <c r="L28" t="s">
        <v>1645</v>
      </c>
      <c r="M28" t="s">
        <v>99</v>
      </c>
      <c r="N28" t="s">
        <v>1491</v>
      </c>
      <c r="O28" t="s">
        <v>1704</v>
      </c>
    </row>
    <row r="29">
      <c r="A29" t="s">
        <v>167</v>
      </c>
      <c r="B29" t="s">
        <v>55</v>
      </c>
      <c r="C29" s="24" t="n">
        <v>0.343858306808827</v>
      </c>
      <c r="D29" s="24" t="n">
        <v>0.379788058753742</v>
      </c>
      <c r="E29" s="24" t="n">
        <v>0.905395256336346</v>
      </c>
      <c r="F29" t="n">
        <v>0.366020785678637</v>
      </c>
      <c r="G29" t="n">
        <v>285</v>
      </c>
      <c r="H29" t="s">
        <v>1487</v>
      </c>
      <c r="I29" s="24" t="n">
        <v>0.343858306808827</v>
      </c>
      <c r="J29" s="24" t="n">
        <v>-0.40368711359658</v>
      </c>
      <c r="K29" s="24" t="n">
        <v>1.09140372721423</v>
      </c>
      <c r="L29" t="s">
        <v>1646</v>
      </c>
      <c r="M29" t="s">
        <v>461</v>
      </c>
      <c r="N29" t="s">
        <v>1491</v>
      </c>
      <c r="O29" t="s">
        <v>1704</v>
      </c>
    </row>
    <row r="30">
      <c r="A30" t="s">
        <v>167</v>
      </c>
      <c r="B30" t="s">
        <v>89</v>
      </c>
      <c r="C30" s="24" t="n">
        <v>0.0156644510919667</v>
      </c>
      <c r="D30" s="24" t="n">
        <v>0.0236938663164663</v>
      </c>
      <c r="E30" s="24" t="n">
        <v>0.661118404347564</v>
      </c>
      <c r="F30" t="n">
        <v>0.509070463860087</v>
      </c>
      <c r="G30" t="n">
        <v>285</v>
      </c>
      <c r="H30" t="s">
        <v>1487</v>
      </c>
      <c r="I30" s="24" t="n">
        <v>0.0156644510919667</v>
      </c>
      <c r="J30" s="24" t="n">
        <v>-0.0309727215318759</v>
      </c>
      <c r="K30" s="24" t="n">
        <v>0.0623016237158093</v>
      </c>
      <c r="L30" t="s">
        <v>1647</v>
      </c>
      <c r="M30" t="s">
        <v>431</v>
      </c>
      <c r="N30" t="s">
        <v>1491</v>
      </c>
      <c r="O30" t="s">
        <v>1704</v>
      </c>
    </row>
    <row r="31">
      <c r="A31" t="s">
        <v>177</v>
      </c>
      <c r="B31" t="s">
        <v>1568</v>
      </c>
      <c r="C31" s="24" t="n">
        <v>-0.0656198819363697</v>
      </c>
      <c r="D31" s="24" t="n">
        <v>0.358107731181562</v>
      </c>
      <c r="E31" s="24" t="n">
        <v>-0.183240617899702</v>
      </c>
      <c r="F31" t="n">
        <v>0.854739515894641</v>
      </c>
      <c r="G31" t="n">
        <v>285</v>
      </c>
      <c r="H31"/>
      <c r="I31" s="24"/>
      <c r="J31" s="24"/>
      <c r="K31" s="24"/>
      <c r="L31"/>
      <c r="M31" t="s">
        <v>1648</v>
      </c>
      <c r="N31" t="s">
        <v>1491</v>
      </c>
      <c r="O31" t="s">
        <v>1704</v>
      </c>
    </row>
    <row r="32">
      <c r="A32" t="s">
        <v>177</v>
      </c>
      <c r="B32" t="s">
        <v>417</v>
      </c>
      <c r="C32" s="24" t="n">
        <v>-0.220493073217265</v>
      </c>
      <c r="D32" s="24" t="n">
        <v>0.049981545101967</v>
      </c>
      <c r="E32" s="24" t="n">
        <v>-4.4114897362104</v>
      </c>
      <c r="F32" t="n">
        <v>0.0000145720125783011</v>
      </c>
      <c r="G32" t="n">
        <v>285</v>
      </c>
      <c r="H32" t="s">
        <v>1487</v>
      </c>
      <c r="I32" s="24" t="n">
        <v>-0.220493073217265</v>
      </c>
      <c r="J32" s="24" t="n">
        <v>-0.318872878175768</v>
      </c>
      <c r="K32" s="24" t="n">
        <v>-0.122113268258761</v>
      </c>
      <c r="L32" t="s">
        <v>1649</v>
      </c>
      <c r="M32" t="s">
        <v>50</v>
      </c>
      <c r="N32" t="s">
        <v>1491</v>
      </c>
      <c r="O32" t="s">
        <v>1704</v>
      </c>
    </row>
    <row r="33">
      <c r="A33" t="s">
        <v>177</v>
      </c>
      <c r="B33" t="s">
        <v>440</v>
      </c>
      <c r="C33" s="24" t="n">
        <v>-0.0716119506597653</v>
      </c>
      <c r="D33" s="24" t="n">
        <v>0.0464030574862732</v>
      </c>
      <c r="E33" s="24" t="n">
        <v>-1.54325931391373</v>
      </c>
      <c r="F33" t="n">
        <v>0.123877475788538</v>
      </c>
      <c r="G33" t="n">
        <v>285</v>
      </c>
      <c r="H33" t="s">
        <v>1487</v>
      </c>
      <c r="I33" s="24" t="n">
        <v>-0.0716119506597653</v>
      </c>
      <c r="J33" s="24" t="n">
        <v>-0.16294813755964</v>
      </c>
      <c r="K33" s="24" t="n">
        <v>0.0197242362401095</v>
      </c>
      <c r="L33" t="s">
        <v>1650</v>
      </c>
      <c r="M33" t="s">
        <v>419</v>
      </c>
      <c r="N33" t="s">
        <v>1491</v>
      </c>
      <c r="O33" t="s">
        <v>1704</v>
      </c>
    </row>
    <row r="34">
      <c r="A34" t="s">
        <v>177</v>
      </c>
      <c r="B34" t="s">
        <v>1480</v>
      </c>
      <c r="C34" s="24" t="n">
        <v>-0.0127627890248353</v>
      </c>
      <c r="D34" s="24" t="n">
        <v>0.00235970214861232</v>
      </c>
      <c r="E34" s="24" t="n">
        <v>-5.40864406651525</v>
      </c>
      <c r="F34" t="n">
        <v>0.000000134588577306154</v>
      </c>
      <c r="G34" t="n">
        <v>285</v>
      </c>
      <c r="H34" t="s">
        <v>1487</v>
      </c>
      <c r="I34" s="24" t="n">
        <v>-0.0127627890248353</v>
      </c>
      <c r="J34" s="24" t="n">
        <v>-0.0174074441003645</v>
      </c>
      <c r="K34" s="24" t="n">
        <v>-0.00811813394930614</v>
      </c>
      <c r="L34" t="s">
        <v>1651</v>
      </c>
      <c r="M34" t="s">
        <v>50</v>
      </c>
      <c r="N34" t="s">
        <v>1491</v>
      </c>
      <c r="O34" t="s">
        <v>1704</v>
      </c>
    </row>
    <row r="35">
      <c r="A35" t="s">
        <v>177</v>
      </c>
      <c r="B35" t="s">
        <v>55</v>
      </c>
      <c r="C35" s="24" t="n">
        <v>0.0458251630473576</v>
      </c>
      <c r="D35" s="24" t="n">
        <v>0.0113223420357477</v>
      </c>
      <c r="E35" s="24" t="n">
        <v>4.04732191473064</v>
      </c>
      <c r="F35" t="n">
        <v>0.0000667940611101314</v>
      </c>
      <c r="G35" t="n">
        <v>285</v>
      </c>
      <c r="H35" t="s">
        <v>1487</v>
      </c>
      <c r="I35" s="24" t="n">
        <v>0.0458251630473576</v>
      </c>
      <c r="J35" s="24" t="n">
        <v>0.0235391412991726</v>
      </c>
      <c r="K35" s="24" t="n">
        <v>0.0681111847955426</v>
      </c>
      <c r="L35" t="s">
        <v>1652</v>
      </c>
      <c r="M35" t="s">
        <v>50</v>
      </c>
      <c r="N35" t="s">
        <v>1491</v>
      </c>
      <c r="O35" t="s">
        <v>1704</v>
      </c>
    </row>
    <row r="36">
      <c r="A36" t="s">
        <v>177</v>
      </c>
      <c r="B36" t="s">
        <v>89</v>
      </c>
      <c r="C36" s="24" t="n">
        <v>0.00133188066239276</v>
      </c>
      <c r="D36" s="24" t="n">
        <v>0.000653282412328071</v>
      </c>
      <c r="E36" s="24" t="n">
        <v>2.03875175155321</v>
      </c>
      <c r="F36" t="n">
        <v>0.0423974672458173</v>
      </c>
      <c r="G36" t="n">
        <v>285</v>
      </c>
      <c r="H36" t="s">
        <v>1487</v>
      </c>
      <c r="I36" s="24" t="n">
        <v>0.00133188066239276</v>
      </c>
      <c r="J36" s="24" t="n">
        <v>0.0000460101240462585</v>
      </c>
      <c r="K36" s="24" t="n">
        <v>0.00261775120073926</v>
      </c>
      <c r="L36" t="s">
        <v>1653</v>
      </c>
      <c r="M36" t="s">
        <v>460</v>
      </c>
      <c r="N36" t="s">
        <v>1491</v>
      </c>
      <c r="O36" t="s">
        <v>1704</v>
      </c>
    </row>
    <row r="37">
      <c r="A37" t="s">
        <v>185</v>
      </c>
      <c r="B37" t="s">
        <v>1568</v>
      </c>
      <c r="C37" s="24" t="n">
        <v>-0.152870406522462</v>
      </c>
      <c r="D37" s="24" t="n">
        <v>0.211328082096185</v>
      </c>
      <c r="E37" s="24" t="n">
        <v>-0.723379519683919</v>
      </c>
      <c r="F37" t="n">
        <v>0.470040024494102</v>
      </c>
      <c r="G37" t="n">
        <v>285</v>
      </c>
      <c r="H37"/>
      <c r="I37" s="24"/>
      <c r="J37" s="24"/>
      <c r="K37" s="24"/>
      <c r="L37"/>
      <c r="M37" t="s">
        <v>1654</v>
      </c>
      <c r="N37" t="s">
        <v>1491</v>
      </c>
      <c r="O37" t="s">
        <v>1704</v>
      </c>
    </row>
    <row r="38">
      <c r="A38" t="s">
        <v>185</v>
      </c>
      <c r="B38" t="s">
        <v>417</v>
      </c>
      <c r="C38" s="24" t="n">
        <v>0.0401982876405189</v>
      </c>
      <c r="D38" s="24" t="n">
        <v>0.0235030866904145</v>
      </c>
      <c r="E38" s="24" t="n">
        <v>1.71034078076704</v>
      </c>
      <c r="F38" t="n">
        <v>0.0882911312244005</v>
      </c>
      <c r="G38" t="n">
        <v>285</v>
      </c>
      <c r="H38" t="s">
        <v>1487</v>
      </c>
      <c r="I38" s="24" t="n">
        <v>0.0401982876405189</v>
      </c>
      <c r="J38" s="24" t="n">
        <v>-0.00606336913316852</v>
      </c>
      <c r="K38" s="24" t="n">
        <v>0.0864599444142063</v>
      </c>
      <c r="L38" t="s">
        <v>1655</v>
      </c>
      <c r="M38" t="s">
        <v>446</v>
      </c>
      <c r="N38" t="s">
        <v>1491</v>
      </c>
      <c r="O38" t="s">
        <v>1704</v>
      </c>
    </row>
    <row r="39">
      <c r="A39" t="s">
        <v>185</v>
      </c>
      <c r="B39" t="s">
        <v>440</v>
      </c>
      <c r="C39" s="24" t="n">
        <v>0.0110031338345682</v>
      </c>
      <c r="D39" s="24" t="n">
        <v>0.028287782332343</v>
      </c>
      <c r="E39" s="24" t="n">
        <v>0.388971242259161</v>
      </c>
      <c r="F39" t="n">
        <v>0.697587869190301</v>
      </c>
      <c r="G39" t="n">
        <v>285</v>
      </c>
      <c r="H39" t="s">
        <v>1487</v>
      </c>
      <c r="I39" s="24" t="n">
        <v>0.0110031338345682</v>
      </c>
      <c r="J39" s="24" t="n">
        <v>-0.0446763475197403</v>
      </c>
      <c r="K39" s="24" t="n">
        <v>0.0666826151888767</v>
      </c>
      <c r="L39" t="s">
        <v>1656</v>
      </c>
      <c r="M39" t="s">
        <v>1657</v>
      </c>
      <c r="N39" t="s">
        <v>1491</v>
      </c>
      <c r="O39" t="s">
        <v>1704</v>
      </c>
    </row>
    <row r="40">
      <c r="A40" t="s">
        <v>185</v>
      </c>
      <c r="B40" t="s">
        <v>1480</v>
      </c>
      <c r="C40" s="24" t="n">
        <v>-0.00154421663967088</v>
      </c>
      <c r="D40" s="24" t="n">
        <v>0.00144593628831264</v>
      </c>
      <c r="E40" s="24" t="n">
        <v>-1.06797004276927</v>
      </c>
      <c r="F40" t="n">
        <v>0.286437790512336</v>
      </c>
      <c r="G40" t="n">
        <v>285</v>
      </c>
      <c r="H40" t="s">
        <v>1487</v>
      </c>
      <c r="I40" s="24" t="n">
        <v>-0.00154421663967088</v>
      </c>
      <c r="J40" s="24" t="n">
        <v>-0.00439028571849616</v>
      </c>
      <c r="K40" s="24" t="n">
        <v>0.0013018524391544</v>
      </c>
      <c r="L40" t="s">
        <v>1658</v>
      </c>
      <c r="M40" t="s">
        <v>114</v>
      </c>
      <c r="N40" t="s">
        <v>1491</v>
      </c>
      <c r="O40" t="s">
        <v>1704</v>
      </c>
    </row>
    <row r="41">
      <c r="A41" t="s">
        <v>185</v>
      </c>
      <c r="B41" t="s">
        <v>55</v>
      </c>
      <c r="C41" s="24" t="n">
        <v>-0.00274899300544752</v>
      </c>
      <c r="D41" s="24" t="n">
        <v>0.00549545813328709</v>
      </c>
      <c r="E41" s="24" t="n">
        <v>-0.500229996985387</v>
      </c>
      <c r="F41" t="n">
        <v>0.617299169320593</v>
      </c>
      <c r="G41" t="n">
        <v>285</v>
      </c>
      <c r="H41" t="s">
        <v>1487</v>
      </c>
      <c r="I41" s="24" t="n">
        <v>-0.00274899300544752</v>
      </c>
      <c r="J41" s="24" t="n">
        <v>-0.0135658274631948</v>
      </c>
      <c r="K41" s="24" t="n">
        <v>0.00806784145229973</v>
      </c>
      <c r="L41" t="s">
        <v>1659</v>
      </c>
      <c r="M41" t="s">
        <v>1523</v>
      </c>
      <c r="N41" t="s">
        <v>1491</v>
      </c>
      <c r="O41" t="s">
        <v>1704</v>
      </c>
    </row>
    <row r="42">
      <c r="A42" t="s">
        <v>185</v>
      </c>
      <c r="B42" t="s">
        <v>89</v>
      </c>
      <c r="C42" s="24" t="n">
        <v>-0.000143207310547538</v>
      </c>
      <c r="D42" s="24" t="n">
        <v>0.000383689560156761</v>
      </c>
      <c r="E42" s="24" t="n">
        <v>-0.373237443544278</v>
      </c>
      <c r="F42" t="n">
        <v>0.709249188301969</v>
      </c>
      <c r="G42" t="n">
        <v>285</v>
      </c>
      <c r="H42" t="s">
        <v>1487</v>
      </c>
      <c r="I42" s="24" t="n">
        <v>-0.000143207310547538</v>
      </c>
      <c r="J42" s="24" t="n">
        <v>-0.000898432144350257</v>
      </c>
      <c r="K42" s="24" t="n">
        <v>0.000612017523255181</v>
      </c>
      <c r="L42" t="s">
        <v>1660</v>
      </c>
      <c r="M42" t="s">
        <v>468</v>
      </c>
      <c r="N42" t="s">
        <v>1491</v>
      </c>
      <c r="O42" t="s">
        <v>1704</v>
      </c>
    </row>
    <row r="43">
      <c r="A43" t="s">
        <v>194</v>
      </c>
      <c r="B43" t="s">
        <v>1568</v>
      </c>
      <c r="C43" s="24" t="n">
        <v>-0.02007832102771</v>
      </c>
      <c r="D43" s="24" t="n">
        <v>0.117642880061279</v>
      </c>
      <c r="E43" s="24" t="n">
        <v>-0.17067179090865</v>
      </c>
      <c r="F43" t="n">
        <v>0.864603371719851</v>
      </c>
      <c r="G43" t="n">
        <v>284</v>
      </c>
      <c r="H43"/>
      <c r="I43" s="24"/>
      <c r="J43" s="24"/>
      <c r="K43" s="24"/>
      <c r="L43"/>
      <c r="M43" t="s">
        <v>485</v>
      </c>
      <c r="N43" t="s">
        <v>1491</v>
      </c>
      <c r="O43" t="s">
        <v>1704</v>
      </c>
    </row>
    <row r="44">
      <c r="A44" t="s">
        <v>194</v>
      </c>
      <c r="B44" t="s">
        <v>417</v>
      </c>
      <c r="C44" s="24" t="n">
        <v>0.0225834114919184</v>
      </c>
      <c r="D44" s="24" t="n">
        <v>0.0150130876206255</v>
      </c>
      <c r="E44" s="24" t="n">
        <v>1.5042482973917</v>
      </c>
      <c r="F44" t="n">
        <v>0.133628697415198</v>
      </c>
      <c r="G44" t="n">
        <v>284</v>
      </c>
      <c r="H44" t="s">
        <v>1487</v>
      </c>
      <c r="I44" s="24" t="n">
        <v>0.0225834114919184</v>
      </c>
      <c r="J44" s="24" t="n">
        <v>-0.00696763192971498</v>
      </c>
      <c r="K44" s="24" t="n">
        <v>0.0521344549135518</v>
      </c>
      <c r="L44" t="s">
        <v>1661</v>
      </c>
      <c r="M44" t="s">
        <v>189</v>
      </c>
      <c r="N44" t="s">
        <v>1491</v>
      </c>
      <c r="O44" t="s">
        <v>1704</v>
      </c>
    </row>
    <row r="45">
      <c r="A45" t="s">
        <v>194</v>
      </c>
      <c r="B45" t="s">
        <v>440</v>
      </c>
      <c r="C45" s="24" t="n">
        <v>-0.000682666685077163</v>
      </c>
      <c r="D45" s="24" t="n">
        <v>0.014313002708835</v>
      </c>
      <c r="E45" s="24" t="n">
        <v>-0.0476955603910962</v>
      </c>
      <c r="F45" t="n">
        <v>0.961992395167625</v>
      </c>
      <c r="G45" t="n">
        <v>284</v>
      </c>
      <c r="H45" t="s">
        <v>1487</v>
      </c>
      <c r="I45" s="24" t="n">
        <v>-0.000682666685077163</v>
      </c>
      <c r="J45" s="24" t="n">
        <v>-0.0288556964595557</v>
      </c>
      <c r="K45" s="24" t="n">
        <v>0.0274903630894014</v>
      </c>
      <c r="L45" t="s">
        <v>1662</v>
      </c>
      <c r="M45" t="s">
        <v>423</v>
      </c>
      <c r="N45" t="s">
        <v>1491</v>
      </c>
      <c r="O45" t="s">
        <v>1704</v>
      </c>
    </row>
    <row r="46">
      <c r="A46" t="s">
        <v>194</v>
      </c>
      <c r="B46" t="s">
        <v>1480</v>
      </c>
      <c r="C46" s="24" t="n">
        <v>0.000510342394700735</v>
      </c>
      <c r="D46" s="24" t="n">
        <v>0.000737132256856594</v>
      </c>
      <c r="E46" s="24" t="n">
        <v>0.692334909988914</v>
      </c>
      <c r="F46" t="n">
        <v>0.489292709959561</v>
      </c>
      <c r="G46" t="n">
        <v>284</v>
      </c>
      <c r="H46" t="s">
        <v>1487</v>
      </c>
      <c r="I46" s="24" t="n">
        <v>0.000510342394700735</v>
      </c>
      <c r="J46" s="24" t="n">
        <v>-0.00094059347407615</v>
      </c>
      <c r="K46" s="24" t="n">
        <v>0.00196127826347762</v>
      </c>
      <c r="L46" t="s">
        <v>1663</v>
      </c>
      <c r="M46" t="s">
        <v>502</v>
      </c>
      <c r="N46" t="s">
        <v>1491</v>
      </c>
      <c r="O46" t="s">
        <v>1704</v>
      </c>
    </row>
    <row r="47">
      <c r="A47" t="s">
        <v>194</v>
      </c>
      <c r="B47" t="s">
        <v>55</v>
      </c>
      <c r="C47" s="24" t="n">
        <v>-0.0037455749884579</v>
      </c>
      <c r="D47" s="24" t="n">
        <v>0.00308805723385071</v>
      </c>
      <c r="E47" s="24" t="n">
        <v>-1.21292278763476</v>
      </c>
      <c r="F47" t="n">
        <v>0.226167259473966</v>
      </c>
      <c r="G47" t="n">
        <v>284</v>
      </c>
      <c r="H47" t="s">
        <v>1487</v>
      </c>
      <c r="I47" s="24" t="n">
        <v>-0.0037455749884579</v>
      </c>
      <c r="J47" s="24" t="n">
        <v>-0.00982395910983221</v>
      </c>
      <c r="K47" s="24" t="n">
        <v>0.00233280913291641</v>
      </c>
      <c r="L47" t="s">
        <v>1664</v>
      </c>
      <c r="M47" t="s">
        <v>429</v>
      </c>
      <c r="N47" t="s">
        <v>1491</v>
      </c>
      <c r="O47" t="s">
        <v>1704</v>
      </c>
    </row>
    <row r="48">
      <c r="A48" t="s">
        <v>194</v>
      </c>
      <c r="B48" t="s">
        <v>89</v>
      </c>
      <c r="C48" s="24" t="n">
        <v>-0.000085682815640873</v>
      </c>
      <c r="D48" s="24" t="n">
        <v>0.000211607848964519</v>
      </c>
      <c r="E48" s="24" t="n">
        <v>-0.404913220658652</v>
      </c>
      <c r="F48" t="n">
        <v>0.685846116204631</v>
      </c>
      <c r="G48" t="n">
        <v>284</v>
      </c>
      <c r="H48" t="s">
        <v>1487</v>
      </c>
      <c r="I48" s="24" t="n">
        <v>-0.000085682815640873</v>
      </c>
      <c r="J48" s="24" t="n">
        <v>-0.000502201581875076</v>
      </c>
      <c r="K48" s="24" t="n">
        <v>0.00033083595059333</v>
      </c>
      <c r="L48" t="s">
        <v>1665</v>
      </c>
      <c r="M48" t="s">
        <v>500</v>
      </c>
      <c r="N48" t="s">
        <v>1491</v>
      </c>
      <c r="O48" t="s">
        <v>1704</v>
      </c>
    </row>
    <row r="49">
      <c r="A49" t="s">
        <v>203</v>
      </c>
      <c r="B49" t="s">
        <v>1568</v>
      </c>
      <c r="C49" s="24" t="n">
        <v>-0.0947374063366021</v>
      </c>
      <c r="D49" s="24" t="n">
        <v>0.108203881740423</v>
      </c>
      <c r="E49" s="24" t="n">
        <v>-0.87554535764136</v>
      </c>
      <c r="F49" t="n">
        <v>0.382014536620727</v>
      </c>
      <c r="G49" t="n">
        <v>285</v>
      </c>
      <c r="H49"/>
      <c r="I49" s="24"/>
      <c r="J49" s="24"/>
      <c r="K49" s="24"/>
      <c r="L49"/>
      <c r="M49" t="s">
        <v>1629</v>
      </c>
      <c r="N49" t="s">
        <v>1491</v>
      </c>
      <c r="O49" t="s">
        <v>1704</v>
      </c>
    </row>
    <row r="50">
      <c r="A50" t="s">
        <v>203</v>
      </c>
      <c r="B50" t="s">
        <v>417</v>
      </c>
      <c r="C50" s="24" t="n">
        <v>0.0127821547349851</v>
      </c>
      <c r="D50" s="24" t="n">
        <v>0.0134379723611267</v>
      </c>
      <c r="E50" s="24" t="n">
        <v>0.951196682913357</v>
      </c>
      <c r="F50" t="n">
        <v>0.342310498601725</v>
      </c>
      <c r="G50" t="n">
        <v>285</v>
      </c>
      <c r="H50" t="s">
        <v>1487</v>
      </c>
      <c r="I50" s="24" t="n">
        <v>0.0127821547349851</v>
      </c>
      <c r="J50" s="24" t="n">
        <v>-0.0136681100022964</v>
      </c>
      <c r="K50" s="24" t="n">
        <v>0.0392324194722666</v>
      </c>
      <c r="L50" t="s">
        <v>1666</v>
      </c>
      <c r="M50" t="s">
        <v>1667</v>
      </c>
      <c r="N50" t="s">
        <v>1491</v>
      </c>
      <c r="O50" t="s">
        <v>1704</v>
      </c>
    </row>
    <row r="51">
      <c r="A51" t="s">
        <v>203</v>
      </c>
      <c r="B51" t="s">
        <v>440</v>
      </c>
      <c r="C51" s="24" t="n">
        <v>0.00656690338812999</v>
      </c>
      <c r="D51" s="24" t="n">
        <v>0.0130451738041207</v>
      </c>
      <c r="E51" s="24" t="n">
        <v>0.503397155663474</v>
      </c>
      <c r="F51" t="n">
        <v>0.615073914169847</v>
      </c>
      <c r="G51" t="n">
        <v>285</v>
      </c>
      <c r="H51" t="s">
        <v>1487</v>
      </c>
      <c r="I51" s="24" t="n">
        <v>0.00656690338812999</v>
      </c>
      <c r="J51" s="24" t="n">
        <v>-0.0191102070709594</v>
      </c>
      <c r="K51" s="24" t="n">
        <v>0.0322440138472194</v>
      </c>
      <c r="L51" t="s">
        <v>1555</v>
      </c>
      <c r="M51" t="s">
        <v>1523</v>
      </c>
      <c r="N51" t="s">
        <v>1491</v>
      </c>
      <c r="O51" t="s">
        <v>1704</v>
      </c>
    </row>
    <row r="52">
      <c r="A52" t="s">
        <v>203</v>
      </c>
      <c r="B52" t="s">
        <v>1480</v>
      </c>
      <c r="C52" s="24" t="n">
        <v>-0.000675874821617038</v>
      </c>
      <c r="D52" s="24" t="n">
        <v>0.000721841198866539</v>
      </c>
      <c r="E52" s="24" t="n">
        <v>-0.936320651520474</v>
      </c>
      <c r="F52" t="n">
        <v>0.349900834638681</v>
      </c>
      <c r="G52" t="n">
        <v>285</v>
      </c>
      <c r="H52" t="s">
        <v>1487</v>
      </c>
      <c r="I52" s="24" t="n">
        <v>-0.000675874821617038</v>
      </c>
      <c r="J52" s="24" t="n">
        <v>-0.00209669116914343</v>
      </c>
      <c r="K52" s="24" t="n">
        <v>0.000744941525909354</v>
      </c>
      <c r="L52" t="s">
        <v>1668</v>
      </c>
      <c r="M52" t="s">
        <v>476</v>
      </c>
      <c r="N52" t="s">
        <v>1491</v>
      </c>
      <c r="O52" t="s">
        <v>1704</v>
      </c>
    </row>
    <row r="53">
      <c r="A53" t="s">
        <v>203</v>
      </c>
      <c r="B53" t="s">
        <v>55</v>
      </c>
      <c r="C53" s="24" t="n">
        <v>-0.00195370272363462</v>
      </c>
      <c r="D53" s="24" t="n">
        <v>0.00282347547600183</v>
      </c>
      <c r="E53" s="24" t="n">
        <v>-0.691949599081042</v>
      </c>
      <c r="F53" t="n">
        <v>0.489532309390542</v>
      </c>
      <c r="G53" t="n">
        <v>285</v>
      </c>
      <c r="H53" t="s">
        <v>1487</v>
      </c>
      <c r="I53" s="24" t="n">
        <v>-0.00195370272363462</v>
      </c>
      <c r="J53" s="24" t="n">
        <v>-0.00751121332214642</v>
      </c>
      <c r="K53" s="24" t="n">
        <v>0.00360380787487718</v>
      </c>
      <c r="L53" t="s">
        <v>1669</v>
      </c>
      <c r="M53" t="s">
        <v>502</v>
      </c>
      <c r="N53" t="s">
        <v>1491</v>
      </c>
      <c r="O53" t="s">
        <v>1704</v>
      </c>
    </row>
    <row r="54">
      <c r="A54" t="s">
        <v>203</v>
      </c>
      <c r="B54" t="s">
        <v>89</v>
      </c>
      <c r="C54" s="24" t="n">
        <v>0.0000872228065776678</v>
      </c>
      <c r="D54" s="24" t="n">
        <v>0.000194816693774506</v>
      </c>
      <c r="E54" s="24" t="n">
        <v>0.44771731255549</v>
      </c>
      <c r="F54" t="n">
        <v>0.654697343898337</v>
      </c>
      <c r="G54" t="n">
        <v>285</v>
      </c>
      <c r="H54" t="s">
        <v>1487</v>
      </c>
      <c r="I54" s="24" t="n">
        <v>0.0000872228065776678</v>
      </c>
      <c r="J54" s="24" t="n">
        <v>-0.000296239295226026</v>
      </c>
      <c r="K54" s="24" t="n">
        <v>0.000470684908381362</v>
      </c>
      <c r="L54" t="s">
        <v>1670</v>
      </c>
      <c r="M54" t="s">
        <v>1671</v>
      </c>
      <c r="N54" t="s">
        <v>1491</v>
      </c>
      <c r="O54" t="s">
        <v>1704</v>
      </c>
    </row>
    <row r="55">
      <c r="A55" t="s">
        <v>1556</v>
      </c>
      <c r="B55" t="s">
        <v>1568</v>
      </c>
      <c r="C55" s="24" t="n">
        <v>3.57253652768421</v>
      </c>
      <c r="D55" s="24" t="n">
        <v>2.8268332488549</v>
      </c>
      <c r="E55" s="24" t="n">
        <v>1.26379457618569</v>
      </c>
      <c r="F55" t="n">
        <v>0.207336491816582</v>
      </c>
      <c r="G55" t="n">
        <v>285</v>
      </c>
      <c r="H55"/>
      <c r="I55" s="24"/>
      <c r="J55" s="24"/>
      <c r="K55" s="24"/>
      <c r="L55"/>
      <c r="M55" t="s">
        <v>522</v>
      </c>
      <c r="N55" t="s">
        <v>1491</v>
      </c>
      <c r="O55" t="s">
        <v>1705</v>
      </c>
    </row>
    <row r="56">
      <c r="A56" t="s">
        <v>1556</v>
      </c>
      <c r="B56" t="s">
        <v>417</v>
      </c>
      <c r="C56" s="24" t="n">
        <v>1.18441351770175</v>
      </c>
      <c r="D56" s="24" t="n">
        <v>0.376755294309095</v>
      </c>
      <c r="E56" s="24" t="n">
        <v>3.14372096581618</v>
      </c>
      <c r="F56" t="n">
        <v>0.0018441801833993</v>
      </c>
      <c r="G56" t="n">
        <v>285</v>
      </c>
      <c r="H56" t="s">
        <v>1520</v>
      </c>
      <c r="I56" s="24" t="n">
        <v>3.26876918392723</v>
      </c>
      <c r="J56" s="24" t="n">
        <v>1.55711936925665</v>
      </c>
      <c r="K56" s="24" t="n">
        <v>6.86193505054987</v>
      </c>
      <c r="L56" t="s">
        <v>1672</v>
      </c>
      <c r="M56" t="s">
        <v>567</v>
      </c>
      <c r="N56" t="s">
        <v>1491</v>
      </c>
      <c r="O56" t="s">
        <v>1705</v>
      </c>
    </row>
    <row r="57">
      <c r="A57" t="s">
        <v>1556</v>
      </c>
      <c r="B57" t="s">
        <v>440</v>
      </c>
      <c r="C57" s="24" t="n">
        <v>0.715653146499849</v>
      </c>
      <c r="D57" s="24" t="n">
        <v>0.353274006969655</v>
      </c>
      <c r="E57" s="24" t="n">
        <v>2.02577357060216</v>
      </c>
      <c r="F57" t="n">
        <v>0.0437195428748613</v>
      </c>
      <c r="G57" t="n">
        <v>285</v>
      </c>
      <c r="H57" t="s">
        <v>1520</v>
      </c>
      <c r="I57" s="24" t="n">
        <v>2.04552227175543</v>
      </c>
      <c r="J57" s="24" t="n">
        <v>1.02050329647665</v>
      </c>
      <c r="K57" s="24" t="n">
        <v>4.10009588278019</v>
      </c>
      <c r="L57" t="s">
        <v>1673</v>
      </c>
      <c r="M57" t="s">
        <v>460</v>
      </c>
      <c r="N57" t="s">
        <v>1491</v>
      </c>
      <c r="O57" t="s">
        <v>1705</v>
      </c>
    </row>
    <row r="58">
      <c r="A58" t="s">
        <v>1556</v>
      </c>
      <c r="B58" t="s">
        <v>1480</v>
      </c>
      <c r="C58" s="24" t="n">
        <v>0.0311262713081348</v>
      </c>
      <c r="D58" s="24" t="n">
        <v>0.0177633106581268</v>
      </c>
      <c r="E58" s="24" t="n">
        <v>1.75227872254176</v>
      </c>
      <c r="F58" t="n">
        <v>0.0808013002201579</v>
      </c>
      <c r="G58" t="n">
        <v>285</v>
      </c>
      <c r="H58" t="s">
        <v>1520</v>
      </c>
      <c r="I58" s="24" t="n">
        <v>1.031615759134</v>
      </c>
      <c r="J58" s="24" t="n">
        <v>0.99616969982053</v>
      </c>
      <c r="K58" s="24" t="n">
        <v>1.06832307255013</v>
      </c>
      <c r="L58" t="s">
        <v>1674</v>
      </c>
      <c r="M58" t="s">
        <v>122</v>
      </c>
      <c r="N58" t="s">
        <v>1491</v>
      </c>
      <c r="O58" t="s">
        <v>1705</v>
      </c>
    </row>
    <row r="59">
      <c r="A59" t="s">
        <v>1556</v>
      </c>
      <c r="B59" t="s">
        <v>55</v>
      </c>
      <c r="C59" s="24" t="n">
        <v>-0.101840743803481</v>
      </c>
      <c r="D59" s="24" t="n">
        <v>0.0791590606391008</v>
      </c>
      <c r="E59" s="24" t="n">
        <v>-1.28653300053407</v>
      </c>
      <c r="F59" t="n">
        <v>0.199301179558028</v>
      </c>
      <c r="G59" t="n">
        <v>285</v>
      </c>
      <c r="H59" t="s">
        <v>1520</v>
      </c>
      <c r="I59" s="24" t="n">
        <v>0.903173376172788</v>
      </c>
      <c r="J59" s="24" t="n">
        <v>0.772864673693419</v>
      </c>
      <c r="K59" s="24" t="n">
        <v>1.05545275284627</v>
      </c>
      <c r="L59" t="s">
        <v>1675</v>
      </c>
      <c r="M59" t="s">
        <v>129</v>
      </c>
      <c r="N59" t="s">
        <v>1491</v>
      </c>
      <c r="O59" t="s">
        <v>1705</v>
      </c>
    </row>
    <row r="60">
      <c r="A60" t="s">
        <v>1556</v>
      </c>
      <c r="B60" t="s">
        <v>89</v>
      </c>
      <c r="C60" s="24" t="n">
        <v>-0.0128084731409319</v>
      </c>
      <c r="D60" s="24" t="n">
        <v>0.00538029443869287</v>
      </c>
      <c r="E60" s="24" t="n">
        <v>-2.38062680154057</v>
      </c>
      <c r="F60" t="n">
        <v>0.0179404975947371</v>
      </c>
      <c r="G60" t="n">
        <v>285</v>
      </c>
      <c r="H60" t="s">
        <v>1520</v>
      </c>
      <c r="I60" s="24" t="n">
        <v>0.987273206249835</v>
      </c>
      <c r="J60" s="24" t="n">
        <v>0.97687299693045</v>
      </c>
      <c r="K60" s="24" t="n">
        <v>0.997784140662684</v>
      </c>
      <c r="L60" t="s">
        <v>1676</v>
      </c>
      <c r="M60" t="s">
        <v>372</v>
      </c>
      <c r="N60" t="s">
        <v>1491</v>
      </c>
      <c r="O60" t="s">
        <v>1705</v>
      </c>
    </row>
    <row r="61">
      <c r="A61" t="s">
        <v>1561</v>
      </c>
      <c r="B61" t="s">
        <v>1568</v>
      </c>
      <c r="C61" s="24" t="n">
        <v>1.44532644628494</v>
      </c>
      <c r="D61" s="24" t="n">
        <v>3.41294265644261</v>
      </c>
      <c r="E61" s="24" t="n">
        <v>0.423483952640283</v>
      </c>
      <c r="F61" t="n">
        <v>0.672261612501797</v>
      </c>
      <c r="G61" t="n">
        <v>285</v>
      </c>
      <c r="H61"/>
      <c r="I61" s="24"/>
      <c r="J61" s="24"/>
      <c r="K61" s="24"/>
      <c r="L61"/>
      <c r="M61" t="s">
        <v>458</v>
      </c>
      <c r="N61" t="s">
        <v>1491</v>
      </c>
      <c r="O61" t="s">
        <v>1705</v>
      </c>
    </row>
    <row r="62">
      <c r="A62" t="s">
        <v>1561</v>
      </c>
      <c r="B62" t="s">
        <v>417</v>
      </c>
      <c r="C62" s="24" t="n">
        <v>-0.00756179302732405</v>
      </c>
      <c r="D62" s="24" t="n">
        <v>0.473983946427822</v>
      </c>
      <c r="E62" s="24" t="n">
        <v>-0.015953690170972</v>
      </c>
      <c r="F62" t="n">
        <v>0.987282499345471</v>
      </c>
      <c r="G62" t="n">
        <v>285</v>
      </c>
      <c r="H62" t="s">
        <v>1520</v>
      </c>
      <c r="I62" s="24" t="n">
        <v>0.992466725400812</v>
      </c>
      <c r="J62" s="24" t="n">
        <v>0.390426671551309</v>
      </c>
      <c r="K62" s="24" t="n">
        <v>2.52285582107923</v>
      </c>
      <c r="L62" t="s">
        <v>1677</v>
      </c>
      <c r="M62" t="s">
        <v>1566</v>
      </c>
      <c r="N62" t="s">
        <v>1491</v>
      </c>
      <c r="O62" t="s">
        <v>1705</v>
      </c>
    </row>
    <row r="63">
      <c r="A63" t="s">
        <v>1561</v>
      </c>
      <c r="B63" t="s">
        <v>440</v>
      </c>
      <c r="C63" s="24" t="n">
        <v>0.101148952344424</v>
      </c>
      <c r="D63" s="24" t="n">
        <v>0.463013200852438</v>
      </c>
      <c r="E63" s="24" t="n">
        <v>0.21845803134382</v>
      </c>
      <c r="F63" t="n">
        <v>0.827228601491474</v>
      </c>
      <c r="G63" t="n">
        <v>285</v>
      </c>
      <c r="H63" t="s">
        <v>1520</v>
      </c>
      <c r="I63" s="24" t="n">
        <v>1.10644143653578</v>
      </c>
      <c r="J63" s="24" t="n">
        <v>0.444764479535405</v>
      </c>
      <c r="K63" s="24" t="n">
        <v>2.75249645331872</v>
      </c>
      <c r="L63" t="s">
        <v>1678</v>
      </c>
      <c r="M63" t="s">
        <v>234</v>
      </c>
      <c r="N63" t="s">
        <v>1491</v>
      </c>
      <c r="O63" t="s">
        <v>1705</v>
      </c>
    </row>
    <row r="64">
      <c r="A64" t="s">
        <v>1561</v>
      </c>
      <c r="B64" t="s">
        <v>1480</v>
      </c>
      <c r="C64" s="24" t="n">
        <v>-0.00636161965974009</v>
      </c>
      <c r="D64" s="24" t="n">
        <v>0.0276716045109618</v>
      </c>
      <c r="E64" s="24" t="n">
        <v>-0.229897028819561</v>
      </c>
      <c r="F64" t="n">
        <v>0.818336700287721</v>
      </c>
      <c r="G64" t="n">
        <v>285</v>
      </c>
      <c r="H64" t="s">
        <v>1520</v>
      </c>
      <c r="I64" s="24" t="n">
        <v>0.993658572601422</v>
      </c>
      <c r="J64" s="24" t="n">
        <v>0.940984826606508</v>
      </c>
      <c r="K64" s="24" t="n">
        <v>1.04928085021841</v>
      </c>
      <c r="L64" t="s">
        <v>1679</v>
      </c>
      <c r="M64" t="s">
        <v>532</v>
      </c>
      <c r="N64" t="s">
        <v>1491</v>
      </c>
      <c r="O64" t="s">
        <v>1705</v>
      </c>
    </row>
    <row r="65">
      <c r="A65" t="s">
        <v>1561</v>
      </c>
      <c r="B65" t="s">
        <v>55</v>
      </c>
      <c r="C65" s="24" t="n">
        <v>-0.128441271886663</v>
      </c>
      <c r="D65" s="24" t="n">
        <v>0.115560227209637</v>
      </c>
      <c r="E65" s="24" t="n">
        <v>-1.11146607261042</v>
      </c>
      <c r="F65" t="n">
        <v>0.267304528247424</v>
      </c>
      <c r="G65" t="n">
        <v>285</v>
      </c>
      <c r="H65" t="s">
        <v>1520</v>
      </c>
      <c r="I65" s="24" t="n">
        <v>0.879465210234354</v>
      </c>
      <c r="J65" s="24" t="n">
        <v>0.700541915034387</v>
      </c>
      <c r="K65" s="24" t="n">
        <v>1.10408676399411</v>
      </c>
      <c r="L65" t="s">
        <v>1680</v>
      </c>
      <c r="M65" t="s">
        <v>438</v>
      </c>
      <c r="N65" t="s">
        <v>1491</v>
      </c>
      <c r="O65" t="s">
        <v>1705</v>
      </c>
    </row>
    <row r="66">
      <c r="A66" t="s">
        <v>1561</v>
      </c>
      <c r="B66" t="s">
        <v>89</v>
      </c>
      <c r="C66" s="24" t="n">
        <v>-0.00780009836939094</v>
      </c>
      <c r="D66" s="24" t="n">
        <v>0.00655038598335337</v>
      </c>
      <c r="E66" s="24" t="n">
        <v>-1.19078454143214</v>
      </c>
      <c r="F66" t="n">
        <v>0.234729012906914</v>
      </c>
      <c r="G66" t="n">
        <v>285</v>
      </c>
      <c r="H66" t="s">
        <v>1520</v>
      </c>
      <c r="I66" s="24" t="n">
        <v>0.9922302434569</v>
      </c>
      <c r="J66" s="24" t="n">
        <v>0.979519267384061</v>
      </c>
      <c r="K66" s="24" t="n">
        <v>1.00510616668096</v>
      </c>
      <c r="L66" t="s">
        <v>1681</v>
      </c>
      <c r="M66" t="s">
        <v>429</v>
      </c>
      <c r="N66" t="s">
        <v>1491</v>
      </c>
      <c r="O66" t="s">
        <v>1705</v>
      </c>
    </row>
  </sheetData>
  <pageMargins left="0.7" right="0.7" top="0.75" bottom="0.75" header="0.3" footer="0.3"/>
  <pageSetup paperSize="9" orientation="portrait" horizontalDpi="300" verticalDpi="300"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 t="s">
        <v>1706</v>
      </c>
    </row>
    <row r="2">
      <c r="A2" t="s">
        <v>1707</v>
      </c>
      <c r="B2" t="s">
        <v>5</v>
      </c>
    </row>
    <row r="3">
      <c r="A3" t="s">
        <v>1708</v>
      </c>
      <c r="B3" t="s">
        <v>1709</v>
      </c>
    </row>
    <row r="4">
      <c r="A4" t="s">
        <v>1710</v>
      </c>
      <c r="B4" t="s">
        <v>1711</v>
      </c>
    </row>
    <row r="5">
      <c r="A5" t="s">
        <v>1712</v>
      </c>
      <c r="B5" t="s">
        <v>1713</v>
      </c>
    </row>
    <row r="6">
      <c r="A6" t="s">
        <v>1714</v>
      </c>
      <c r="B6" t="s">
        <v>1715</v>
      </c>
    </row>
    <row r="7">
      <c r="A7" t="s">
        <v>1716</v>
      </c>
      <c r="B7" t="s">
        <v>1717</v>
      </c>
    </row>
    <row r="8">
      <c r="A8" t="s">
        <v>1718</v>
      </c>
      <c r="B8" t="s">
        <v>1719</v>
      </c>
    </row>
    <row r="9">
      <c r="A9" t="s">
        <v>1720</v>
      </c>
      <c r="B9" t="s">
        <v>1721</v>
      </c>
    </row>
    <row r="10">
      <c r="A10" t="s">
        <v>1722</v>
      </c>
      <c r="B10" t="s">
        <v>1723</v>
      </c>
    </row>
    <row r="11">
      <c r="A11" t="s">
        <v>1724</v>
      </c>
      <c r="B11" t="s">
        <v>1725</v>
      </c>
    </row>
    <row r="12">
      <c r="A12" t="s">
        <v>1726</v>
      </c>
      <c r="B12" t="s">
        <v>30</v>
      </c>
    </row>
    <row r="13">
      <c r="A13" t="s">
        <v>1727</v>
      </c>
      <c r="B13" t="s">
        <v>1728</v>
      </c>
    </row>
    <row r="14">
      <c r="A14" t="s">
        <v>1729</v>
      </c>
      <c r="B14" t="s">
        <v>1730</v>
      </c>
    </row>
    <row r="16">
      <c r="A16" s="1" t="s">
        <v>1731</v>
      </c>
    </row>
    <row r="17">
      <c r="A17" t="s">
        <v>1732</v>
      </c>
    </row>
    <row r="18">
      <c r="A18" t="s">
        <v>1480</v>
      </c>
    </row>
    <row r="19">
      <c r="A19" t="s">
        <v>55</v>
      </c>
    </row>
    <row r="20">
      <c r="A20" t="s">
        <v>89</v>
      </c>
    </row>
    <row r="21">
      <c r="A21" t="s">
        <v>76</v>
      </c>
    </row>
    <row r="23">
      <c r="A23" s="1" t="s">
        <v>1733</v>
      </c>
    </row>
    <row r="24">
      <c r="A24" t="s">
        <v>1734</v>
      </c>
      <c r="B24" t="s">
        <v>1735</v>
      </c>
      <c r="C24" t="s">
        <v>1736</v>
      </c>
      <c r="D24" t="s">
        <v>1737</v>
      </c>
      <c r="E24" t="s">
        <v>1738</v>
      </c>
    </row>
    <row r="25">
      <c r="A25" t="s">
        <v>1739</v>
      </c>
      <c r="B25" t="s">
        <v>1710</v>
      </c>
      <c r="C25" s="25" t="n">
        <v>1.39950650587045</v>
      </c>
      <c r="D25" s="25" t="n">
        <v>0.138759290707437</v>
      </c>
      <c r="E25" t="s">
        <v>109</v>
      </c>
    </row>
    <row r="26">
      <c r="A26" t="s">
        <v>1480</v>
      </c>
      <c r="B26" t="s">
        <v>1740</v>
      </c>
      <c r="C26" s="25" t="n">
        <v>0.515517345494079</v>
      </c>
      <c r="D26" s="25" t="n">
        <v>0.0457177950092716</v>
      </c>
      <c r="E26" t="s">
        <v>1721</v>
      </c>
    </row>
    <row r="27">
      <c r="A27" t="s">
        <v>55</v>
      </c>
      <c r="B27" t="s">
        <v>1740</v>
      </c>
      <c r="C27" s="25" t="n">
        <v>-0.753137528918398</v>
      </c>
      <c r="D27" s="25" t="n">
        <v>-0.0680694550453371</v>
      </c>
      <c r="E27" t="s">
        <v>1721</v>
      </c>
    </row>
    <row r="28">
      <c r="A28" t="s">
        <v>89</v>
      </c>
      <c r="B28" t="s">
        <v>1740</v>
      </c>
      <c r="C28" s="25" t="n">
        <v>-0.618741180905526</v>
      </c>
      <c r="D28" s="25" t="n">
        <v>-0.108731770769021</v>
      </c>
      <c r="E28" t="s">
        <v>1717</v>
      </c>
    </row>
    <row r="29">
      <c r="A29" t="s">
        <v>76</v>
      </c>
      <c r="B29" t="s">
        <v>1740</v>
      </c>
      <c r="C29" s="25" t="n">
        <v>0.697831935747405</v>
      </c>
      <c r="D29" s="25" t="n">
        <v>0.096561682799486</v>
      </c>
      <c r="E29" t="s">
        <v>1721</v>
      </c>
    </row>
    <row r="31">
      <c r="A31" s="1" t="s">
        <v>1741</v>
      </c>
    </row>
    <row r="32">
      <c r="A32" t="s">
        <v>1728</v>
      </c>
      <c r="B32" t="s">
        <v>29</v>
      </c>
      <c r="C32" t="s">
        <v>1739</v>
      </c>
      <c r="D32" t="s">
        <v>1742</v>
      </c>
    </row>
    <row r="33">
      <c r="A33" t="s">
        <v>615</v>
      </c>
      <c r="B33" t="s">
        <v>31</v>
      </c>
      <c r="C33" s="25" t="n">
        <v>1.08567236307333</v>
      </c>
      <c r="D33" s="25" t="n">
        <v>1</v>
      </c>
    </row>
    <row r="34">
      <c r="A34" t="s">
        <v>615</v>
      </c>
      <c r="B34" t="s">
        <v>31</v>
      </c>
      <c r="C34" s="25" t="n">
        <v>1.86355725547076</v>
      </c>
      <c r="D34" s="25" t="n">
        <v>1</v>
      </c>
    </row>
    <row r="35">
      <c r="A35" t="s">
        <v>620</v>
      </c>
      <c r="B35" t="s">
        <v>30</v>
      </c>
      <c r="C35" s="25" t="n">
        <v>-0.598262173125147</v>
      </c>
      <c r="D35" s="25" t="n">
        <v>0.706185567010309</v>
      </c>
    </row>
    <row r="36">
      <c r="A36" t="s">
        <v>620</v>
      </c>
      <c r="B36" t="s">
        <v>30</v>
      </c>
      <c r="C36" s="25" t="n">
        <v>-0.450001740328835</v>
      </c>
      <c r="D36" s="25" t="n">
        <v>1.41237113402062</v>
      </c>
    </row>
    <row r="37">
      <c r="A37" t="s">
        <v>625</v>
      </c>
      <c r="B37" t="s">
        <v>30</v>
      </c>
      <c r="C37" s="25" t="n">
        <v>-0.611112378222482</v>
      </c>
      <c r="D37" s="25" t="n">
        <v>0.706185567010309</v>
      </c>
    </row>
    <row r="38">
      <c r="A38" t="s">
        <v>625</v>
      </c>
      <c r="B38" t="s">
        <v>30</v>
      </c>
      <c r="C38" s="25" t="n">
        <v>0.340212847392596</v>
      </c>
      <c r="D38" s="25" t="n">
        <v>1.41237113402062</v>
      </c>
    </row>
    <row r="39">
      <c r="A39" t="s">
        <v>628</v>
      </c>
      <c r="B39" t="s">
        <v>30</v>
      </c>
      <c r="C39" s="25" t="n">
        <v>0.980398952099926</v>
      </c>
      <c r="D39" s="25" t="n">
        <v>1.41237113402062</v>
      </c>
    </row>
    <row r="40">
      <c r="A40" t="s">
        <v>630</v>
      </c>
      <c r="B40" t="s">
        <v>30</v>
      </c>
      <c r="C40" s="25" t="n">
        <v>0.254822493278424</v>
      </c>
      <c r="D40" s="25" t="n">
        <v>1.41237113402062</v>
      </c>
    </row>
    <row r="41">
      <c r="A41" t="s">
        <v>630</v>
      </c>
      <c r="B41" t="s">
        <v>30</v>
      </c>
      <c r="C41" s="25" t="n">
        <v>1.45544754975209</v>
      </c>
      <c r="D41" s="25" t="n">
        <v>1.41237113402062</v>
      </c>
    </row>
    <row r="42">
      <c r="A42" t="s">
        <v>633</v>
      </c>
      <c r="B42" t="s">
        <v>30</v>
      </c>
      <c r="C42" s="25" t="n">
        <v>0.0358597550804127</v>
      </c>
      <c r="D42" s="25" t="n">
        <v>1.41237113402062</v>
      </c>
    </row>
    <row r="43">
      <c r="A43" t="s">
        <v>633</v>
      </c>
      <c r="B43" t="s">
        <v>30</v>
      </c>
      <c r="C43" s="25" t="n">
        <v>-0.815598480300011</v>
      </c>
      <c r="D43" s="25" t="n">
        <v>0.706185567010309</v>
      </c>
    </row>
    <row r="44">
      <c r="A44" t="s">
        <v>638</v>
      </c>
      <c r="B44" t="s">
        <v>31</v>
      </c>
      <c r="C44" s="25" t="n">
        <v>0.426126957563125</v>
      </c>
      <c r="D44" s="25" t="n">
        <v>1</v>
      </c>
    </row>
    <row r="45">
      <c r="A45" t="s">
        <v>644</v>
      </c>
      <c r="B45" t="s">
        <v>30</v>
      </c>
      <c r="C45" s="25" t="n">
        <v>-0.506791070518738</v>
      </c>
      <c r="D45" s="25" t="n">
        <v>0.706185567010309</v>
      </c>
    </row>
    <row r="46">
      <c r="A46" t="s">
        <v>646</v>
      </c>
      <c r="B46" t="s">
        <v>30</v>
      </c>
      <c r="C46" s="25" t="n">
        <v>-0.616333874561353</v>
      </c>
      <c r="D46" s="25" t="n">
        <v>0.706185567010309</v>
      </c>
    </row>
    <row r="47">
      <c r="A47" t="s">
        <v>648</v>
      </c>
      <c r="B47" t="s">
        <v>31</v>
      </c>
      <c r="C47" s="25" t="n">
        <v>-0.294089477937985</v>
      </c>
      <c r="D47" s="25" t="n">
        <v>1</v>
      </c>
    </row>
    <row r="48">
      <c r="A48" t="s">
        <v>665</v>
      </c>
      <c r="B48" t="s">
        <v>31</v>
      </c>
      <c r="C48" s="25" t="n">
        <v>-0.651795240915853</v>
      </c>
      <c r="D48" s="25" t="n">
        <v>1</v>
      </c>
    </row>
    <row r="49">
      <c r="A49" t="s">
        <v>667</v>
      </c>
      <c r="B49" t="s">
        <v>30</v>
      </c>
      <c r="C49" s="25" t="n">
        <v>-1.19190737653801</v>
      </c>
      <c r="D49" s="25" t="n">
        <v>0.706185567010309</v>
      </c>
    </row>
    <row r="50">
      <c r="A50" t="s">
        <v>678</v>
      </c>
      <c r="B50" t="s">
        <v>31</v>
      </c>
      <c r="C50" s="25" t="n">
        <v>0.421869763279412</v>
      </c>
      <c r="D50" s="25" t="n">
        <v>1</v>
      </c>
    </row>
    <row r="51">
      <c r="A51" t="s">
        <v>678</v>
      </c>
      <c r="B51" t="s">
        <v>31</v>
      </c>
      <c r="C51" s="25" t="n">
        <v>1.38535083593908</v>
      </c>
      <c r="D51" s="25" t="n">
        <v>1</v>
      </c>
    </row>
    <row r="52">
      <c r="A52" t="s">
        <v>681</v>
      </c>
      <c r="B52" t="s">
        <v>30</v>
      </c>
      <c r="C52" s="25" t="n">
        <v>-0.329926338775191</v>
      </c>
      <c r="D52" s="25" t="n">
        <v>1.41237113402062</v>
      </c>
    </row>
    <row r="53">
      <c r="A53" t="s">
        <v>1395</v>
      </c>
      <c r="B53" t="s">
        <v>30</v>
      </c>
      <c r="C53" s="25" t="n">
        <v>-1.55960210641749</v>
      </c>
      <c r="D53" s="25" t="n">
        <v>0.706185567010309</v>
      </c>
    </row>
    <row r="54">
      <c r="A54" t="s">
        <v>1395</v>
      </c>
      <c r="B54" t="s">
        <v>30</v>
      </c>
      <c r="C54" s="25" t="n">
        <v>-0.819134888875379</v>
      </c>
      <c r="D54" s="25" t="n">
        <v>0.706185567010309</v>
      </c>
    </row>
    <row r="55">
      <c r="A55" t="s">
        <v>690</v>
      </c>
      <c r="B55" t="s">
        <v>31</v>
      </c>
      <c r="C55" s="25" t="n">
        <v>0.714668079698382</v>
      </c>
      <c r="D55" s="25" t="n">
        <v>1</v>
      </c>
    </row>
    <row r="56">
      <c r="A56" t="s">
        <v>693</v>
      </c>
      <c r="B56" t="s">
        <v>31</v>
      </c>
      <c r="C56" s="25" t="n">
        <v>-0.00257679559449919</v>
      </c>
      <c r="D56" s="25" t="n">
        <v>1</v>
      </c>
    </row>
    <row r="57">
      <c r="A57" t="s">
        <v>696</v>
      </c>
      <c r="B57" t="s">
        <v>30</v>
      </c>
      <c r="C57" s="25" t="n">
        <v>-0.720116074673607</v>
      </c>
      <c r="D57" s="25" t="n">
        <v>0.706185567010309</v>
      </c>
    </row>
    <row r="58">
      <c r="A58" t="s">
        <v>705</v>
      </c>
      <c r="B58" t="s">
        <v>30</v>
      </c>
      <c r="C58" s="25" t="n">
        <v>-0.571666287992868</v>
      </c>
      <c r="D58" s="25" t="n">
        <v>0.706185567010309</v>
      </c>
    </row>
    <row r="59">
      <c r="A59" t="s">
        <v>707</v>
      </c>
      <c r="B59" t="s">
        <v>31</v>
      </c>
      <c r="C59" s="25" t="n">
        <v>-0.404002126523435</v>
      </c>
      <c r="D59" s="25" t="n">
        <v>1</v>
      </c>
    </row>
    <row r="60">
      <c r="A60" t="s">
        <v>1407</v>
      </c>
      <c r="B60" t="s">
        <v>30</v>
      </c>
      <c r="C60" s="25" t="n">
        <v>1.87730986385681</v>
      </c>
      <c r="D60" s="25" t="n">
        <v>1.41237113402062</v>
      </c>
    </row>
    <row r="61">
      <c r="A61" t="s">
        <v>1407</v>
      </c>
      <c r="B61" t="s">
        <v>30</v>
      </c>
      <c r="C61" s="25" t="n">
        <v>0.711979940689288</v>
      </c>
      <c r="D61" s="25" t="n">
        <v>1.41237113402062</v>
      </c>
    </row>
    <row r="62">
      <c r="A62" t="s">
        <v>717</v>
      </c>
      <c r="B62" t="s">
        <v>31</v>
      </c>
      <c r="C62" s="25" t="n">
        <v>-0.884828266192094</v>
      </c>
      <c r="D62" s="25" t="n">
        <v>1</v>
      </c>
    </row>
    <row r="63">
      <c r="A63" t="s">
        <v>719</v>
      </c>
      <c r="B63" t="s">
        <v>30</v>
      </c>
      <c r="C63" s="25" t="n">
        <v>-1.31648164618033</v>
      </c>
      <c r="D63" s="25" t="n">
        <v>0.706185567010309</v>
      </c>
    </row>
    <row r="64">
      <c r="A64" t="s">
        <v>722</v>
      </c>
      <c r="B64" t="s">
        <v>30</v>
      </c>
      <c r="C64" s="25" t="n">
        <v>-0.976855260406231</v>
      </c>
      <c r="D64" s="25" t="n">
        <v>0.706185567010309</v>
      </c>
    </row>
    <row r="65">
      <c r="A65" t="s">
        <v>722</v>
      </c>
      <c r="B65" t="s">
        <v>30</v>
      </c>
      <c r="C65" s="25" t="n">
        <v>-1.27150936011848</v>
      </c>
      <c r="D65" s="25" t="n">
        <v>0.706185567010309</v>
      </c>
    </row>
    <row r="66">
      <c r="A66" t="s">
        <v>728</v>
      </c>
      <c r="B66" t="s">
        <v>30</v>
      </c>
      <c r="C66" s="25" t="n">
        <v>-1.4475361180029</v>
      </c>
      <c r="D66" s="25" t="n">
        <v>0.706185567010309</v>
      </c>
    </row>
    <row r="67">
      <c r="A67" t="s">
        <v>734</v>
      </c>
      <c r="B67" t="s">
        <v>30</v>
      </c>
      <c r="C67" s="25" t="n">
        <v>-0.334926252144879</v>
      </c>
      <c r="D67" s="25" t="n">
        <v>1.41237113402062</v>
      </c>
    </row>
    <row r="68">
      <c r="A68" t="s">
        <v>734</v>
      </c>
      <c r="B68" t="s">
        <v>30</v>
      </c>
      <c r="C68" s="25" t="n">
        <v>-0.201647524430807</v>
      </c>
      <c r="D68" s="25" t="n">
        <v>1.41237113402062</v>
      </c>
    </row>
    <row r="69">
      <c r="A69" t="s">
        <v>737</v>
      </c>
      <c r="B69" t="s">
        <v>30</v>
      </c>
      <c r="C69" s="25" t="n">
        <v>3.29609825057394</v>
      </c>
      <c r="D69" s="25" t="n">
        <v>1.41237113402062</v>
      </c>
    </row>
    <row r="70">
      <c r="A70" t="s">
        <v>737</v>
      </c>
      <c r="B70" t="s">
        <v>30</v>
      </c>
      <c r="C70" s="25" t="n">
        <v>2.19549740266798</v>
      </c>
      <c r="D70" s="25" t="n">
        <v>1.41237113402062</v>
      </c>
    </row>
    <row r="71">
      <c r="A71" t="s">
        <v>753</v>
      </c>
      <c r="B71" t="s">
        <v>30</v>
      </c>
      <c r="C71" s="25" t="n">
        <v>-2.18866674550484</v>
      </c>
      <c r="D71" s="25" t="n">
        <v>0.706185567010309</v>
      </c>
    </row>
    <row r="72">
      <c r="A72" t="s">
        <v>756</v>
      </c>
      <c r="B72" t="s">
        <v>30</v>
      </c>
      <c r="C72" s="25" t="n">
        <v>-1.27558487628534</v>
      </c>
      <c r="D72" s="25" t="n">
        <v>0.706185567010309</v>
      </c>
    </row>
    <row r="73">
      <c r="A73" t="s">
        <v>759</v>
      </c>
      <c r="B73" t="s">
        <v>31</v>
      </c>
      <c r="C73" s="25" t="n">
        <v>-0.576735153810062</v>
      </c>
      <c r="D73" s="25" t="n">
        <v>1</v>
      </c>
    </row>
    <row r="74">
      <c r="A74" t="s">
        <v>768</v>
      </c>
      <c r="B74" t="s">
        <v>30</v>
      </c>
      <c r="C74" s="25" t="n">
        <v>-1.21016159446031</v>
      </c>
      <c r="D74" s="25" t="n">
        <v>0.706185567010309</v>
      </c>
    </row>
    <row r="75">
      <c r="A75" t="s">
        <v>774</v>
      </c>
      <c r="B75" t="s">
        <v>30</v>
      </c>
      <c r="C75" s="25" t="n">
        <v>-0.36951083491331</v>
      </c>
      <c r="D75" s="25" t="n">
        <v>1.41237113402062</v>
      </c>
    </row>
    <row r="76">
      <c r="A76" t="s">
        <v>1412</v>
      </c>
      <c r="B76" t="s">
        <v>30</v>
      </c>
      <c r="C76" s="25" t="n">
        <v>-0.32171200393386</v>
      </c>
      <c r="D76" s="25" t="n">
        <v>1.41237113402062</v>
      </c>
    </row>
    <row r="77">
      <c r="A77" t="s">
        <v>780</v>
      </c>
      <c r="B77" t="s">
        <v>30</v>
      </c>
      <c r="C77" s="25" t="n">
        <v>-2.2884682441814</v>
      </c>
      <c r="D77" s="25" t="n">
        <v>0.706185567010309</v>
      </c>
    </row>
    <row r="78">
      <c r="A78" t="s">
        <v>783</v>
      </c>
      <c r="B78" t="s">
        <v>30</v>
      </c>
      <c r="C78" s="25" t="n">
        <v>-0.617464409664861</v>
      </c>
      <c r="D78" s="25" t="n">
        <v>0.706185567010309</v>
      </c>
    </row>
    <row r="79">
      <c r="A79" t="s">
        <v>786</v>
      </c>
      <c r="B79" t="s">
        <v>31</v>
      </c>
      <c r="C79" s="25" t="n">
        <v>1.2500391698328</v>
      </c>
      <c r="D79" s="25" t="n">
        <v>1</v>
      </c>
    </row>
    <row r="80">
      <c r="A80" t="s">
        <v>789</v>
      </c>
      <c r="B80" t="s">
        <v>31</v>
      </c>
      <c r="C80" s="25" t="n">
        <v>-2.487991717802</v>
      </c>
      <c r="D80" s="25" t="n">
        <v>1</v>
      </c>
    </row>
    <row r="81">
      <c r="A81" t="s">
        <v>789</v>
      </c>
      <c r="B81" t="s">
        <v>31</v>
      </c>
      <c r="C81" s="25" t="n">
        <v>-2.177870191722</v>
      </c>
      <c r="D81" s="25" t="n">
        <v>1</v>
      </c>
    </row>
    <row r="82">
      <c r="A82" t="s">
        <v>798</v>
      </c>
      <c r="B82" t="s">
        <v>31</v>
      </c>
      <c r="C82" s="25" t="n">
        <v>0.203365636088289</v>
      </c>
      <c r="D82" s="25" t="n">
        <v>1</v>
      </c>
    </row>
    <row r="83">
      <c r="A83" t="s">
        <v>798</v>
      </c>
      <c r="B83" t="s">
        <v>31</v>
      </c>
      <c r="C83" s="25" t="n">
        <v>0.0718525532588334</v>
      </c>
      <c r="D83" s="25" t="n">
        <v>1</v>
      </c>
    </row>
    <row r="84">
      <c r="A84" t="s">
        <v>801</v>
      </c>
      <c r="B84" t="s">
        <v>31</v>
      </c>
      <c r="C84" s="25" t="n">
        <v>-0.295774565701496</v>
      </c>
      <c r="D84" s="25" t="n">
        <v>1</v>
      </c>
    </row>
    <row r="85">
      <c r="A85" t="s">
        <v>801</v>
      </c>
      <c r="B85" t="s">
        <v>31</v>
      </c>
      <c r="C85" s="25" t="n">
        <v>0.277710587425606</v>
      </c>
      <c r="D85" s="25" t="n">
        <v>1</v>
      </c>
    </row>
    <row r="86">
      <c r="A86" t="s">
        <v>806</v>
      </c>
      <c r="B86" t="s">
        <v>31</v>
      </c>
      <c r="C86" s="25" t="n">
        <v>-0.800243840138131</v>
      </c>
      <c r="D86" s="25" t="n">
        <v>1</v>
      </c>
    </row>
    <row r="87">
      <c r="A87" t="s">
        <v>806</v>
      </c>
      <c r="B87" t="s">
        <v>31</v>
      </c>
      <c r="C87" s="25" t="n">
        <v>-0.375967976793985</v>
      </c>
      <c r="D87" s="25" t="n">
        <v>1</v>
      </c>
    </row>
    <row r="88">
      <c r="A88" t="s">
        <v>812</v>
      </c>
      <c r="B88" t="s">
        <v>30</v>
      </c>
      <c r="C88" s="25" t="n">
        <v>-0.534049084618997</v>
      </c>
      <c r="D88" s="25" t="n">
        <v>0.706185567010309</v>
      </c>
    </row>
    <row r="89">
      <c r="A89" t="s">
        <v>812</v>
      </c>
      <c r="B89" t="s">
        <v>30</v>
      </c>
      <c r="C89" s="25" t="n">
        <v>-0.0133916586427651</v>
      </c>
      <c r="D89" s="25" t="n">
        <v>1.41237113402062</v>
      </c>
    </row>
    <row r="90">
      <c r="A90" t="s">
        <v>820</v>
      </c>
      <c r="B90" t="s">
        <v>31</v>
      </c>
      <c r="C90" s="25" t="n">
        <v>0.691631723977556</v>
      </c>
      <c r="D90" s="25" t="n">
        <v>1</v>
      </c>
    </row>
    <row r="91">
      <c r="A91" t="s">
        <v>820</v>
      </c>
      <c r="B91" t="s">
        <v>31</v>
      </c>
      <c r="C91" s="25" t="n">
        <v>1.24742067015115</v>
      </c>
      <c r="D91" s="25" t="n">
        <v>1</v>
      </c>
    </row>
    <row r="92">
      <c r="A92" t="s">
        <v>823</v>
      </c>
      <c r="B92" t="s">
        <v>30</v>
      </c>
      <c r="C92" s="25" t="n">
        <v>-2.20394481798815</v>
      </c>
      <c r="D92" s="25" t="n">
        <v>0.706185567010309</v>
      </c>
    </row>
    <row r="93">
      <c r="A93" t="s">
        <v>826</v>
      </c>
      <c r="B93" t="s">
        <v>31</v>
      </c>
      <c r="C93" s="25" t="n">
        <v>0.923546535685117</v>
      </c>
      <c r="D93" s="25" t="n">
        <v>1</v>
      </c>
    </row>
    <row r="94">
      <c r="A94" t="s">
        <v>830</v>
      </c>
      <c r="B94" t="s">
        <v>30</v>
      </c>
      <c r="C94" s="25" t="n">
        <v>0.451427413491279</v>
      </c>
      <c r="D94" s="25" t="n">
        <v>1.41237113402062</v>
      </c>
    </row>
    <row r="95">
      <c r="A95" t="s">
        <v>830</v>
      </c>
      <c r="B95" t="s">
        <v>30</v>
      </c>
      <c r="C95" s="25" t="n">
        <v>1.07109385854064</v>
      </c>
      <c r="D95" s="25" t="n">
        <v>1.41237113402062</v>
      </c>
    </row>
    <row r="96">
      <c r="A96" t="s">
        <v>1417</v>
      </c>
      <c r="B96" t="s">
        <v>30</v>
      </c>
      <c r="C96" s="25" t="n">
        <v>-2.17566911720309</v>
      </c>
      <c r="D96" s="25" t="n">
        <v>0.706185567010309</v>
      </c>
    </row>
    <row r="97">
      <c r="A97" t="s">
        <v>838</v>
      </c>
      <c r="B97" t="s">
        <v>30</v>
      </c>
      <c r="C97" s="25" t="n">
        <v>0.443191145272326</v>
      </c>
      <c r="D97" s="25" t="n">
        <v>1.41237113402062</v>
      </c>
    </row>
    <row r="98">
      <c r="A98" t="s">
        <v>840</v>
      </c>
      <c r="B98" t="s">
        <v>31</v>
      </c>
      <c r="C98" s="25" t="n">
        <v>0.464038564723227</v>
      </c>
      <c r="D98" s="25" t="n">
        <v>1</v>
      </c>
    </row>
    <row r="99">
      <c r="A99" t="s">
        <v>842</v>
      </c>
      <c r="B99" t="s">
        <v>30</v>
      </c>
      <c r="C99" s="25" t="n">
        <v>0.0754430307631939</v>
      </c>
      <c r="D99" s="25" t="n">
        <v>1.41237113402062</v>
      </c>
    </row>
    <row r="100">
      <c r="A100" t="s">
        <v>842</v>
      </c>
      <c r="B100" t="s">
        <v>30</v>
      </c>
      <c r="C100" s="25" t="n">
        <v>-0.109235240605318</v>
      </c>
      <c r="D100" s="25" t="n">
        <v>1.41237113402062</v>
      </c>
    </row>
    <row r="101">
      <c r="A101" t="s">
        <v>1420</v>
      </c>
      <c r="B101" t="s">
        <v>31</v>
      </c>
      <c r="C101" s="25" t="n">
        <v>2.27226713085447</v>
      </c>
      <c r="D101" s="25" t="n">
        <v>1</v>
      </c>
    </row>
    <row r="102">
      <c r="A102" t="s">
        <v>848</v>
      </c>
      <c r="B102" t="s">
        <v>31</v>
      </c>
      <c r="C102" s="25" t="n">
        <v>1.09967953092978</v>
      </c>
      <c r="D102" s="25" t="n">
        <v>1</v>
      </c>
    </row>
    <row r="103">
      <c r="A103" t="s">
        <v>848</v>
      </c>
      <c r="B103" t="s">
        <v>31</v>
      </c>
      <c r="C103" s="25" t="n">
        <v>1.90368678595947</v>
      </c>
      <c r="D103" s="25" t="n">
        <v>1</v>
      </c>
    </row>
    <row r="104">
      <c r="A104" t="s">
        <v>851</v>
      </c>
      <c r="B104" t="s">
        <v>31</v>
      </c>
      <c r="C104" s="25" t="n">
        <v>2.14732894342843</v>
      </c>
      <c r="D104" s="25" t="n">
        <v>1</v>
      </c>
    </row>
    <row r="105">
      <c r="A105" t="s">
        <v>851</v>
      </c>
      <c r="B105" t="s">
        <v>31</v>
      </c>
      <c r="C105" s="25" t="n">
        <v>2.14087067462579</v>
      </c>
      <c r="D105" s="25" t="n">
        <v>1</v>
      </c>
    </row>
    <row r="106">
      <c r="A106" t="s">
        <v>1423</v>
      </c>
      <c r="B106" t="s">
        <v>30</v>
      </c>
      <c r="C106" s="25" t="n">
        <v>-0.723743369074099</v>
      </c>
      <c r="D106" s="25" t="n">
        <v>0.706185567010309</v>
      </c>
    </row>
    <row r="107">
      <c r="A107" t="s">
        <v>1423</v>
      </c>
      <c r="B107" t="s">
        <v>30</v>
      </c>
      <c r="C107" s="25" t="n">
        <v>-0.539336226585845</v>
      </c>
      <c r="D107" s="25" t="n">
        <v>0.706185567010309</v>
      </c>
    </row>
    <row r="108">
      <c r="A108" t="s">
        <v>857</v>
      </c>
      <c r="B108" t="s">
        <v>30</v>
      </c>
      <c r="C108" s="25" t="n">
        <v>-0.752544697673323</v>
      </c>
      <c r="D108" s="25" t="n">
        <v>0.706185567010309</v>
      </c>
    </row>
    <row r="109">
      <c r="A109" t="s">
        <v>857</v>
      </c>
      <c r="B109" t="s">
        <v>30</v>
      </c>
      <c r="C109" s="25" t="n">
        <v>-0.190297482697093</v>
      </c>
      <c r="D109" s="25" t="n">
        <v>1.41237113402062</v>
      </c>
    </row>
    <row r="110">
      <c r="A110" t="s">
        <v>860</v>
      </c>
      <c r="B110" t="s">
        <v>30</v>
      </c>
      <c r="C110" s="25" t="n">
        <v>-0.916942517319149</v>
      </c>
      <c r="D110" s="25" t="n">
        <v>0.706185567010309</v>
      </c>
    </row>
    <row r="111">
      <c r="A111" t="s">
        <v>860</v>
      </c>
      <c r="B111" t="s">
        <v>30</v>
      </c>
      <c r="C111" s="25" t="n">
        <v>0.445057911152697</v>
      </c>
      <c r="D111" s="25" t="n">
        <v>1.41237113402062</v>
      </c>
    </row>
    <row r="112">
      <c r="A112" t="s">
        <v>863</v>
      </c>
      <c r="B112" t="s">
        <v>31</v>
      </c>
      <c r="C112" s="25" t="n">
        <v>0.578684489495478</v>
      </c>
      <c r="D112" s="25" t="n">
        <v>1</v>
      </c>
    </row>
    <row r="113">
      <c r="A113" t="s">
        <v>872</v>
      </c>
      <c r="B113" t="s">
        <v>31</v>
      </c>
      <c r="C113" s="25" t="n">
        <v>-0.835718625733451</v>
      </c>
      <c r="D113" s="25" t="n">
        <v>1</v>
      </c>
    </row>
    <row r="114">
      <c r="A114" t="s">
        <v>878</v>
      </c>
      <c r="B114" t="s">
        <v>31</v>
      </c>
      <c r="C114" s="25" t="n">
        <v>-1.64472005065957</v>
      </c>
      <c r="D114" s="25" t="n">
        <v>1</v>
      </c>
    </row>
    <row r="115">
      <c r="A115" t="s">
        <v>878</v>
      </c>
      <c r="B115" t="s">
        <v>31</v>
      </c>
      <c r="C115" s="25" t="n">
        <v>-1.22588726662348</v>
      </c>
      <c r="D115" s="25" t="n">
        <v>1</v>
      </c>
    </row>
    <row r="116">
      <c r="A116" t="s">
        <v>1426</v>
      </c>
      <c r="B116" t="s">
        <v>30</v>
      </c>
      <c r="C116" s="25" t="n">
        <v>-2.46189503540889</v>
      </c>
      <c r="D116" s="25" t="n">
        <v>0.706185567010309</v>
      </c>
    </row>
    <row r="117">
      <c r="A117" t="s">
        <v>1428</v>
      </c>
      <c r="B117" t="s">
        <v>31</v>
      </c>
      <c r="C117" s="25" t="n">
        <v>-0.538404840495399</v>
      </c>
      <c r="D117" s="25" t="n">
        <v>1</v>
      </c>
    </row>
    <row r="118">
      <c r="A118" t="s">
        <v>883</v>
      </c>
      <c r="B118" t="s">
        <v>30</v>
      </c>
      <c r="C118" s="25" t="n">
        <v>-1.3300822461312</v>
      </c>
      <c r="D118" s="25" t="n">
        <v>0.706185567010309</v>
      </c>
    </row>
    <row r="119">
      <c r="A119" t="s">
        <v>889</v>
      </c>
      <c r="B119" t="s">
        <v>31</v>
      </c>
      <c r="C119" s="25" t="n">
        <v>2.49903891698008</v>
      </c>
      <c r="D119" s="25" t="n">
        <v>1</v>
      </c>
    </row>
    <row r="120">
      <c r="A120" t="s">
        <v>1430</v>
      </c>
      <c r="B120" t="s">
        <v>31</v>
      </c>
      <c r="C120" s="25" t="n">
        <v>-0.268200214437391</v>
      </c>
      <c r="D120" s="25" t="n">
        <v>1</v>
      </c>
    </row>
    <row r="121">
      <c r="A121" t="s">
        <v>1430</v>
      </c>
      <c r="B121" t="s">
        <v>31</v>
      </c>
      <c r="C121" s="25" t="n">
        <v>0.388561797290561</v>
      </c>
      <c r="D121" s="25" t="n">
        <v>1</v>
      </c>
    </row>
    <row r="122">
      <c r="A122" t="s">
        <v>903</v>
      </c>
      <c r="B122" t="s">
        <v>31</v>
      </c>
      <c r="C122" s="25" t="n">
        <v>-2.21504428969401</v>
      </c>
      <c r="D122" s="25" t="n">
        <v>1</v>
      </c>
    </row>
    <row r="123">
      <c r="A123" t="s">
        <v>903</v>
      </c>
      <c r="B123" t="s">
        <v>31</v>
      </c>
      <c r="C123" s="25" t="n">
        <v>-1.98809850121911</v>
      </c>
      <c r="D123" s="25" t="n">
        <v>1</v>
      </c>
    </row>
    <row r="124">
      <c r="A124" t="s">
        <v>909</v>
      </c>
      <c r="B124" t="s">
        <v>30</v>
      </c>
      <c r="C124" s="25" t="n">
        <v>0.368893774554898</v>
      </c>
      <c r="D124" s="25" t="n">
        <v>1.41237113402062</v>
      </c>
    </row>
    <row r="125">
      <c r="A125" t="s">
        <v>913</v>
      </c>
      <c r="B125" t="s">
        <v>30</v>
      </c>
      <c r="C125" s="25" t="n">
        <v>-0.498655389720163</v>
      </c>
      <c r="D125" s="25" t="n">
        <v>0.706185567010309</v>
      </c>
    </row>
    <row r="126">
      <c r="A126" t="s">
        <v>913</v>
      </c>
      <c r="B126" t="s">
        <v>30</v>
      </c>
      <c r="C126" s="25" t="n">
        <v>-0.866460879977822</v>
      </c>
      <c r="D126" s="25" t="n">
        <v>0.706185567010309</v>
      </c>
    </row>
    <row r="127">
      <c r="A127" t="s">
        <v>919</v>
      </c>
      <c r="B127" t="s">
        <v>30</v>
      </c>
      <c r="C127" s="25" t="n">
        <v>-1.309471854718</v>
      </c>
      <c r="D127" s="25" t="n">
        <v>0.706185567010309</v>
      </c>
    </row>
    <row r="128">
      <c r="A128" t="s">
        <v>924</v>
      </c>
      <c r="B128" t="s">
        <v>30</v>
      </c>
      <c r="C128" s="25" t="n">
        <v>-0.416933361780752</v>
      </c>
      <c r="D128" s="25" t="n">
        <v>1.41237113402062</v>
      </c>
    </row>
    <row r="129">
      <c r="A129" t="s">
        <v>924</v>
      </c>
      <c r="B129" t="s">
        <v>30</v>
      </c>
      <c r="C129" s="25" t="n">
        <v>0.169666730548212</v>
      </c>
      <c r="D129" s="25" t="n">
        <v>1.41237113402062</v>
      </c>
    </row>
    <row r="130">
      <c r="A130" t="s">
        <v>929</v>
      </c>
      <c r="B130" t="s">
        <v>30</v>
      </c>
      <c r="C130" s="25" t="n">
        <v>-1.28163482817393</v>
      </c>
      <c r="D130" s="25" t="n">
        <v>0.706185567010309</v>
      </c>
    </row>
    <row r="131">
      <c r="A131" t="s">
        <v>929</v>
      </c>
      <c r="B131" t="s">
        <v>30</v>
      </c>
      <c r="C131" s="25" t="n">
        <v>-2.30440189678709</v>
      </c>
      <c r="D131" s="25" t="n">
        <v>0.706185567010309</v>
      </c>
    </row>
    <row r="132">
      <c r="A132" t="s">
        <v>932</v>
      </c>
      <c r="B132" t="s">
        <v>30</v>
      </c>
      <c r="C132" s="25" t="n">
        <v>1.43520700288172</v>
      </c>
      <c r="D132" s="25" t="n">
        <v>1.41237113402062</v>
      </c>
    </row>
    <row r="133">
      <c r="A133" t="s">
        <v>932</v>
      </c>
      <c r="B133" t="s">
        <v>30</v>
      </c>
      <c r="C133" s="25" t="n">
        <v>0.795977584998492</v>
      </c>
      <c r="D133" s="25" t="n">
        <v>1.41237113402062</v>
      </c>
    </row>
    <row r="134">
      <c r="A134" t="s">
        <v>941</v>
      </c>
      <c r="B134" t="s">
        <v>30</v>
      </c>
      <c r="C134" s="25" t="n">
        <v>-0.0864856734396493</v>
      </c>
      <c r="D134" s="25" t="n">
        <v>1.41237113402062</v>
      </c>
    </row>
    <row r="135">
      <c r="A135" t="s">
        <v>941</v>
      </c>
      <c r="B135" t="s">
        <v>30</v>
      </c>
      <c r="C135" s="25" t="n">
        <v>-0.231343641087683</v>
      </c>
      <c r="D135" s="25" t="n">
        <v>1.41237113402062</v>
      </c>
    </row>
    <row r="136">
      <c r="A136" t="s">
        <v>944</v>
      </c>
      <c r="B136" t="s">
        <v>30</v>
      </c>
      <c r="C136" s="25" t="n">
        <v>-2.47315216548979</v>
      </c>
      <c r="D136" s="25" t="n">
        <v>0.706185567010309</v>
      </c>
    </row>
    <row r="137">
      <c r="A137" t="s">
        <v>946</v>
      </c>
      <c r="B137" t="s">
        <v>31</v>
      </c>
      <c r="C137" s="25" t="n">
        <v>-1.48111711595036</v>
      </c>
      <c r="D137" s="25" t="n">
        <v>1</v>
      </c>
    </row>
    <row r="138">
      <c r="A138" t="s">
        <v>946</v>
      </c>
      <c r="B138" t="s">
        <v>31</v>
      </c>
      <c r="C138" s="25" t="n">
        <v>-2.49096764695826</v>
      </c>
      <c r="D138" s="25" t="n">
        <v>1</v>
      </c>
    </row>
    <row r="139">
      <c r="A139" t="s">
        <v>1436</v>
      </c>
      <c r="B139" t="s">
        <v>30</v>
      </c>
      <c r="C139" s="25" t="n">
        <v>-0.340892993975913</v>
      </c>
      <c r="D139" s="25" t="n">
        <v>1.41237113402062</v>
      </c>
    </row>
    <row r="140">
      <c r="A140" t="s">
        <v>1436</v>
      </c>
      <c r="B140" t="s">
        <v>30</v>
      </c>
      <c r="C140" s="25" t="n">
        <v>-0.464998951016093</v>
      </c>
      <c r="D140" s="25" t="n">
        <v>1.41237113402062</v>
      </c>
    </row>
    <row r="141">
      <c r="A141" t="s">
        <v>960</v>
      </c>
      <c r="B141" t="s">
        <v>30</v>
      </c>
      <c r="C141" s="25" t="n">
        <v>-0.136434752035102</v>
      </c>
      <c r="D141" s="25" t="n">
        <v>1.41237113402062</v>
      </c>
    </row>
    <row r="142">
      <c r="A142" t="s">
        <v>963</v>
      </c>
      <c r="B142" t="s">
        <v>31</v>
      </c>
      <c r="C142" s="25" t="n">
        <v>0.279969037693044</v>
      </c>
      <c r="D142" s="25" t="n">
        <v>1</v>
      </c>
    </row>
    <row r="143">
      <c r="A143" t="s">
        <v>966</v>
      </c>
      <c r="B143" t="s">
        <v>31</v>
      </c>
      <c r="C143" s="25" t="n">
        <v>1.19562491651111</v>
      </c>
      <c r="D143" s="25" t="n">
        <v>1</v>
      </c>
    </row>
    <row r="144">
      <c r="A144" t="s">
        <v>971</v>
      </c>
      <c r="B144" t="s">
        <v>30</v>
      </c>
      <c r="C144" s="25" t="n">
        <v>-0.829602341336932</v>
      </c>
      <c r="D144" s="25" t="n">
        <v>0.706185567010309</v>
      </c>
    </row>
    <row r="145">
      <c r="A145" t="s">
        <v>974</v>
      </c>
      <c r="B145" t="s">
        <v>30</v>
      </c>
      <c r="C145" s="25" t="n">
        <v>-1.59537784464465</v>
      </c>
      <c r="D145" s="25" t="n">
        <v>0.706185567010309</v>
      </c>
    </row>
    <row r="146">
      <c r="A146" t="s">
        <v>976</v>
      </c>
      <c r="B146" t="s">
        <v>31</v>
      </c>
      <c r="C146" s="25" t="n">
        <v>-0.0613790338773456</v>
      </c>
      <c r="D146" s="25" t="n">
        <v>1</v>
      </c>
    </row>
    <row r="147">
      <c r="A147" t="s">
        <v>976</v>
      </c>
      <c r="B147" t="s">
        <v>31</v>
      </c>
      <c r="C147" s="25" t="n">
        <v>0.115199030384045</v>
      </c>
      <c r="D147" s="25" t="n">
        <v>1</v>
      </c>
    </row>
    <row r="148">
      <c r="A148" t="s">
        <v>985</v>
      </c>
      <c r="B148" t="s">
        <v>30</v>
      </c>
      <c r="C148" s="25" t="n">
        <v>-1.99492458873689</v>
      </c>
      <c r="D148" s="25" t="n">
        <v>0.706185567010309</v>
      </c>
    </row>
    <row r="149">
      <c r="A149" t="s">
        <v>988</v>
      </c>
      <c r="B149" t="s">
        <v>30</v>
      </c>
      <c r="C149" s="25" t="n">
        <v>-2.21629650722628</v>
      </c>
      <c r="D149" s="25" t="n">
        <v>0.706185567010309</v>
      </c>
    </row>
    <row r="150">
      <c r="A150" t="s">
        <v>1000</v>
      </c>
      <c r="B150" t="s">
        <v>31</v>
      </c>
      <c r="C150" s="25" t="n">
        <v>-0.170639255090068</v>
      </c>
      <c r="D150" s="25" t="n">
        <v>1</v>
      </c>
    </row>
    <row r="151">
      <c r="A151" t="s">
        <v>1004</v>
      </c>
      <c r="B151" t="s">
        <v>31</v>
      </c>
      <c r="C151" s="25" t="n">
        <v>0.183202278982995</v>
      </c>
      <c r="D151" s="25" t="n">
        <v>1</v>
      </c>
    </row>
    <row r="152">
      <c r="A152" t="s">
        <v>1007</v>
      </c>
      <c r="B152" t="s">
        <v>31</v>
      </c>
      <c r="C152" s="25" t="n">
        <v>-1.07133015230563</v>
      </c>
      <c r="D152" s="25" t="n">
        <v>1</v>
      </c>
    </row>
    <row r="153">
      <c r="A153" t="s">
        <v>1007</v>
      </c>
      <c r="B153" t="s">
        <v>31</v>
      </c>
      <c r="C153" s="25" t="n">
        <v>-1.16676285795107</v>
      </c>
      <c r="D153" s="25" t="n">
        <v>1</v>
      </c>
    </row>
    <row r="154">
      <c r="A154" t="s">
        <v>1010</v>
      </c>
      <c r="B154" t="s">
        <v>30</v>
      </c>
      <c r="C154" s="25" t="n">
        <v>-0.710259863740624</v>
      </c>
      <c r="D154" s="25" t="n">
        <v>0.706185567010309</v>
      </c>
    </row>
    <row r="155">
      <c r="A155" t="s">
        <v>1010</v>
      </c>
      <c r="B155" t="s">
        <v>30</v>
      </c>
      <c r="C155" s="25" t="n">
        <v>0.965372071730978</v>
      </c>
      <c r="D155" s="25" t="n">
        <v>1.41237113402062</v>
      </c>
    </row>
    <row r="156">
      <c r="A156" t="s">
        <v>1013</v>
      </c>
      <c r="B156" t="s">
        <v>31</v>
      </c>
      <c r="C156" s="25" t="n">
        <v>1.02135868714681</v>
      </c>
      <c r="D156" s="25" t="n">
        <v>1</v>
      </c>
    </row>
    <row r="157">
      <c r="A157" t="s">
        <v>1016</v>
      </c>
      <c r="B157" t="s">
        <v>31</v>
      </c>
      <c r="C157" s="25" t="n">
        <v>0.127405017451591</v>
      </c>
      <c r="D157" s="25" t="n">
        <v>1</v>
      </c>
    </row>
    <row r="158">
      <c r="A158" t="s">
        <v>1019</v>
      </c>
      <c r="B158" t="s">
        <v>31</v>
      </c>
      <c r="C158" s="25" t="n">
        <v>0.299055928623831</v>
      </c>
      <c r="D158" s="25" t="n">
        <v>1</v>
      </c>
    </row>
    <row r="159">
      <c r="A159" t="s">
        <v>1021</v>
      </c>
      <c r="B159" t="s">
        <v>31</v>
      </c>
      <c r="C159" s="25" t="n">
        <v>-0.802981996420846</v>
      </c>
      <c r="D159" s="25" t="n">
        <v>1</v>
      </c>
    </row>
    <row r="160">
      <c r="A160" t="s">
        <v>1021</v>
      </c>
      <c r="B160" t="s">
        <v>31</v>
      </c>
      <c r="C160" s="25" t="n">
        <v>-1.12723365119729</v>
      </c>
      <c r="D160" s="25" t="n">
        <v>1</v>
      </c>
    </row>
    <row r="161">
      <c r="A161" t="s">
        <v>1024</v>
      </c>
      <c r="B161" t="s">
        <v>30</v>
      </c>
      <c r="C161" s="25" t="n">
        <v>-1.25359359602349</v>
      </c>
      <c r="D161" s="25" t="n">
        <v>0.706185567010309</v>
      </c>
    </row>
    <row r="162">
      <c r="A162" t="s">
        <v>1027</v>
      </c>
      <c r="B162" t="s">
        <v>31</v>
      </c>
      <c r="C162" s="25" t="n">
        <v>-0.625870535044346</v>
      </c>
      <c r="D162" s="25" t="n">
        <v>1</v>
      </c>
    </row>
    <row r="163">
      <c r="A163" t="s">
        <v>1029</v>
      </c>
      <c r="B163" t="s">
        <v>30</v>
      </c>
      <c r="C163" s="25" t="n">
        <v>1.57199901833508</v>
      </c>
      <c r="D163" s="25" t="n">
        <v>1.41237113402062</v>
      </c>
    </row>
    <row r="164">
      <c r="A164" t="s">
        <v>1033</v>
      </c>
      <c r="B164" t="s">
        <v>30</v>
      </c>
      <c r="C164" s="25" t="n">
        <v>0.8009208674555</v>
      </c>
      <c r="D164" s="25" t="n">
        <v>1.41237113402062</v>
      </c>
    </row>
    <row r="165">
      <c r="A165" t="s">
        <v>1033</v>
      </c>
      <c r="B165" t="s">
        <v>30</v>
      </c>
      <c r="C165" s="25" t="n">
        <v>1.61980870657167</v>
      </c>
      <c r="D165" s="25" t="n">
        <v>1.41237113402062</v>
      </c>
    </row>
    <row r="166">
      <c r="A166" t="s">
        <v>1040</v>
      </c>
      <c r="B166" t="s">
        <v>30</v>
      </c>
      <c r="C166" s="25" t="n">
        <v>-1.4397656359799</v>
      </c>
      <c r="D166" s="25" t="n">
        <v>0.706185567010309</v>
      </c>
    </row>
    <row r="167">
      <c r="A167" t="s">
        <v>1045</v>
      </c>
      <c r="B167" t="s">
        <v>31</v>
      </c>
      <c r="C167" s="25" t="n">
        <v>0.098190632637678</v>
      </c>
      <c r="D167" s="25" t="n">
        <v>1</v>
      </c>
    </row>
    <row r="168">
      <c r="A168" t="s">
        <v>1058</v>
      </c>
      <c r="B168" t="s">
        <v>30</v>
      </c>
      <c r="C168" s="25" t="n">
        <v>-1.07452126965535</v>
      </c>
      <c r="D168" s="25" t="n">
        <v>0.706185567010309</v>
      </c>
    </row>
    <row r="169">
      <c r="A169" t="s">
        <v>1061</v>
      </c>
      <c r="B169" t="s">
        <v>31</v>
      </c>
      <c r="C169" s="25" t="n">
        <v>-0.0786598414958153</v>
      </c>
      <c r="D169" s="25" t="n">
        <v>1</v>
      </c>
    </row>
    <row r="170">
      <c r="A170" t="s">
        <v>1069</v>
      </c>
      <c r="B170" t="s">
        <v>30</v>
      </c>
      <c r="C170" s="25" t="n">
        <v>-1.64844696878125</v>
      </c>
      <c r="D170" s="25" t="n">
        <v>0.706185567010309</v>
      </c>
    </row>
    <row r="171">
      <c r="A171" t="s">
        <v>1072</v>
      </c>
      <c r="B171" t="s">
        <v>30</v>
      </c>
      <c r="C171" s="25" t="n">
        <v>-0.742535856218655</v>
      </c>
      <c r="D171" s="25" t="n">
        <v>0.706185567010309</v>
      </c>
    </row>
    <row r="172">
      <c r="A172" t="s">
        <v>1072</v>
      </c>
      <c r="B172" t="s">
        <v>30</v>
      </c>
      <c r="C172" s="25" t="n">
        <v>-1.4846051055366</v>
      </c>
      <c r="D172" s="25" t="n">
        <v>0.706185567010309</v>
      </c>
    </row>
    <row r="173">
      <c r="A173" t="s">
        <v>1075</v>
      </c>
      <c r="B173" t="s">
        <v>30</v>
      </c>
      <c r="C173" s="25" t="n">
        <v>-0.903481005899799</v>
      </c>
      <c r="D173" s="25" t="n">
        <v>0.706185567010309</v>
      </c>
    </row>
    <row r="174">
      <c r="A174" t="s">
        <v>1075</v>
      </c>
      <c r="B174" t="s">
        <v>30</v>
      </c>
      <c r="C174" s="25" t="n">
        <v>-1.12216809219963</v>
      </c>
      <c r="D174" s="25" t="n">
        <v>0.706185567010309</v>
      </c>
    </row>
    <row r="175">
      <c r="A175" t="s">
        <v>1078</v>
      </c>
      <c r="B175" t="s">
        <v>31</v>
      </c>
      <c r="C175" s="25" t="n">
        <v>-1.61032535535094</v>
      </c>
      <c r="D175" s="25" t="n">
        <v>1</v>
      </c>
    </row>
    <row r="176">
      <c r="A176" t="s">
        <v>1078</v>
      </c>
      <c r="B176" t="s">
        <v>31</v>
      </c>
      <c r="C176" s="25" t="n">
        <v>-2.29150657693956</v>
      </c>
      <c r="D176" s="25" t="n">
        <v>1</v>
      </c>
    </row>
    <row r="177">
      <c r="A177" t="s">
        <v>1081</v>
      </c>
      <c r="B177" t="s">
        <v>30</v>
      </c>
      <c r="C177" s="25" t="n">
        <v>0.298565682644067</v>
      </c>
      <c r="D177" s="25" t="n">
        <v>1.41237113402062</v>
      </c>
    </row>
    <row r="178">
      <c r="A178" t="s">
        <v>1081</v>
      </c>
      <c r="B178" t="s">
        <v>30</v>
      </c>
      <c r="C178" s="25" t="n">
        <v>0.607085176948228</v>
      </c>
      <c r="D178" s="25" t="n">
        <v>1.41237113402062</v>
      </c>
    </row>
    <row r="179">
      <c r="A179" t="s">
        <v>1442</v>
      </c>
      <c r="B179" t="s">
        <v>30</v>
      </c>
      <c r="C179" s="25" t="n">
        <v>-0.0220909068166435</v>
      </c>
      <c r="D179" s="25" t="n">
        <v>1.41237113402062</v>
      </c>
    </row>
    <row r="180">
      <c r="A180" t="s">
        <v>1442</v>
      </c>
      <c r="B180" t="s">
        <v>30</v>
      </c>
      <c r="C180" s="25" t="n">
        <v>-1.06995491339686</v>
      </c>
      <c r="D180" s="25" t="n">
        <v>0.706185567010309</v>
      </c>
    </row>
    <row r="181">
      <c r="A181" t="s">
        <v>1086</v>
      </c>
      <c r="B181" t="s">
        <v>31</v>
      </c>
      <c r="C181" s="25" t="n">
        <v>-1.44055206731622</v>
      </c>
      <c r="D181" s="25" t="n">
        <v>1</v>
      </c>
    </row>
    <row r="182">
      <c r="A182" t="s">
        <v>1111</v>
      </c>
      <c r="B182" t="s">
        <v>31</v>
      </c>
      <c r="C182" s="25" t="n">
        <v>1.87095783241442</v>
      </c>
      <c r="D182" s="25" t="n">
        <v>1</v>
      </c>
    </row>
    <row r="183">
      <c r="A183" t="s">
        <v>1114</v>
      </c>
      <c r="B183" t="s">
        <v>31</v>
      </c>
      <c r="C183" s="25" t="n">
        <v>0.434964672182009</v>
      </c>
      <c r="D183" s="25" t="n">
        <v>1</v>
      </c>
    </row>
    <row r="184">
      <c r="A184" t="s">
        <v>1122</v>
      </c>
      <c r="B184" t="s">
        <v>30</v>
      </c>
      <c r="C184" s="25" t="n">
        <v>-0.645253855589042</v>
      </c>
      <c r="D184" s="25" t="n">
        <v>0.706185567010309</v>
      </c>
    </row>
    <row r="185">
      <c r="A185" t="s">
        <v>1124</v>
      </c>
      <c r="B185" t="s">
        <v>31</v>
      </c>
      <c r="C185" s="25" t="n">
        <v>-0.612404500607076</v>
      </c>
      <c r="D185" s="25" t="n">
        <v>1</v>
      </c>
    </row>
    <row r="186">
      <c r="A186" t="s">
        <v>1126</v>
      </c>
      <c r="B186" t="s">
        <v>30</v>
      </c>
      <c r="C186" s="25" t="n">
        <v>0.917987423888167</v>
      </c>
      <c r="D186" s="25" t="n">
        <v>1.41237113402062</v>
      </c>
    </row>
    <row r="187">
      <c r="A187" t="s">
        <v>1126</v>
      </c>
      <c r="B187" t="s">
        <v>30</v>
      </c>
      <c r="C187" s="25" t="n">
        <v>0.487054890144787</v>
      </c>
      <c r="D187" s="25" t="n">
        <v>1.41237113402062</v>
      </c>
    </row>
    <row r="188">
      <c r="A188" t="s">
        <v>1129</v>
      </c>
      <c r="B188" t="s">
        <v>31</v>
      </c>
      <c r="C188" s="25" t="n">
        <v>-0.772762123707614</v>
      </c>
      <c r="D188" s="25" t="n">
        <v>1</v>
      </c>
    </row>
    <row r="189">
      <c r="A189" t="s">
        <v>1129</v>
      </c>
      <c r="B189" t="s">
        <v>31</v>
      </c>
      <c r="C189" s="25" t="n">
        <v>-1.04427693715831</v>
      </c>
      <c r="D189" s="25" t="n">
        <v>1</v>
      </c>
    </row>
    <row r="190">
      <c r="A190" t="s">
        <v>1135</v>
      </c>
      <c r="B190" t="s">
        <v>31</v>
      </c>
      <c r="C190" s="25" t="n">
        <v>-1.18899968038741</v>
      </c>
      <c r="D190" s="25" t="n">
        <v>1</v>
      </c>
    </row>
    <row r="191">
      <c r="A191" t="s">
        <v>1135</v>
      </c>
      <c r="B191" t="s">
        <v>31</v>
      </c>
      <c r="C191" s="25" t="n">
        <v>-0.817617876702066</v>
      </c>
      <c r="D191" s="25" t="n">
        <v>1</v>
      </c>
    </row>
    <row r="192">
      <c r="A192" t="s">
        <v>1141</v>
      </c>
      <c r="B192" t="s">
        <v>31</v>
      </c>
      <c r="C192" s="25" t="n">
        <v>0.697242939412313</v>
      </c>
      <c r="D192" s="25" t="n">
        <v>1</v>
      </c>
    </row>
    <row r="193">
      <c r="A193" t="s">
        <v>1141</v>
      </c>
      <c r="B193" t="s">
        <v>31</v>
      </c>
      <c r="C193" s="25" t="n">
        <v>0.430675248813539</v>
      </c>
      <c r="D193" s="25" t="n">
        <v>1</v>
      </c>
    </row>
    <row r="194">
      <c r="A194" t="s">
        <v>1144</v>
      </c>
      <c r="B194" t="s">
        <v>31</v>
      </c>
      <c r="C194" s="25" t="n">
        <v>-0.304222621760994</v>
      </c>
      <c r="D194" s="25" t="n">
        <v>1</v>
      </c>
    </row>
    <row r="195">
      <c r="A195" t="s">
        <v>1155</v>
      </c>
      <c r="B195" t="s">
        <v>30</v>
      </c>
      <c r="C195" s="25" t="n">
        <v>-0.627318594770159</v>
      </c>
      <c r="D195" s="25" t="n">
        <v>0.706185567010309</v>
      </c>
    </row>
    <row r="196">
      <c r="A196" t="s">
        <v>1163</v>
      </c>
      <c r="B196" t="s">
        <v>30</v>
      </c>
      <c r="C196" s="25" t="n">
        <v>0.32067186847285</v>
      </c>
      <c r="D196" s="25" t="n">
        <v>1.41237113402062</v>
      </c>
    </row>
    <row r="197">
      <c r="A197" t="s">
        <v>1165</v>
      </c>
      <c r="B197" t="s">
        <v>31</v>
      </c>
      <c r="C197" s="25" t="n">
        <v>0.376932919588474</v>
      </c>
      <c r="D197" s="25" t="n">
        <v>1</v>
      </c>
    </row>
    <row r="198">
      <c r="A198" t="s">
        <v>1167</v>
      </c>
      <c r="B198" t="s">
        <v>30</v>
      </c>
      <c r="C198" s="25" t="n">
        <v>-1.17633115340694</v>
      </c>
      <c r="D198" s="25" t="n">
        <v>0.706185567010309</v>
      </c>
    </row>
    <row r="199">
      <c r="A199" t="s">
        <v>1167</v>
      </c>
      <c r="B199" t="s">
        <v>30</v>
      </c>
      <c r="C199" s="25" t="n">
        <v>-0.929913277923295</v>
      </c>
      <c r="D199" s="25" t="n">
        <v>0.706185567010309</v>
      </c>
    </row>
    <row r="200">
      <c r="A200" t="s">
        <v>1179</v>
      </c>
      <c r="B200" t="s">
        <v>31</v>
      </c>
      <c r="C200" s="25" t="n">
        <v>-1.08074251042029</v>
      </c>
      <c r="D200" s="25" t="n">
        <v>1</v>
      </c>
    </row>
    <row r="201">
      <c r="A201" t="s">
        <v>1179</v>
      </c>
      <c r="B201" t="s">
        <v>31</v>
      </c>
      <c r="C201" s="25" t="n">
        <v>-0.281417644137983</v>
      </c>
      <c r="D201" s="25" t="n">
        <v>1</v>
      </c>
    </row>
    <row r="202">
      <c r="A202" t="s">
        <v>1187</v>
      </c>
      <c r="B202" t="s">
        <v>30</v>
      </c>
      <c r="C202" s="25" t="n">
        <v>-1.20686137555341</v>
      </c>
      <c r="D202" s="25" t="n">
        <v>0.706185567010309</v>
      </c>
    </row>
    <row r="203">
      <c r="A203" t="s">
        <v>1187</v>
      </c>
      <c r="B203" t="s">
        <v>30</v>
      </c>
      <c r="C203" s="25" t="n">
        <v>-1.31071639648271</v>
      </c>
      <c r="D203" s="25" t="n">
        <v>0.706185567010309</v>
      </c>
    </row>
    <row r="204">
      <c r="A204" t="s">
        <v>1190</v>
      </c>
      <c r="B204" t="s">
        <v>30</v>
      </c>
      <c r="C204" s="25" t="n">
        <v>-1.00146195239352</v>
      </c>
      <c r="D204" s="25" t="n">
        <v>0.706185567010309</v>
      </c>
    </row>
    <row r="205">
      <c r="A205" t="s">
        <v>1190</v>
      </c>
      <c r="B205" t="s">
        <v>30</v>
      </c>
      <c r="C205" s="25" t="n">
        <v>-0.630938119869698</v>
      </c>
      <c r="D205" s="25" t="n">
        <v>0.706185567010309</v>
      </c>
    </row>
    <row r="206">
      <c r="A206" t="s">
        <v>1193</v>
      </c>
      <c r="B206" t="s">
        <v>31</v>
      </c>
      <c r="C206" s="25" t="n">
        <v>-1.01486873597855</v>
      </c>
      <c r="D206" s="25" t="n">
        <v>1</v>
      </c>
    </row>
    <row r="207">
      <c r="A207" t="s">
        <v>1193</v>
      </c>
      <c r="B207" t="s">
        <v>31</v>
      </c>
      <c r="C207" s="25" t="n">
        <v>-0.753479390583295</v>
      </c>
      <c r="D207" s="25" t="n">
        <v>1</v>
      </c>
    </row>
    <row r="208">
      <c r="A208" t="s">
        <v>1445</v>
      </c>
      <c r="B208" t="s">
        <v>30</v>
      </c>
      <c r="C208" s="25" t="n">
        <v>-1.64628910593419</v>
      </c>
      <c r="D208" s="25" t="n">
        <v>0.706185567010309</v>
      </c>
    </row>
    <row r="209">
      <c r="A209" t="s">
        <v>1445</v>
      </c>
      <c r="B209" t="s">
        <v>30</v>
      </c>
      <c r="C209" s="25" t="n">
        <v>-1.49445235971019</v>
      </c>
      <c r="D209" s="25" t="n">
        <v>0.706185567010309</v>
      </c>
    </row>
    <row r="210">
      <c r="A210" t="s">
        <v>1205</v>
      </c>
      <c r="B210" t="s">
        <v>30</v>
      </c>
      <c r="C210" s="25" t="n">
        <v>-0.845893700236477</v>
      </c>
      <c r="D210" s="25" t="n">
        <v>0.706185567010309</v>
      </c>
    </row>
    <row r="211">
      <c r="A211" t="s">
        <v>1205</v>
      </c>
      <c r="B211" t="s">
        <v>30</v>
      </c>
      <c r="C211" s="25" t="n">
        <v>-1.17296097787993</v>
      </c>
      <c r="D211" s="25" t="n">
        <v>0.706185567010309</v>
      </c>
    </row>
    <row r="212">
      <c r="A212" t="s">
        <v>1210</v>
      </c>
      <c r="B212" t="s">
        <v>30</v>
      </c>
      <c r="C212" s="25" t="n">
        <v>-0.796687340726991</v>
      </c>
      <c r="D212" s="25" t="n">
        <v>0.706185567010309</v>
      </c>
    </row>
    <row r="213">
      <c r="A213" t="s">
        <v>1215</v>
      </c>
      <c r="B213" t="s">
        <v>31</v>
      </c>
      <c r="C213" s="25" t="n">
        <v>3.50935904158196</v>
      </c>
      <c r="D213" s="25" t="n">
        <v>1</v>
      </c>
    </row>
    <row r="214">
      <c r="A214" t="s">
        <v>1223</v>
      </c>
      <c r="B214" t="s">
        <v>30</v>
      </c>
      <c r="C214" s="25" t="n">
        <v>1.98942358696118</v>
      </c>
      <c r="D214" s="25" t="n">
        <v>1.41237113402062</v>
      </c>
    </row>
    <row r="215">
      <c r="A215" t="s">
        <v>1225</v>
      </c>
      <c r="B215" t="s">
        <v>31</v>
      </c>
      <c r="C215" s="25" t="n">
        <v>-0.372586667190604</v>
      </c>
      <c r="D215" s="25" t="n">
        <v>1</v>
      </c>
    </row>
    <row r="216">
      <c r="A216" t="s">
        <v>1225</v>
      </c>
      <c r="B216" t="s">
        <v>31</v>
      </c>
      <c r="C216" s="25" t="n">
        <v>-0.199411068077491</v>
      </c>
      <c r="D216" s="25" t="n">
        <v>1</v>
      </c>
    </row>
    <row r="217">
      <c r="A217" t="s">
        <v>1231</v>
      </c>
      <c r="B217" t="s">
        <v>30</v>
      </c>
      <c r="C217" s="25" t="n">
        <v>1.99430949366966</v>
      </c>
      <c r="D217" s="25" t="n">
        <v>1.41237113402062</v>
      </c>
    </row>
    <row r="218">
      <c r="A218" t="s">
        <v>1233</v>
      </c>
      <c r="B218" t="s">
        <v>30</v>
      </c>
      <c r="C218" s="25" t="n">
        <v>-0.901542700194233</v>
      </c>
      <c r="D218" s="25" t="n">
        <v>0.706185567010309</v>
      </c>
    </row>
    <row r="219">
      <c r="A219" t="s">
        <v>1233</v>
      </c>
      <c r="B219" t="s">
        <v>30</v>
      </c>
      <c r="C219" s="25" t="n">
        <v>-0.84795428248269</v>
      </c>
      <c r="D219" s="25" t="n">
        <v>0.706185567010309</v>
      </c>
    </row>
    <row r="220">
      <c r="A220" t="s">
        <v>1236</v>
      </c>
      <c r="B220" t="s">
        <v>30</v>
      </c>
      <c r="C220" s="25" t="n">
        <v>0.847682452813415</v>
      </c>
      <c r="D220" s="25" t="n">
        <v>1.41237113402062</v>
      </c>
    </row>
    <row r="221">
      <c r="A221" t="s">
        <v>1241</v>
      </c>
      <c r="B221" t="s">
        <v>30</v>
      </c>
      <c r="C221" s="25" t="n">
        <v>0.189806689998203</v>
      </c>
      <c r="D221" s="25" t="n">
        <v>1.41237113402062</v>
      </c>
    </row>
    <row r="222">
      <c r="A222" t="s">
        <v>1246</v>
      </c>
      <c r="B222" t="s">
        <v>31</v>
      </c>
      <c r="C222" s="25" t="n">
        <v>-0.95190786500467</v>
      </c>
      <c r="D222" s="25" t="n">
        <v>1</v>
      </c>
    </row>
    <row r="223">
      <c r="A223" t="s">
        <v>1248</v>
      </c>
      <c r="B223" t="s">
        <v>31</v>
      </c>
      <c r="C223" s="25" t="n">
        <v>1.15049999992758</v>
      </c>
      <c r="D223" s="25" t="n">
        <v>1</v>
      </c>
    </row>
    <row r="224">
      <c r="A224" t="s">
        <v>1450</v>
      </c>
      <c r="B224" t="s">
        <v>30</v>
      </c>
      <c r="C224" s="25" t="n">
        <v>-1.06985635180417</v>
      </c>
      <c r="D224" s="25" t="n">
        <v>0.706185567010309</v>
      </c>
    </row>
    <row r="225">
      <c r="A225" t="s">
        <v>1450</v>
      </c>
      <c r="B225" t="s">
        <v>30</v>
      </c>
      <c r="C225" s="25" t="n">
        <v>-1.28097909398167</v>
      </c>
      <c r="D225" s="25" t="n">
        <v>0.706185567010309</v>
      </c>
    </row>
    <row r="226">
      <c r="A226" t="s">
        <v>1259</v>
      </c>
      <c r="B226" t="s">
        <v>31</v>
      </c>
      <c r="C226" s="25" t="n">
        <v>1.71113931690538</v>
      </c>
      <c r="D226" s="25" t="n">
        <v>1</v>
      </c>
    </row>
    <row r="227">
      <c r="A227" t="s">
        <v>1265</v>
      </c>
      <c r="B227" t="s">
        <v>30</v>
      </c>
      <c r="C227" s="25" t="n">
        <v>-1.97431616261487</v>
      </c>
      <c r="D227" s="25" t="n">
        <v>0.706185567010309</v>
      </c>
    </row>
    <row r="228">
      <c r="A228" t="s">
        <v>1271</v>
      </c>
      <c r="B228" t="s">
        <v>30</v>
      </c>
      <c r="C228" s="25" t="n">
        <v>-2.48621365784917</v>
      </c>
      <c r="D228" s="25" t="n">
        <v>0.706185567010309</v>
      </c>
    </row>
    <row r="229">
      <c r="A229" t="s">
        <v>1271</v>
      </c>
      <c r="B229" t="s">
        <v>30</v>
      </c>
      <c r="C229" s="25" t="n">
        <v>-2.5112197099911</v>
      </c>
      <c r="D229" s="25" t="n">
        <v>0.706185567010309</v>
      </c>
    </row>
    <row r="230">
      <c r="A230" t="s">
        <v>1274</v>
      </c>
      <c r="B230" t="s">
        <v>30</v>
      </c>
      <c r="C230" s="25" t="n">
        <v>-0.747275620714563</v>
      </c>
      <c r="D230" s="25" t="n">
        <v>0.706185567010309</v>
      </c>
    </row>
    <row r="231">
      <c r="A231" t="s">
        <v>1274</v>
      </c>
      <c r="B231" t="s">
        <v>30</v>
      </c>
      <c r="C231" s="25" t="n">
        <v>0.0000628596320351171</v>
      </c>
      <c r="D231" s="25" t="n">
        <v>1.41237113402062</v>
      </c>
    </row>
    <row r="232">
      <c r="A232" t="s">
        <v>1277</v>
      </c>
      <c r="B232" t="s">
        <v>31</v>
      </c>
      <c r="C232" s="25" t="n">
        <v>-0.465277909733803</v>
      </c>
      <c r="D232" s="25" t="n">
        <v>1</v>
      </c>
    </row>
    <row r="233">
      <c r="A233" t="s">
        <v>1277</v>
      </c>
      <c r="B233" t="s">
        <v>31</v>
      </c>
      <c r="C233" s="25" t="n">
        <v>0.545333311834773</v>
      </c>
      <c r="D233" s="25" t="n">
        <v>1</v>
      </c>
    </row>
    <row r="234">
      <c r="A234" t="s">
        <v>1282</v>
      </c>
      <c r="B234" t="s">
        <v>30</v>
      </c>
      <c r="C234" s="25" t="n">
        <v>-1.03866247544052</v>
      </c>
      <c r="D234" s="25" t="n">
        <v>0.706185567010309</v>
      </c>
    </row>
    <row r="235">
      <c r="A235" t="s">
        <v>1282</v>
      </c>
      <c r="B235" t="s">
        <v>30</v>
      </c>
      <c r="C235" s="25" t="n">
        <v>-1.63001128902481</v>
      </c>
      <c r="D235" s="25" t="n">
        <v>0.706185567010309</v>
      </c>
    </row>
    <row r="236">
      <c r="A236" t="s">
        <v>1285</v>
      </c>
      <c r="B236" t="s">
        <v>30</v>
      </c>
      <c r="C236" s="25" t="n">
        <v>0.0670362210843582</v>
      </c>
      <c r="D236" s="25" t="n">
        <v>1.41237113402062</v>
      </c>
    </row>
    <row r="237">
      <c r="A237" t="s">
        <v>1287</v>
      </c>
      <c r="B237" t="s">
        <v>31</v>
      </c>
      <c r="C237" s="25" t="n">
        <v>-1.17804400777379</v>
      </c>
      <c r="D237" s="25" t="n">
        <v>1</v>
      </c>
    </row>
    <row r="238">
      <c r="A238" t="s">
        <v>1287</v>
      </c>
      <c r="B238" t="s">
        <v>31</v>
      </c>
      <c r="C238" s="25" t="n">
        <v>-1.02705883793559</v>
      </c>
      <c r="D238" s="25" t="n">
        <v>1</v>
      </c>
    </row>
    <row r="239">
      <c r="A239" t="s">
        <v>1290</v>
      </c>
      <c r="B239" t="s">
        <v>30</v>
      </c>
      <c r="C239" s="25" t="n">
        <v>1.59852202211381</v>
      </c>
      <c r="D239" s="25" t="n">
        <v>1.41237113402062</v>
      </c>
    </row>
    <row r="240">
      <c r="A240" t="s">
        <v>1290</v>
      </c>
      <c r="B240" t="s">
        <v>30</v>
      </c>
      <c r="C240" s="25" t="n">
        <v>0.984207770547382</v>
      </c>
      <c r="D240" s="25" t="n">
        <v>1.41237113402062</v>
      </c>
    </row>
    <row r="241">
      <c r="A241" t="s">
        <v>1293</v>
      </c>
      <c r="B241" t="s">
        <v>31</v>
      </c>
      <c r="C241" s="25" t="n">
        <v>0.349033777995233</v>
      </c>
      <c r="D241" s="25" t="n">
        <v>1</v>
      </c>
    </row>
    <row r="242">
      <c r="A242" t="s">
        <v>1302</v>
      </c>
      <c r="B242" t="s">
        <v>30</v>
      </c>
      <c r="C242" s="25" t="n">
        <v>-1.26439535712359</v>
      </c>
      <c r="D242" s="25" t="n">
        <v>0.706185567010309</v>
      </c>
    </row>
    <row r="243">
      <c r="A243" t="s">
        <v>1453</v>
      </c>
      <c r="B243" t="s">
        <v>31</v>
      </c>
      <c r="C243" s="25" t="n">
        <v>-1.27926305812524</v>
      </c>
      <c r="D243" s="25" t="n">
        <v>1</v>
      </c>
    </row>
    <row r="244">
      <c r="A244" t="s">
        <v>1308</v>
      </c>
      <c r="B244" t="s">
        <v>31</v>
      </c>
      <c r="C244" s="25" t="n">
        <v>-1.56559212315449</v>
      </c>
      <c r="D244" s="25" t="n">
        <v>1</v>
      </c>
    </row>
    <row r="245">
      <c r="A245" t="s">
        <v>1455</v>
      </c>
      <c r="B245" t="s">
        <v>30</v>
      </c>
      <c r="C245" s="25" t="n">
        <v>-0.243211633191665</v>
      </c>
      <c r="D245" s="25" t="n">
        <v>1.41237113402062</v>
      </c>
    </row>
    <row r="246">
      <c r="A246" t="s">
        <v>1315</v>
      </c>
      <c r="B246" t="s">
        <v>30</v>
      </c>
      <c r="C246" s="25" t="n">
        <v>-1.04685553198763</v>
      </c>
      <c r="D246" s="25" t="n">
        <v>0.706185567010309</v>
      </c>
    </row>
    <row r="247">
      <c r="A247" t="s">
        <v>1315</v>
      </c>
      <c r="B247" t="s">
        <v>30</v>
      </c>
      <c r="C247" s="25" t="n">
        <v>-0.822041243497629</v>
      </c>
      <c r="D247" s="25" t="n">
        <v>0.706185567010309</v>
      </c>
    </row>
    <row r="248">
      <c r="A248" t="s">
        <v>1326</v>
      </c>
      <c r="B248" t="s">
        <v>30</v>
      </c>
      <c r="C248" s="25" t="n">
        <v>-1.55722387679963</v>
      </c>
      <c r="D248" s="25" t="n">
        <v>0.706185567010309</v>
      </c>
    </row>
    <row r="249">
      <c r="A249" t="s">
        <v>1326</v>
      </c>
      <c r="B249" t="s">
        <v>30</v>
      </c>
      <c r="C249" s="25" t="n">
        <v>-0.455771452507878</v>
      </c>
      <c r="D249" s="25" t="n">
        <v>1.41237113402062</v>
      </c>
    </row>
    <row r="250">
      <c r="A250" t="s">
        <v>1329</v>
      </c>
      <c r="B250" t="s">
        <v>30</v>
      </c>
      <c r="C250" s="25" t="n">
        <v>-1.10521841173013</v>
      </c>
      <c r="D250" s="25" t="n">
        <v>0.706185567010309</v>
      </c>
    </row>
    <row r="251">
      <c r="A251" t="s">
        <v>1336</v>
      </c>
      <c r="B251" t="s">
        <v>30</v>
      </c>
      <c r="C251" s="25" t="n">
        <v>-1.08906189516341</v>
      </c>
      <c r="D251" s="25" t="n">
        <v>0.706185567010309</v>
      </c>
    </row>
    <row r="252">
      <c r="A252" t="s">
        <v>1347</v>
      </c>
      <c r="B252" t="s">
        <v>31</v>
      </c>
      <c r="C252" s="25" t="n">
        <v>1.74464312508777</v>
      </c>
      <c r="D252" s="25" t="n">
        <v>1</v>
      </c>
    </row>
    <row r="253">
      <c r="A253" t="s">
        <v>1352</v>
      </c>
      <c r="B253" t="s">
        <v>30</v>
      </c>
      <c r="C253" s="25" t="n">
        <v>-0.145248006870175</v>
      </c>
      <c r="D253" s="25" t="n">
        <v>1.41237113402062</v>
      </c>
    </row>
    <row r="254">
      <c r="A254" t="s">
        <v>1352</v>
      </c>
      <c r="B254" t="s">
        <v>30</v>
      </c>
      <c r="C254" s="25" t="n">
        <v>-0.958692766678289</v>
      </c>
      <c r="D254" s="25" t="n">
        <v>0.706185567010309</v>
      </c>
    </row>
    <row r="255">
      <c r="A255" t="s">
        <v>1355</v>
      </c>
      <c r="B255" t="s">
        <v>31</v>
      </c>
      <c r="C255" s="25" t="n">
        <v>0.0825570337580843</v>
      </c>
      <c r="D255" s="25" t="n">
        <v>1</v>
      </c>
    </row>
    <row r="256">
      <c r="A256" t="s">
        <v>1355</v>
      </c>
      <c r="B256" t="s">
        <v>31</v>
      </c>
      <c r="C256" s="25" t="n">
        <v>1.23598560881492</v>
      </c>
      <c r="D256" s="25" t="n">
        <v>1</v>
      </c>
    </row>
    <row r="257">
      <c r="A257" t="s">
        <v>1361</v>
      </c>
      <c r="B257" t="s">
        <v>31</v>
      </c>
      <c r="C257" s="25" t="n">
        <v>0.181805106696604</v>
      </c>
      <c r="D257" s="25" t="n">
        <v>1</v>
      </c>
    </row>
    <row r="258">
      <c r="A258" t="s">
        <v>1361</v>
      </c>
      <c r="B258" t="s">
        <v>31</v>
      </c>
      <c r="C258" s="25" t="n">
        <v>0.124121142518942</v>
      </c>
      <c r="D258" s="25" t="n">
        <v>1</v>
      </c>
    </row>
    <row r="259">
      <c r="A259" t="s">
        <v>1364</v>
      </c>
      <c r="B259" t="s">
        <v>30</v>
      </c>
      <c r="C259" s="25" t="n">
        <v>-0.495770192319135</v>
      </c>
      <c r="D259" s="25" t="n">
        <v>1.41237113402062</v>
      </c>
    </row>
    <row r="260">
      <c r="A260" t="s">
        <v>1367</v>
      </c>
      <c r="B260" t="s">
        <v>30</v>
      </c>
      <c r="C260" s="25" t="n">
        <v>-0.198181971381298</v>
      </c>
      <c r="D260" s="25" t="n">
        <v>1.41237113402062</v>
      </c>
    </row>
    <row r="261">
      <c r="A261" t="s">
        <v>1367</v>
      </c>
      <c r="B261" t="s">
        <v>30</v>
      </c>
      <c r="C261" s="25" t="n">
        <v>-0.67164291594069</v>
      </c>
      <c r="D261" s="25" t="n">
        <v>0.706185567010309</v>
      </c>
    </row>
    <row r="262">
      <c r="A262" t="s">
        <v>1457</v>
      </c>
      <c r="B262" t="s">
        <v>31</v>
      </c>
      <c r="C262" s="25" t="n">
        <v>0.736721258726682</v>
      </c>
      <c r="D262" s="25" t="n">
        <v>1</v>
      </c>
    </row>
    <row r="263">
      <c r="A263" t="s">
        <v>1370</v>
      </c>
      <c r="B263" t="s">
        <v>30</v>
      </c>
      <c r="C263" s="25" t="n">
        <v>-0.631861236080694</v>
      </c>
      <c r="D263" s="25" t="n">
        <v>0.706185567010309</v>
      </c>
    </row>
    <row r="264">
      <c r="A264" t="s">
        <v>1372</v>
      </c>
      <c r="B264" t="s">
        <v>31</v>
      </c>
      <c r="C264" s="25" t="n">
        <v>-0.277266687214523</v>
      </c>
      <c r="D264" s="25" t="n">
        <v>1</v>
      </c>
    </row>
    <row r="265">
      <c r="A265" t="s">
        <v>1372</v>
      </c>
      <c r="B265" t="s">
        <v>31</v>
      </c>
      <c r="C265" s="25" t="n">
        <v>0.666651412611282</v>
      </c>
      <c r="D265" s="25" t="n">
        <v>1</v>
      </c>
    </row>
    <row r="266">
      <c r="A266" t="s">
        <v>1375</v>
      </c>
      <c r="B266" t="s">
        <v>30</v>
      </c>
      <c r="C266" s="25" t="n">
        <v>0.400456657092145</v>
      </c>
      <c r="D266" s="25" t="n">
        <v>1.41237113402062</v>
      </c>
    </row>
  </sheetData>
  <pageMargins left="0.7" right="0.7" top="0.75" bottom="0.75" header="0.3" footer="0.3"/>
  <pageSetup paperSize="9" orientation="portrait" horizontalDpi="300" verticalDpi="300"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0" t="s">
        <v>1743</v>
      </c>
    </row>
    <row r="3">
      <c r="A3" s="1" t="s">
        <v>1744</v>
      </c>
    </row>
    <row r="4">
      <c r="A4" t="s">
        <v>1465</v>
      </c>
      <c r="B4" t="s">
        <v>1466</v>
      </c>
      <c r="C4" t="s">
        <v>1467</v>
      </c>
      <c r="D4" t="s">
        <v>1468</v>
      </c>
      <c r="E4" t="s">
        <v>1469</v>
      </c>
      <c r="F4" t="s">
        <v>1470</v>
      </c>
      <c r="G4" t="s">
        <v>1471</v>
      </c>
      <c r="H4" t="s">
        <v>1472</v>
      </c>
      <c r="I4" t="s">
        <v>1473</v>
      </c>
      <c r="J4" t="s">
        <v>1474</v>
      </c>
      <c r="K4" t="s">
        <v>1475</v>
      </c>
      <c r="L4" t="s">
        <v>1476</v>
      </c>
      <c r="M4" t="s">
        <v>41</v>
      </c>
      <c r="N4" t="s">
        <v>1477</v>
      </c>
      <c r="O4" t="s">
        <v>1478</v>
      </c>
      <c r="P4" t="s">
        <v>1479</v>
      </c>
      <c r="Q4" t="s">
        <v>1</v>
      </c>
    </row>
    <row r="5">
      <c r="A5" t="s">
        <v>1480</v>
      </c>
      <c r="B5" t="s">
        <v>1481</v>
      </c>
      <c r="C5" s="26" t="n">
        <v>36.3129770992366</v>
      </c>
      <c r="D5" s="26" t="n">
        <v>0.827597530420273</v>
      </c>
      <c r="E5" s="26" t="n">
        <v>43.8775803025851</v>
      </c>
      <c r="F5" t="n">
        <v>0.000000000000000000000000000000000000000000000000000000000000000000000000000000000000000000180175172211132</v>
      </c>
      <c r="G5" t="n">
        <v>161</v>
      </c>
      <c r="H5" t="s">
        <v>1482</v>
      </c>
      <c r="I5" s="26" t="n">
        <v>36.3129770992366</v>
      </c>
      <c r="J5" s="26" t="n">
        <v>34.6786307994489</v>
      </c>
      <c r="K5" s="26" t="n">
        <v>37.9473233990244</v>
      </c>
      <c r="L5" t="s">
        <v>1745</v>
      </c>
      <c r="M5" t="s">
        <v>50</v>
      </c>
      <c r="N5" t="s">
        <v>1491</v>
      </c>
      <c r="O5" t="s">
        <v>1746</v>
      </c>
      <c r="P5" t="s">
        <v>1486</v>
      </c>
      <c r="Q5"/>
    </row>
    <row r="6">
      <c r="A6" t="s">
        <v>1480</v>
      </c>
      <c r="B6" t="s">
        <v>417</v>
      </c>
      <c r="C6" s="26" t="n">
        <v>0.860935944241616</v>
      </c>
      <c r="D6" s="26" t="n">
        <v>1.32654659039966</v>
      </c>
      <c r="E6" s="26" t="n">
        <v>0.649005432958247</v>
      </c>
      <c r="F6" t="n">
        <v>0.517259583319636</v>
      </c>
      <c r="G6" t="n">
        <v>161</v>
      </c>
      <c r="H6" t="s">
        <v>1487</v>
      </c>
      <c r="I6" s="26" t="n">
        <v>0.860935944241616</v>
      </c>
      <c r="J6" s="26" t="n">
        <v>-1.75873899656537</v>
      </c>
      <c r="K6" s="26" t="n">
        <v>3.4806108850486</v>
      </c>
      <c r="L6" t="s">
        <v>1747</v>
      </c>
      <c r="M6" t="s">
        <v>1623</v>
      </c>
      <c r="N6" t="s">
        <v>1491</v>
      </c>
      <c r="O6" t="s">
        <v>1746</v>
      </c>
      <c r="P6" t="s">
        <v>1486</v>
      </c>
      <c r="Q6"/>
    </row>
    <row r="7">
      <c r="A7" t="s">
        <v>55</v>
      </c>
      <c r="B7" t="s">
        <v>1481</v>
      </c>
      <c r="C7" s="26" t="n">
        <v>-4.28350515463918</v>
      </c>
      <c r="D7" s="26" t="n">
        <v>0.188694261788585</v>
      </c>
      <c r="E7" s="26" t="n">
        <v>-22.7007706224711</v>
      </c>
      <c r="F7" t="n">
        <v>0.000000000000000000000000000000000000000000000000000476466131114353</v>
      </c>
      <c r="G7" t="n">
        <v>161</v>
      </c>
      <c r="H7" t="s">
        <v>1482</v>
      </c>
      <c r="I7" s="26" t="n">
        <v>-4.28350515463918</v>
      </c>
      <c r="J7" s="26" t="n">
        <v>-4.6561401096864</v>
      </c>
      <c r="K7" s="26" t="n">
        <v>-3.91087019959195</v>
      </c>
      <c r="L7" t="s">
        <v>1748</v>
      </c>
      <c r="M7" t="s">
        <v>50</v>
      </c>
      <c r="N7" t="s">
        <v>1491</v>
      </c>
      <c r="O7" t="s">
        <v>1749</v>
      </c>
      <c r="P7" t="s">
        <v>1486</v>
      </c>
      <c r="Q7"/>
    </row>
    <row r="8">
      <c r="A8" t="s">
        <v>55</v>
      </c>
      <c r="B8" t="s">
        <v>417</v>
      </c>
      <c r="C8" s="26" t="n">
        <v>-0.123711340206186</v>
      </c>
      <c r="D8" s="26" t="n">
        <v>0.280043157764203</v>
      </c>
      <c r="E8" s="26" t="n">
        <v>-0.44175812469002</v>
      </c>
      <c r="F8" t="n">
        <v>0.659257013018422</v>
      </c>
      <c r="G8" t="n">
        <v>161</v>
      </c>
      <c r="H8" t="s">
        <v>1487</v>
      </c>
      <c r="I8" s="26" t="n">
        <v>-0.123711340206186</v>
      </c>
      <c r="J8" s="26" t="n">
        <v>-0.676742834198656</v>
      </c>
      <c r="K8" s="26" t="n">
        <v>0.429320153786284</v>
      </c>
      <c r="L8" t="s">
        <v>1750</v>
      </c>
      <c r="M8" t="s">
        <v>207</v>
      </c>
      <c r="N8" t="s">
        <v>1491</v>
      </c>
      <c r="O8" t="s">
        <v>1749</v>
      </c>
      <c r="P8" t="s">
        <v>1486</v>
      </c>
      <c r="Q8"/>
    </row>
    <row r="9">
      <c r="A9" t="s">
        <v>62</v>
      </c>
      <c r="B9" t="s">
        <v>1481</v>
      </c>
      <c r="C9" s="26" t="n">
        <v>-3.85309278350515</v>
      </c>
      <c r="D9" s="26" t="n">
        <v>0.187565148327147</v>
      </c>
      <c r="E9" s="26" t="n">
        <v>-20.5426904617945</v>
      </c>
      <c r="F9" t="n">
        <v>0.0000000000000000000000000000000000000000000000758676008310286</v>
      </c>
      <c r="G9" t="n">
        <v>161</v>
      </c>
      <c r="H9" t="s">
        <v>1482</v>
      </c>
      <c r="I9" s="26" t="n">
        <v>-3.85309278350515</v>
      </c>
      <c r="J9" s="26" t="n">
        <v>-4.22349795615223</v>
      </c>
      <c r="K9" s="26" t="n">
        <v>-3.48268761085808</v>
      </c>
      <c r="L9" t="s">
        <v>1751</v>
      </c>
      <c r="M9" t="s">
        <v>50</v>
      </c>
      <c r="N9" t="s">
        <v>1491</v>
      </c>
      <c r="O9" t="s">
        <v>1749</v>
      </c>
      <c r="P9" t="s">
        <v>1486</v>
      </c>
      <c r="Q9"/>
    </row>
    <row r="10">
      <c r="A10" t="s">
        <v>62</v>
      </c>
      <c r="B10" t="s">
        <v>417</v>
      </c>
      <c r="C10" s="26" t="n">
        <v>-0.141752577319588</v>
      </c>
      <c r="D10" s="26" t="n">
        <v>0.282709859868624</v>
      </c>
      <c r="E10" s="26" t="n">
        <v>-0.501406556479708</v>
      </c>
      <c r="F10" t="n">
        <v>0.616769931724474</v>
      </c>
      <c r="G10" t="n">
        <v>161</v>
      </c>
      <c r="H10" t="s">
        <v>1487</v>
      </c>
      <c r="I10" s="26" t="n">
        <v>-0.141752577319588</v>
      </c>
      <c r="J10" s="26" t="n">
        <v>-0.700050296206159</v>
      </c>
      <c r="K10" s="26" t="n">
        <v>0.416545141566984</v>
      </c>
      <c r="L10" t="s">
        <v>1752</v>
      </c>
      <c r="M10" t="s">
        <v>1523</v>
      </c>
      <c r="N10" t="s">
        <v>1491</v>
      </c>
      <c r="O10" t="s">
        <v>1749</v>
      </c>
      <c r="P10" t="s">
        <v>1486</v>
      </c>
      <c r="Q10"/>
    </row>
    <row r="11">
      <c r="A11" t="s">
        <v>68</v>
      </c>
      <c r="B11" t="s">
        <v>1481</v>
      </c>
      <c r="C11" s="26" t="n">
        <v>-0.860824742268041</v>
      </c>
      <c r="D11" s="26" t="n">
        <v>0.051976313873867</v>
      </c>
      <c r="E11" s="26" t="n">
        <v>-16.5618659368003</v>
      </c>
      <c r="F11" t="n">
        <v>0.00000000000000000000000000000000000133030059687225</v>
      </c>
      <c r="G11" t="n">
        <v>161</v>
      </c>
      <c r="H11" t="s">
        <v>1482</v>
      </c>
      <c r="I11" s="26" t="n">
        <v>-0.860824742268041</v>
      </c>
      <c r="J11" s="26" t="n">
        <v>-0.963467987485584</v>
      </c>
      <c r="K11" s="26" t="n">
        <v>-0.758181497050498</v>
      </c>
      <c r="L11" t="s">
        <v>1753</v>
      </c>
      <c r="M11" t="s">
        <v>50</v>
      </c>
      <c r="N11" t="s">
        <v>1491</v>
      </c>
      <c r="O11" t="s">
        <v>1749</v>
      </c>
      <c r="P11" t="s">
        <v>1486</v>
      </c>
      <c r="Q11"/>
    </row>
    <row r="12">
      <c r="A12" t="s">
        <v>68</v>
      </c>
      <c r="B12" t="s">
        <v>417</v>
      </c>
      <c r="C12" s="26" t="n">
        <v>0.0360824742268041</v>
      </c>
      <c r="D12" s="26" t="n">
        <v>0.0744514325179606</v>
      </c>
      <c r="E12" s="26" t="n">
        <v>0.48464445889741</v>
      </c>
      <c r="F12" t="n">
        <v>0.628587266583449</v>
      </c>
      <c r="G12" t="n">
        <v>161</v>
      </c>
      <c r="H12" t="s">
        <v>1487</v>
      </c>
      <c r="I12" s="26" t="n">
        <v>0.0360824742268041</v>
      </c>
      <c r="J12" s="26" t="n">
        <v>-0.110944817152176</v>
      </c>
      <c r="K12" s="26" t="n">
        <v>0.183109765605785</v>
      </c>
      <c r="L12" t="s">
        <v>1754</v>
      </c>
      <c r="M12" t="s">
        <v>494</v>
      </c>
      <c r="N12" t="s">
        <v>1491</v>
      </c>
      <c r="O12" t="s">
        <v>1749</v>
      </c>
      <c r="P12" t="s">
        <v>1486</v>
      </c>
      <c r="Q12"/>
    </row>
    <row r="13">
      <c r="A13" t="s">
        <v>76</v>
      </c>
      <c r="B13" t="s">
        <v>1481</v>
      </c>
      <c r="C13" s="26" t="n">
        <v>1.14372341189833</v>
      </c>
      <c r="D13" s="26" t="n">
        <v>0.0480880629855407</v>
      </c>
      <c r="E13" s="26" t="n">
        <v>23.7839359893168</v>
      </c>
      <c r="F13" t="n">
        <v>0.00000000000000000000000000000000000000000000000000000145562731844453</v>
      </c>
      <c r="G13" t="n">
        <v>161</v>
      </c>
      <c r="H13" t="s">
        <v>1482</v>
      </c>
      <c r="I13" s="26" t="n">
        <v>1.14372341189833</v>
      </c>
      <c r="J13" s="26" t="n">
        <v>1.04875871599782</v>
      </c>
      <c r="K13" s="26" t="n">
        <v>1.23868810779885</v>
      </c>
      <c r="L13" t="s">
        <v>1755</v>
      </c>
      <c r="M13" t="s">
        <v>50</v>
      </c>
      <c r="N13" t="s">
        <v>1491</v>
      </c>
      <c r="O13" t="s">
        <v>1749</v>
      </c>
      <c r="P13" t="s">
        <v>1486</v>
      </c>
      <c r="Q13"/>
    </row>
    <row r="14">
      <c r="A14" t="s">
        <v>76</v>
      </c>
      <c r="B14" t="s">
        <v>417</v>
      </c>
      <c r="C14" s="26" t="n">
        <v>0.0409567585696515</v>
      </c>
      <c r="D14" s="26" t="n">
        <v>0.0734359118646355</v>
      </c>
      <c r="E14" s="26" t="n">
        <v>0.557721113957803</v>
      </c>
      <c r="F14" t="n">
        <v>0.577809485141033</v>
      </c>
      <c r="G14" t="n">
        <v>161</v>
      </c>
      <c r="H14" t="s">
        <v>1487</v>
      </c>
      <c r="I14" s="26" t="n">
        <v>0.0409567585696515</v>
      </c>
      <c r="J14" s="26" t="n">
        <v>-0.104065074405801</v>
      </c>
      <c r="K14" s="26" t="n">
        <v>0.185978591545105</v>
      </c>
      <c r="L14" t="s">
        <v>1756</v>
      </c>
      <c r="M14" t="s">
        <v>465</v>
      </c>
      <c r="N14" t="s">
        <v>1491</v>
      </c>
      <c r="O14" t="s">
        <v>1749</v>
      </c>
      <c r="P14" t="s">
        <v>1486</v>
      </c>
      <c r="Q14"/>
    </row>
    <row r="15">
      <c r="A15" t="s">
        <v>82</v>
      </c>
      <c r="B15" t="s">
        <v>1481</v>
      </c>
      <c r="C15" s="26" t="n">
        <v>-0.023137940558196</v>
      </c>
      <c r="D15" s="26" t="n">
        <v>0.0073963769397139</v>
      </c>
      <c r="E15" s="26" t="n">
        <v>-3.12828033871014</v>
      </c>
      <c r="F15" t="n">
        <v>0.00208752900922417</v>
      </c>
      <c r="G15" t="n">
        <v>161</v>
      </c>
      <c r="H15" t="s">
        <v>1482</v>
      </c>
      <c r="I15" s="26" t="n">
        <v>-0.023137940558196</v>
      </c>
      <c r="J15" s="26" t="n">
        <v>-0.0377443655883893</v>
      </c>
      <c r="K15" s="26" t="n">
        <v>-0.00853151552800274</v>
      </c>
      <c r="L15" t="s">
        <v>1757</v>
      </c>
      <c r="M15" t="s">
        <v>567</v>
      </c>
      <c r="N15" t="s">
        <v>1491</v>
      </c>
      <c r="O15" t="s">
        <v>1749</v>
      </c>
      <c r="P15" t="s">
        <v>1486</v>
      </c>
      <c r="Q15"/>
    </row>
    <row r="16">
      <c r="A16" t="s">
        <v>82</v>
      </c>
      <c r="B16" t="s">
        <v>417</v>
      </c>
      <c r="C16" s="26" t="n">
        <v>-0.00394319663620948</v>
      </c>
      <c r="D16" s="26" t="n">
        <v>0.010132862335546</v>
      </c>
      <c r="E16" s="26" t="n">
        <v>-0.389149334672867</v>
      </c>
      <c r="F16" t="n">
        <v>0.697679892821309</v>
      </c>
      <c r="G16" t="n">
        <v>161</v>
      </c>
      <c r="H16" t="s">
        <v>1487</v>
      </c>
      <c r="I16" s="26" t="n">
        <v>-0.00394319663620948</v>
      </c>
      <c r="J16" s="26" t="n">
        <v>-0.0239536551690526</v>
      </c>
      <c r="K16" s="26" t="n">
        <v>0.0160672618966336</v>
      </c>
      <c r="L16" t="s">
        <v>1758</v>
      </c>
      <c r="M16" t="s">
        <v>1657</v>
      </c>
      <c r="N16" t="s">
        <v>1491</v>
      </c>
      <c r="O16" t="s">
        <v>1749</v>
      </c>
      <c r="P16" t="s">
        <v>1486</v>
      </c>
      <c r="Q16"/>
    </row>
    <row r="17">
      <c r="A17" t="s">
        <v>89</v>
      </c>
      <c r="B17" t="s">
        <v>1481</v>
      </c>
      <c r="C17" s="26" t="n">
        <v>536.659793814433</v>
      </c>
      <c r="D17" s="26" t="n">
        <v>2.49051578982824</v>
      </c>
      <c r="E17" s="26" t="n">
        <v>215.481385826285</v>
      </c>
      <c r="F17" t="n">
        <v>0.0000000000000000000000000000000000000000000000000000000000000000000000000000000000000000000000000000000000000000000000000000000000000000000000000000000000000000000000000000000000000000000000000000000444726574649676</v>
      </c>
      <c r="G17" t="n">
        <v>161</v>
      </c>
      <c r="H17" t="s">
        <v>1482</v>
      </c>
      <c r="I17" s="26" t="n">
        <v>536.659793814433</v>
      </c>
      <c r="J17" s="26" t="n">
        <v>531.741503080045</v>
      </c>
      <c r="K17" s="26" t="n">
        <v>541.578084548821</v>
      </c>
      <c r="L17" t="s">
        <v>1759</v>
      </c>
      <c r="M17" t="s">
        <v>50</v>
      </c>
      <c r="N17" t="s">
        <v>1491</v>
      </c>
      <c r="O17" t="s">
        <v>1749</v>
      </c>
      <c r="P17" t="s">
        <v>1486</v>
      </c>
      <c r="Q17"/>
    </row>
    <row r="18">
      <c r="A18" t="s">
        <v>89</v>
      </c>
      <c r="B18" t="s">
        <v>417</v>
      </c>
      <c r="C18" s="26" t="n">
        <v>-2.55670103092785</v>
      </c>
      <c r="D18" s="26" t="n">
        <v>4.1180769783174</v>
      </c>
      <c r="E18" s="26" t="n">
        <v>-0.620848285350045</v>
      </c>
      <c r="F18" t="n">
        <v>0.535577378424109</v>
      </c>
      <c r="G18" t="n">
        <v>161</v>
      </c>
      <c r="H18" t="s">
        <v>1487</v>
      </c>
      <c r="I18" s="26" t="n">
        <v>-2.55670103092785</v>
      </c>
      <c r="J18" s="26" t="n">
        <v>-10.6891127701658</v>
      </c>
      <c r="K18" s="26" t="n">
        <v>5.57571070831008</v>
      </c>
      <c r="L18" t="s">
        <v>1760</v>
      </c>
      <c r="M18" t="s">
        <v>1598</v>
      </c>
      <c r="N18" t="s">
        <v>1491</v>
      </c>
      <c r="O18" t="s">
        <v>1749</v>
      </c>
      <c r="P18" t="s">
        <v>1486</v>
      </c>
      <c r="Q18"/>
    </row>
    <row r="19">
      <c r="A19" t="s">
        <v>95</v>
      </c>
      <c r="B19" t="s">
        <v>1481</v>
      </c>
      <c r="C19" s="26" t="n">
        <v>43.6189417989418</v>
      </c>
      <c r="D19" s="26" t="n">
        <v>0.156412330687738</v>
      </c>
      <c r="E19" s="26" t="n">
        <v>278.871503334496</v>
      </c>
      <c r="F19" t="n">
        <v>4.62819259571526e-218</v>
      </c>
      <c r="G19" t="n">
        <v>161</v>
      </c>
      <c r="H19" t="s">
        <v>1482</v>
      </c>
      <c r="I19" s="26" t="n">
        <v>43.6189417989418</v>
      </c>
      <c r="J19" s="26" t="n">
        <v>43.3100574626499</v>
      </c>
      <c r="K19" s="26" t="n">
        <v>43.9278261352337</v>
      </c>
      <c r="L19" t="s">
        <v>1761</v>
      </c>
      <c r="M19" t="s">
        <v>50</v>
      </c>
      <c r="N19" t="s">
        <v>1491</v>
      </c>
      <c r="O19" t="s">
        <v>1749</v>
      </c>
      <c r="P19" t="s">
        <v>1486</v>
      </c>
      <c r="Q19"/>
    </row>
    <row r="20">
      <c r="A20" t="s">
        <v>95</v>
      </c>
      <c r="B20" t="s">
        <v>417</v>
      </c>
      <c r="C20" s="26" t="n">
        <v>-0.239462632275131</v>
      </c>
      <c r="D20" s="26" t="n">
        <v>0.24813130556314</v>
      </c>
      <c r="E20" s="26" t="n">
        <v>-0.965064169277895</v>
      </c>
      <c r="F20" t="n">
        <v>0.335960017210366</v>
      </c>
      <c r="G20" t="n">
        <v>161</v>
      </c>
      <c r="H20" t="s">
        <v>1487</v>
      </c>
      <c r="I20" s="26" t="n">
        <v>-0.239462632275131</v>
      </c>
      <c r="J20" s="26" t="n">
        <v>-0.729474342318153</v>
      </c>
      <c r="K20" s="26" t="n">
        <v>0.250549077767892</v>
      </c>
      <c r="L20" t="s">
        <v>1762</v>
      </c>
      <c r="M20" t="s">
        <v>1667</v>
      </c>
      <c r="N20" t="s">
        <v>1491</v>
      </c>
      <c r="O20" t="s">
        <v>1749</v>
      </c>
      <c r="P20" t="s">
        <v>1486</v>
      </c>
      <c r="Q20"/>
    </row>
    <row r="21">
      <c r="A21" t="s">
        <v>103</v>
      </c>
      <c r="B21"/>
      <c r="C21" s="26"/>
      <c r="D21" s="26"/>
      <c r="E21" s="26"/>
      <c r="F21"/>
      <c r="G21"/>
      <c r="H21"/>
      <c r="I21" s="26"/>
      <c r="J21" s="26"/>
      <c r="K21" s="26"/>
      <c r="L21"/>
      <c r="M21" t="s">
        <v>109</v>
      </c>
      <c r="N21"/>
      <c r="O21" t="s">
        <v>1515</v>
      </c>
      <c r="P21"/>
      <c r="Q21"/>
    </row>
    <row r="22">
      <c r="A22" t="s">
        <v>23</v>
      </c>
      <c r="B22" t="s">
        <v>1481</v>
      </c>
      <c r="C22" s="26" t="n">
        <v>0.38641691313747</v>
      </c>
      <c r="D22" s="26" t="n">
        <v>0.221348847677584</v>
      </c>
      <c r="E22" s="26" t="n">
        <v>1.74573717998444</v>
      </c>
      <c r="F22" t="n">
        <v>0.0827642347658283</v>
      </c>
      <c r="G22" t="n">
        <v>161</v>
      </c>
      <c r="H22" t="s">
        <v>1516</v>
      </c>
      <c r="I22" s="26" t="n">
        <v>1.47169811320755</v>
      </c>
      <c r="J22" s="26" t="n">
        <v>0.950559441088518</v>
      </c>
      <c r="K22" s="26" t="n">
        <v>2.27854802424393</v>
      </c>
      <c r="L22" t="s">
        <v>1763</v>
      </c>
      <c r="M22" t="s">
        <v>122</v>
      </c>
      <c r="N22" t="s">
        <v>1491</v>
      </c>
      <c r="O22" t="s">
        <v>1764</v>
      </c>
      <c r="P22" t="s">
        <v>1486</v>
      </c>
      <c r="Q22"/>
    </row>
    <row r="23">
      <c r="A23" t="s">
        <v>23</v>
      </c>
      <c r="B23" t="s">
        <v>417</v>
      </c>
      <c r="C23" s="26" t="n">
        <v>0.116686664534609</v>
      </c>
      <c r="D23" s="26" t="n">
        <v>0.335471650380494</v>
      </c>
      <c r="E23" s="26" t="n">
        <v>0.34782868955473</v>
      </c>
      <c r="F23" t="n">
        <v>0.728423175073522</v>
      </c>
      <c r="G23" t="n">
        <v>161</v>
      </c>
      <c r="H23" t="s">
        <v>1520</v>
      </c>
      <c r="I23" s="26" t="n">
        <v>1.12376725838264</v>
      </c>
      <c r="J23" s="26" t="n">
        <v>0.579374929010288</v>
      </c>
      <c r="K23" s="26" t="n">
        <v>2.17968156331876</v>
      </c>
      <c r="L23" t="s">
        <v>1765</v>
      </c>
      <c r="M23" t="s">
        <v>1766</v>
      </c>
      <c r="N23" t="s">
        <v>1491</v>
      </c>
      <c r="O23" t="s">
        <v>1764</v>
      </c>
      <c r="P23" t="s">
        <v>1486</v>
      </c>
      <c r="Q23"/>
    </row>
    <row r="24">
      <c r="A24" t="s">
        <v>1524</v>
      </c>
      <c r="B24" t="s">
        <v>1481</v>
      </c>
      <c r="C24" s="26" t="n">
        <v>-1.6141885151927</v>
      </c>
      <c r="D24" s="26" t="n">
        <v>0.308918352272079</v>
      </c>
      <c r="E24" s="26" t="n">
        <v>-5.22529174236629</v>
      </c>
      <c r="F24" t="n">
        <v>0.000000556998231112656</v>
      </c>
      <c r="G24" t="n">
        <v>154</v>
      </c>
      <c r="H24" t="s">
        <v>1516</v>
      </c>
      <c r="I24" s="26" t="n">
        <v>0.199052132701422</v>
      </c>
      <c r="J24" s="26" t="n">
        <v>0.108126544323044</v>
      </c>
      <c r="K24" s="26" t="n">
        <v>0.366438711058857</v>
      </c>
      <c r="L24" t="s">
        <v>1767</v>
      </c>
      <c r="M24" t="s">
        <v>50</v>
      </c>
      <c r="N24" t="s">
        <v>1491</v>
      </c>
      <c r="O24" t="s">
        <v>1768</v>
      </c>
      <c r="P24" t="s">
        <v>1486</v>
      </c>
      <c r="Q24"/>
    </row>
    <row r="25">
      <c r="A25" t="s">
        <v>1524</v>
      </c>
      <c r="B25" t="s">
        <v>417</v>
      </c>
      <c r="C25" s="26" t="n">
        <v>-1.1266515087325</v>
      </c>
      <c r="D25" s="26" t="n">
        <v>0.608121003877157</v>
      </c>
      <c r="E25" s="26" t="n">
        <v>-1.85267652580553</v>
      </c>
      <c r="F25" t="n">
        <v>0.0658427142576309</v>
      </c>
      <c r="G25" t="n">
        <v>154</v>
      </c>
      <c r="H25" t="s">
        <v>1520</v>
      </c>
      <c r="I25" s="26" t="n">
        <v>0.324116743471582</v>
      </c>
      <c r="J25" s="26" t="n">
        <v>0.0974917724318532</v>
      </c>
      <c r="K25" s="26" t="n">
        <v>1.07754388681419</v>
      </c>
      <c r="L25" t="s">
        <v>1769</v>
      </c>
      <c r="M25" t="s">
        <v>72</v>
      </c>
      <c r="N25" t="s">
        <v>1491</v>
      </c>
      <c r="O25" t="s">
        <v>1768</v>
      </c>
      <c r="P25" t="s">
        <v>1486</v>
      </c>
      <c r="Q25"/>
    </row>
    <row r="26">
      <c r="A26" t="s">
        <v>1529</v>
      </c>
      <c r="B26"/>
      <c r="C26" s="26"/>
      <c r="D26" s="26"/>
      <c r="E26" s="26"/>
      <c r="F26"/>
      <c r="G26"/>
      <c r="H26"/>
      <c r="I26" s="26"/>
      <c r="J26" s="26"/>
      <c r="K26" s="26"/>
      <c r="L26"/>
      <c r="M26" t="s">
        <v>109</v>
      </c>
      <c r="N26"/>
      <c r="O26" t="s">
        <v>1530</v>
      </c>
      <c r="P26"/>
      <c r="Q26"/>
    </row>
    <row r="28">
      <c r="A28" s="1" t="s">
        <v>1770</v>
      </c>
    </row>
    <row r="29">
      <c r="A29" t="s">
        <v>1465</v>
      </c>
      <c r="B29" t="s">
        <v>1466</v>
      </c>
      <c r="C29" t="s">
        <v>1467</v>
      </c>
      <c r="D29" t="s">
        <v>1468</v>
      </c>
      <c r="E29" t="s">
        <v>1469</v>
      </c>
      <c r="F29" t="s">
        <v>1470</v>
      </c>
      <c r="G29" t="s">
        <v>1471</v>
      </c>
      <c r="H29" t="s">
        <v>1472</v>
      </c>
      <c r="I29" t="s">
        <v>1473</v>
      </c>
      <c r="J29" t="s">
        <v>1474</v>
      </c>
      <c r="K29" t="s">
        <v>1475</v>
      </c>
      <c r="L29" t="s">
        <v>1476</v>
      </c>
      <c r="M29" t="s">
        <v>41</v>
      </c>
      <c r="N29" t="s">
        <v>1477</v>
      </c>
      <c r="O29" t="s">
        <v>1478</v>
      </c>
      <c r="P29" t="s">
        <v>1479</v>
      </c>
      <c r="Q29" t="s">
        <v>1</v>
      </c>
    </row>
    <row r="30">
      <c r="A30" t="s">
        <v>1532</v>
      </c>
      <c r="B30" t="s">
        <v>1481</v>
      </c>
      <c r="C30" s="26" t="n">
        <v>6.48778625954199</v>
      </c>
      <c r="D30" s="26" t="n">
        <v>0.0166139517882111</v>
      </c>
      <c r="E30" s="26" t="n">
        <v>390.502292425428</v>
      </c>
      <c r="F30" t="n">
        <v>1.44302113663728e-241</v>
      </c>
      <c r="G30" t="n">
        <v>161</v>
      </c>
      <c r="H30" t="s">
        <v>1482</v>
      </c>
      <c r="I30" s="26" t="n">
        <v>6.48778625954199</v>
      </c>
      <c r="J30" s="26" t="n">
        <v>6.45497689311465</v>
      </c>
      <c r="K30" s="26" t="n">
        <v>6.52059562596932</v>
      </c>
      <c r="L30" t="s">
        <v>1771</v>
      </c>
      <c r="M30" t="s">
        <v>50</v>
      </c>
      <c r="N30" t="s">
        <v>1491</v>
      </c>
      <c r="O30" t="s">
        <v>1746</v>
      </c>
      <c r="P30" t="s">
        <v>1486</v>
      </c>
      <c r="Q30"/>
    </row>
    <row r="31">
      <c r="A31" t="s">
        <v>1532</v>
      </c>
      <c r="B31" t="s">
        <v>417</v>
      </c>
      <c r="C31" s="26" t="n">
        <v>-0.0356123464985064</v>
      </c>
      <c r="D31" s="26" t="n">
        <v>0.0240228863223604</v>
      </c>
      <c r="E31" s="26" t="n">
        <v>-1.48243412638383</v>
      </c>
      <c r="F31" t="n">
        <v>0.140179546773677</v>
      </c>
      <c r="G31" t="n">
        <v>161</v>
      </c>
      <c r="H31" t="s">
        <v>1487</v>
      </c>
      <c r="I31" s="26" t="n">
        <v>-0.0356123464985064</v>
      </c>
      <c r="J31" s="26" t="n">
        <v>-0.083052936795137</v>
      </c>
      <c r="K31" s="26" t="n">
        <v>0.0118282437981241</v>
      </c>
      <c r="L31" t="s">
        <v>1772</v>
      </c>
      <c r="M31" t="s">
        <v>1698</v>
      </c>
      <c r="N31" t="s">
        <v>1491</v>
      </c>
      <c r="O31" t="s">
        <v>1746</v>
      </c>
      <c r="P31" t="s">
        <v>1486</v>
      </c>
      <c r="Q31"/>
    </row>
    <row r="32">
      <c r="A32" t="s">
        <v>145</v>
      </c>
      <c r="B32" t="s">
        <v>1481</v>
      </c>
      <c r="C32" s="26" t="n">
        <v>67.1340206185567</v>
      </c>
      <c r="D32" s="26" t="n">
        <v>2.52228366432879</v>
      </c>
      <c r="E32" s="26" t="n">
        <v>26.6163641972529</v>
      </c>
      <c r="F32" t="n">
        <v>0.000000000000000000000000000000000000000000000000000000000000763449261904103</v>
      </c>
      <c r="G32" t="n">
        <v>161</v>
      </c>
      <c r="H32" t="s">
        <v>1482</v>
      </c>
      <c r="I32" s="26" t="n">
        <v>67.1340206185567</v>
      </c>
      <c r="J32" s="26" t="n">
        <v>62.1529944285469</v>
      </c>
      <c r="K32" s="26" t="n">
        <v>72.1150468085665</v>
      </c>
      <c r="L32" t="s">
        <v>1773</v>
      </c>
      <c r="M32" t="s">
        <v>50</v>
      </c>
      <c r="N32" t="s">
        <v>1491</v>
      </c>
      <c r="O32" t="s">
        <v>1749</v>
      </c>
      <c r="P32" t="s">
        <v>1486</v>
      </c>
      <c r="Q32"/>
    </row>
    <row r="33">
      <c r="A33" t="s">
        <v>145</v>
      </c>
      <c r="B33" t="s">
        <v>417</v>
      </c>
      <c r="C33" s="26" t="n">
        <v>1.14432989690722</v>
      </c>
      <c r="D33" s="26" t="n">
        <v>3.77661318237809</v>
      </c>
      <c r="E33" s="26" t="n">
        <v>0.30300426377971</v>
      </c>
      <c r="F33" t="n">
        <v>0.762277767782039</v>
      </c>
      <c r="G33" t="n">
        <v>161</v>
      </c>
      <c r="H33" t="s">
        <v>1487</v>
      </c>
      <c r="I33" s="26" t="n">
        <v>1.14432989690722</v>
      </c>
      <c r="J33" s="26" t="n">
        <v>-6.31375637506948</v>
      </c>
      <c r="K33" s="26" t="n">
        <v>8.60241616888392</v>
      </c>
      <c r="L33" t="s">
        <v>1774</v>
      </c>
      <c r="M33" t="s">
        <v>444</v>
      </c>
      <c r="N33" t="s">
        <v>1491</v>
      </c>
      <c r="O33" t="s">
        <v>1749</v>
      </c>
      <c r="P33" t="s">
        <v>1486</v>
      </c>
      <c r="Q33"/>
    </row>
    <row r="34">
      <c r="A34" t="s">
        <v>1539</v>
      </c>
      <c r="B34"/>
      <c r="C34" s="26"/>
      <c r="D34" s="26"/>
      <c r="E34" s="26"/>
      <c r="F34"/>
      <c r="G34"/>
      <c r="H34"/>
      <c r="I34" s="26"/>
      <c r="J34" s="26"/>
      <c r="K34" s="26"/>
      <c r="L34"/>
      <c r="M34" t="s">
        <v>109</v>
      </c>
      <c r="N34"/>
      <c r="O34" t="s">
        <v>1530</v>
      </c>
      <c r="P34"/>
      <c r="Q34"/>
    </row>
    <row r="36">
      <c r="A36" s="1" t="s">
        <v>1775</v>
      </c>
    </row>
    <row r="37">
      <c r="A37" t="s">
        <v>1465</v>
      </c>
      <c r="B37" t="s">
        <v>1466</v>
      </c>
      <c r="C37" t="s">
        <v>1467</v>
      </c>
      <c r="D37" t="s">
        <v>1468</v>
      </c>
      <c r="E37" t="s">
        <v>1469</v>
      </c>
      <c r="F37" t="s">
        <v>1470</v>
      </c>
      <c r="G37" t="s">
        <v>1471</v>
      </c>
      <c r="H37" t="s">
        <v>1472</v>
      </c>
      <c r="I37" t="s">
        <v>1473</v>
      </c>
      <c r="J37" t="s">
        <v>1474</v>
      </c>
      <c r="K37" t="s">
        <v>1475</v>
      </c>
      <c r="L37" t="s">
        <v>1476</v>
      </c>
      <c r="M37" t="s">
        <v>41</v>
      </c>
      <c r="N37" t="s">
        <v>1477</v>
      </c>
      <c r="O37" t="s">
        <v>1478</v>
      </c>
      <c r="P37" t="s">
        <v>1479</v>
      </c>
      <c r="Q37" t="s">
        <v>1</v>
      </c>
    </row>
    <row r="38">
      <c r="A38" t="s">
        <v>167</v>
      </c>
      <c r="B38" t="s">
        <v>1481</v>
      </c>
      <c r="C38" s="26" t="n">
        <v>181.597633136095</v>
      </c>
      <c r="D38" s="26" t="n">
        <v>1.49454322873929</v>
      </c>
      <c r="E38" s="26" t="n">
        <v>121.507113105909</v>
      </c>
      <c r="F38" t="n">
        <v>0.000000000000000000000000000000000000000000000000000000000000000000000000000000000000000000000000000000000000000000000000000000000000000000000000000884725792413965</v>
      </c>
      <c r="G38" t="n">
        <v>145</v>
      </c>
      <c r="H38" t="s">
        <v>1482</v>
      </c>
      <c r="I38" s="26" t="n">
        <v>181.597633136095</v>
      </c>
      <c r="J38" s="26" t="n">
        <v>178.643728879885</v>
      </c>
      <c r="K38" s="26" t="n">
        <v>184.551537392305</v>
      </c>
      <c r="L38" t="s">
        <v>1776</v>
      </c>
      <c r="M38" t="s">
        <v>50</v>
      </c>
      <c r="N38" t="s">
        <v>1491</v>
      </c>
      <c r="O38" t="s">
        <v>1749</v>
      </c>
      <c r="P38" t="s">
        <v>1486</v>
      </c>
      <c r="Q38"/>
    </row>
    <row r="39">
      <c r="A39" t="s">
        <v>167</v>
      </c>
      <c r="B39" t="s">
        <v>417</v>
      </c>
      <c r="C39" s="26" t="n">
        <v>-4.20202874049028</v>
      </c>
      <c r="D39" s="26" t="n">
        <v>2.15843350557527</v>
      </c>
      <c r="E39" s="26" t="n">
        <v>-1.94679554854776</v>
      </c>
      <c r="F39" t="n">
        <v>0.0534921583621214</v>
      </c>
      <c r="G39" t="n">
        <v>145</v>
      </c>
      <c r="H39" t="s">
        <v>1487</v>
      </c>
      <c r="I39" s="26" t="n">
        <v>-4.20202874049028</v>
      </c>
      <c r="J39" s="26" t="n">
        <v>-8.4680852828918</v>
      </c>
      <c r="K39" s="26" t="n">
        <v>0.0640278019112452</v>
      </c>
      <c r="L39" t="s">
        <v>1777</v>
      </c>
      <c r="M39" t="s">
        <v>437</v>
      </c>
      <c r="N39" t="s">
        <v>1491</v>
      </c>
      <c r="O39" t="s">
        <v>1749</v>
      </c>
      <c r="P39" t="s">
        <v>1486</v>
      </c>
      <c r="Q39"/>
    </row>
    <row r="40">
      <c r="A40" t="s">
        <v>177</v>
      </c>
      <c r="B40" t="s">
        <v>1481</v>
      </c>
      <c r="C40" s="26" t="n">
        <v>-0.0377218934911243</v>
      </c>
      <c r="D40" s="26" t="n">
        <v>0.0431427044965827</v>
      </c>
      <c r="E40" s="26" t="n">
        <v>-0.874351618223474</v>
      </c>
      <c r="F40" t="n">
        <v>0.383372674485717</v>
      </c>
      <c r="G40" t="n">
        <v>145</v>
      </c>
      <c r="H40" t="s">
        <v>1482</v>
      </c>
      <c r="I40" s="26" t="n">
        <v>-0.0377218934911243</v>
      </c>
      <c r="J40" s="26" t="n">
        <v>-0.122991704351241</v>
      </c>
      <c r="K40" s="26" t="n">
        <v>0.0475479173689925</v>
      </c>
      <c r="L40" t="s">
        <v>1778</v>
      </c>
      <c r="M40" t="s">
        <v>1629</v>
      </c>
      <c r="N40" t="s">
        <v>1491</v>
      </c>
      <c r="O40" t="s">
        <v>1749</v>
      </c>
      <c r="P40" t="s">
        <v>1486</v>
      </c>
      <c r="Q40"/>
    </row>
    <row r="41">
      <c r="A41" t="s">
        <v>177</v>
      </c>
      <c r="B41" t="s">
        <v>417</v>
      </c>
      <c r="C41" s="26" t="n">
        <v>-0.201289095519865</v>
      </c>
      <c r="D41" s="26" t="n">
        <v>0.0595763949117918</v>
      </c>
      <c r="E41" s="26" t="n">
        <v>-3.37867196929071</v>
      </c>
      <c r="F41" t="n">
        <v>0.000935651950528817</v>
      </c>
      <c r="G41" t="n">
        <v>145</v>
      </c>
      <c r="H41" t="s">
        <v>1487</v>
      </c>
      <c r="I41" s="26" t="n">
        <v>-0.201289095519865</v>
      </c>
      <c r="J41" s="26" t="n">
        <v>-0.31903943095047</v>
      </c>
      <c r="K41" s="26" t="n">
        <v>-0.0835387600892591</v>
      </c>
      <c r="L41" t="s">
        <v>1779</v>
      </c>
      <c r="M41" t="s">
        <v>50</v>
      </c>
      <c r="N41" t="s">
        <v>1491</v>
      </c>
      <c r="O41" t="s">
        <v>1749</v>
      </c>
      <c r="P41" t="s">
        <v>1486</v>
      </c>
      <c r="Q41"/>
    </row>
    <row r="42">
      <c r="A42" t="s">
        <v>185</v>
      </c>
      <c r="B42" t="s">
        <v>1481</v>
      </c>
      <c r="C42" s="26" t="n">
        <v>-0.235207100591716</v>
      </c>
      <c r="D42" s="26" t="n">
        <v>0.0183646040707781</v>
      </c>
      <c r="E42" s="26" t="n">
        <v>-12.807632535132</v>
      </c>
      <c r="F42" t="n">
        <v>0.00000000000000000000000013460054393152</v>
      </c>
      <c r="G42" t="n">
        <v>145</v>
      </c>
      <c r="H42" t="s">
        <v>1482</v>
      </c>
      <c r="I42" s="26" t="n">
        <v>-0.235207100591716</v>
      </c>
      <c r="J42" s="26" t="n">
        <v>-0.271503997921373</v>
      </c>
      <c r="K42" s="26" t="n">
        <v>-0.198910203262059</v>
      </c>
      <c r="L42" t="s">
        <v>1780</v>
      </c>
      <c r="M42" t="s">
        <v>50</v>
      </c>
      <c r="N42" t="s">
        <v>1491</v>
      </c>
      <c r="O42" t="s">
        <v>1749</v>
      </c>
      <c r="P42" t="s">
        <v>1486</v>
      </c>
      <c r="Q42"/>
    </row>
    <row r="43">
      <c r="A43" t="s">
        <v>185</v>
      </c>
      <c r="B43" t="s">
        <v>417</v>
      </c>
      <c r="C43" s="26" t="n">
        <v>-0.00105663567202028</v>
      </c>
      <c r="D43" s="26" t="n">
        <v>0.0233244916154074</v>
      </c>
      <c r="E43" s="26" t="n">
        <v>-0.0453015520956649</v>
      </c>
      <c r="F43" t="n">
        <v>0.963929279521446</v>
      </c>
      <c r="G43" t="n">
        <v>145</v>
      </c>
      <c r="H43" t="s">
        <v>1487</v>
      </c>
      <c r="I43" s="26" t="n">
        <v>-0.00105663567202028</v>
      </c>
      <c r="J43" s="26" t="n">
        <v>-0.0471565501688435</v>
      </c>
      <c r="K43" s="26" t="n">
        <v>0.0450432788248029</v>
      </c>
      <c r="L43" t="s">
        <v>1781</v>
      </c>
      <c r="M43" t="s">
        <v>423</v>
      </c>
      <c r="N43" t="s">
        <v>1491</v>
      </c>
      <c r="O43" t="s">
        <v>1749</v>
      </c>
      <c r="P43" t="s">
        <v>1486</v>
      </c>
      <c r="Q43"/>
    </row>
    <row r="44">
      <c r="A44" t="s">
        <v>194</v>
      </c>
      <c r="B44" t="s">
        <v>1481</v>
      </c>
      <c r="C44" s="26" t="n">
        <v>-0.0411311727558427</v>
      </c>
      <c r="D44" s="26" t="n">
        <v>0.0114655030631948</v>
      </c>
      <c r="E44" s="26" t="n">
        <v>-3.58738491709772</v>
      </c>
      <c r="F44" t="n">
        <v>0.000457815153183312</v>
      </c>
      <c r="G44" t="n">
        <v>143</v>
      </c>
      <c r="H44" t="s">
        <v>1482</v>
      </c>
      <c r="I44" s="26" t="n">
        <v>-0.0411311727558427</v>
      </c>
      <c r="J44" s="26" t="n">
        <v>-0.0637949432061999</v>
      </c>
      <c r="K44" s="26" t="n">
        <v>-0.0184674023054854</v>
      </c>
      <c r="L44" t="s">
        <v>1782</v>
      </c>
      <c r="M44" t="s">
        <v>50</v>
      </c>
      <c r="N44" t="s">
        <v>1491</v>
      </c>
      <c r="O44" t="s">
        <v>1749</v>
      </c>
      <c r="P44" t="s">
        <v>1486</v>
      </c>
      <c r="Q44"/>
    </row>
    <row r="45">
      <c r="A45" t="s">
        <v>194</v>
      </c>
      <c r="B45" t="s">
        <v>417</v>
      </c>
      <c r="C45" s="26" t="n">
        <v>0.0314062966668582</v>
      </c>
      <c r="D45" s="26" t="n">
        <v>0.017607102977986</v>
      </c>
      <c r="E45" s="26" t="n">
        <v>1.78372880002605</v>
      </c>
      <c r="F45" t="n">
        <v>0.0765886463168889</v>
      </c>
      <c r="G45" t="n">
        <v>143</v>
      </c>
      <c r="H45" t="s">
        <v>1487</v>
      </c>
      <c r="I45" s="26" t="n">
        <v>0.0314062966668582</v>
      </c>
      <c r="J45" s="26" t="n">
        <v>-0.00339752641787321</v>
      </c>
      <c r="K45" s="26" t="n">
        <v>0.0662101197515896</v>
      </c>
      <c r="L45" t="s">
        <v>1783</v>
      </c>
      <c r="M45" t="s">
        <v>122</v>
      </c>
      <c r="N45" t="s">
        <v>1491</v>
      </c>
      <c r="O45" t="s">
        <v>1749</v>
      </c>
      <c r="P45" t="s">
        <v>1486</v>
      </c>
      <c r="Q45"/>
    </row>
    <row r="46">
      <c r="A46" t="s">
        <v>203</v>
      </c>
      <c r="B46" t="s">
        <v>1481</v>
      </c>
      <c r="C46" s="26" t="n">
        <v>-0.0710468702024794</v>
      </c>
      <c r="D46" s="26" t="n">
        <v>0.0114133385175217</v>
      </c>
      <c r="E46" s="26" t="n">
        <v>-6.22489818324486</v>
      </c>
      <c r="F46" t="n">
        <v>0.00000000490749841164982</v>
      </c>
      <c r="G46" t="n">
        <v>145</v>
      </c>
      <c r="H46" t="s">
        <v>1482</v>
      </c>
      <c r="I46" s="26" t="n">
        <v>-0.0710468702024794</v>
      </c>
      <c r="J46" s="26" t="n">
        <v>-0.0936048722570017</v>
      </c>
      <c r="K46" s="26" t="n">
        <v>-0.0484888681479571</v>
      </c>
      <c r="L46" t="s">
        <v>1784</v>
      </c>
      <c r="M46" t="s">
        <v>50</v>
      </c>
      <c r="N46" t="s">
        <v>1491</v>
      </c>
      <c r="O46" t="s">
        <v>1749</v>
      </c>
      <c r="P46" t="s">
        <v>1486</v>
      </c>
      <c r="Q46"/>
    </row>
    <row r="47">
      <c r="A47" t="s">
        <v>203</v>
      </c>
      <c r="B47" t="s">
        <v>417</v>
      </c>
      <c r="C47" s="26" t="n">
        <v>0.0264405985699704</v>
      </c>
      <c r="D47" s="26" t="n">
        <v>0.015697005695794</v>
      </c>
      <c r="E47" s="26" t="n">
        <v>1.68443581421743</v>
      </c>
      <c r="F47" t="n">
        <v>0.0942487921027745</v>
      </c>
      <c r="G47" t="n">
        <v>145</v>
      </c>
      <c r="H47" t="s">
        <v>1487</v>
      </c>
      <c r="I47" s="26" t="n">
        <v>0.0264405985699704</v>
      </c>
      <c r="J47" s="26" t="n">
        <v>-0.00458389844218491</v>
      </c>
      <c r="K47" s="26" t="n">
        <v>0.0574650955821258</v>
      </c>
      <c r="L47" t="s">
        <v>1551</v>
      </c>
      <c r="M47" t="s">
        <v>446</v>
      </c>
      <c r="N47" t="s">
        <v>1491</v>
      </c>
      <c r="O47" t="s">
        <v>1749</v>
      </c>
      <c r="P47" t="s">
        <v>1486</v>
      </c>
      <c r="Q47"/>
    </row>
    <row r="48">
      <c r="A48" t="s">
        <v>212</v>
      </c>
      <c r="B48"/>
      <c r="C48" s="26"/>
      <c r="D48" s="26"/>
      <c r="E48" s="26"/>
      <c r="F48"/>
      <c r="G48"/>
      <c r="H48"/>
      <c r="I48" s="26"/>
      <c r="J48" s="26"/>
      <c r="K48" s="26"/>
      <c r="L48"/>
      <c r="M48" t="s">
        <v>109</v>
      </c>
      <c r="N48"/>
      <c r="O48" t="s">
        <v>1515</v>
      </c>
      <c r="P48"/>
      <c r="Q48"/>
    </row>
    <row r="49">
      <c r="A49" t="s">
        <v>216</v>
      </c>
      <c r="B49"/>
      <c r="C49" s="26"/>
      <c r="D49" s="26"/>
      <c r="E49" s="26"/>
      <c r="F49"/>
      <c r="G49"/>
      <c r="H49"/>
      <c r="I49" s="26"/>
      <c r="J49" s="26"/>
      <c r="K49" s="26"/>
      <c r="L49"/>
      <c r="M49" t="s">
        <v>109</v>
      </c>
      <c r="N49"/>
      <c r="O49" t="s">
        <v>1515</v>
      </c>
      <c r="P49"/>
      <c r="Q49"/>
    </row>
    <row r="50">
      <c r="A50" t="s">
        <v>1556</v>
      </c>
      <c r="B50" t="s">
        <v>1481</v>
      </c>
      <c r="C50" s="26" t="n">
        <v>-1.37891425382227</v>
      </c>
      <c r="D50" s="26" t="n">
        <v>0.294900124383698</v>
      </c>
      <c r="E50" s="26" t="n">
        <v>-4.67586867487429</v>
      </c>
      <c r="F50" t="n">
        <v>0.00000663710233331097</v>
      </c>
      <c r="G50" t="n">
        <v>145</v>
      </c>
      <c r="H50" t="s">
        <v>1516</v>
      </c>
      <c r="I50" s="26" t="n">
        <v>0.251851851851852</v>
      </c>
      <c r="J50" s="26" t="n">
        <v>0.140608981101076</v>
      </c>
      <c r="K50" s="26" t="n">
        <v>0.451104579412401</v>
      </c>
      <c r="L50" t="s">
        <v>1785</v>
      </c>
      <c r="M50" t="s">
        <v>50</v>
      </c>
      <c r="N50" t="s">
        <v>1491</v>
      </c>
      <c r="O50" t="s">
        <v>1786</v>
      </c>
      <c r="P50" t="s">
        <v>1486</v>
      </c>
      <c r="Q50"/>
    </row>
    <row r="51">
      <c r="A51" t="s">
        <v>1556</v>
      </c>
      <c r="B51" t="s">
        <v>417</v>
      </c>
      <c r="C51" s="26" t="n">
        <v>0.718556896085313</v>
      </c>
      <c r="D51" s="26" t="n">
        <v>0.392882818762995</v>
      </c>
      <c r="E51" s="26" t="n">
        <v>1.82893438391558</v>
      </c>
      <c r="F51" t="n">
        <v>0.0694640599293748</v>
      </c>
      <c r="G51" t="n">
        <v>145</v>
      </c>
      <c r="H51" t="s">
        <v>1520</v>
      </c>
      <c r="I51" s="26" t="n">
        <v>2.05147058823529</v>
      </c>
      <c r="J51" s="26" t="n">
        <v>0.943687592221363</v>
      </c>
      <c r="K51" s="26" t="n">
        <v>4.45966611099328</v>
      </c>
      <c r="L51" t="s">
        <v>1787</v>
      </c>
      <c r="M51" t="s">
        <v>72</v>
      </c>
      <c r="N51" t="s">
        <v>1491</v>
      </c>
      <c r="O51" t="s">
        <v>1786</v>
      </c>
      <c r="P51" t="s">
        <v>1486</v>
      </c>
      <c r="Q51"/>
    </row>
    <row r="52">
      <c r="A52" t="s">
        <v>1561</v>
      </c>
      <c r="B52" t="s">
        <v>1481</v>
      </c>
      <c r="C52" s="26" t="n">
        <v>-2.76631910922619</v>
      </c>
      <c r="D52" s="26" t="n">
        <v>0.532228748108424</v>
      </c>
      <c r="E52" s="26" t="n">
        <v>-5.19761309222372</v>
      </c>
      <c r="F52" t="n">
        <v>0.000000673660547670088</v>
      </c>
      <c r="G52" t="n">
        <v>145</v>
      </c>
      <c r="H52" t="s">
        <v>1516</v>
      </c>
      <c r="I52" s="26" t="n">
        <v>0.0628930817610063</v>
      </c>
      <c r="J52" s="26" t="n">
        <v>0.0219662584904404</v>
      </c>
      <c r="K52" s="26" t="n">
        <v>0.180073440140844</v>
      </c>
      <c r="L52" t="s">
        <v>1788</v>
      </c>
      <c r="M52" t="s">
        <v>50</v>
      </c>
      <c r="N52" t="s">
        <v>1491</v>
      </c>
      <c r="O52" t="s">
        <v>1786</v>
      </c>
      <c r="P52" t="s">
        <v>1486</v>
      </c>
      <c r="Q52"/>
    </row>
    <row r="53">
      <c r="A53" t="s">
        <v>1561</v>
      </c>
      <c r="B53" t="s">
        <v>417</v>
      </c>
      <c r="C53" s="26" t="n">
        <v>-0.0785902745932221</v>
      </c>
      <c r="D53" s="26" t="n">
        <v>0.706383436513351</v>
      </c>
      <c r="E53" s="26" t="n">
        <v>-0.111257244339048</v>
      </c>
      <c r="F53" t="n">
        <v>0.911566214883945</v>
      </c>
      <c r="G53" t="n">
        <v>145</v>
      </c>
      <c r="H53" t="s">
        <v>1520</v>
      </c>
      <c r="I53" s="26" t="n">
        <v>0.924418604651162</v>
      </c>
      <c r="J53" s="26" t="n">
        <v>0.22884083229403</v>
      </c>
      <c r="K53" s="26" t="n">
        <v>3.73425383948622</v>
      </c>
      <c r="L53" t="s">
        <v>1789</v>
      </c>
      <c r="M53" t="s">
        <v>516</v>
      </c>
      <c r="N53" t="s">
        <v>1491</v>
      </c>
      <c r="O53" t="s">
        <v>1786</v>
      </c>
      <c r="P53" t="s">
        <v>1486</v>
      </c>
      <c r="Q53"/>
    </row>
    <row r="54">
      <c r="A54" t="s">
        <v>1567</v>
      </c>
      <c r="B54"/>
      <c r="C54" s="26"/>
      <c r="D54" s="26"/>
      <c r="E54" s="26"/>
      <c r="F54"/>
      <c r="G54"/>
      <c r="H54"/>
      <c r="I54" s="26"/>
      <c r="J54" s="26"/>
      <c r="K54" s="26"/>
      <c r="L54"/>
      <c r="M54" t="s">
        <v>109</v>
      </c>
      <c r="N54"/>
      <c r="O54" t="s">
        <v>1530</v>
      </c>
      <c r="P54"/>
      <c r="Q54"/>
    </row>
  </sheetData>
  <pageMargins left="0.7" right="0.7" top="0.75" bottom="0.75" header="0.3" footer="0.3"/>
  <pageSetup paperSize="9" orientation="portrait" horizontalDpi="300" verticalDpi="300"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0" t="s">
        <v>1743</v>
      </c>
    </row>
    <row r="3">
      <c r="A3" s="1" t="s">
        <v>1790</v>
      </c>
    </row>
    <row r="4">
      <c r="A4" t="s">
        <v>1465</v>
      </c>
      <c r="B4" t="s">
        <v>1466</v>
      </c>
      <c r="C4" t="s">
        <v>1467</v>
      </c>
      <c r="D4" t="s">
        <v>1468</v>
      </c>
      <c r="E4" t="s">
        <v>1469</v>
      </c>
      <c r="F4" t="s">
        <v>1470</v>
      </c>
      <c r="G4" t="s">
        <v>1471</v>
      </c>
      <c r="H4" t="s">
        <v>1472</v>
      </c>
      <c r="I4" t="s">
        <v>1473</v>
      </c>
      <c r="J4" t="s">
        <v>1474</v>
      </c>
      <c r="K4" t="s">
        <v>1475</v>
      </c>
      <c r="L4" t="s">
        <v>1476</v>
      </c>
      <c r="M4" t="s">
        <v>41</v>
      </c>
      <c r="N4" t="s">
        <v>1477</v>
      </c>
      <c r="O4" t="s">
        <v>1478</v>
      </c>
      <c r="P4" t="s">
        <v>1479</v>
      </c>
      <c r="Q4" t="s">
        <v>1</v>
      </c>
    </row>
    <row r="5">
      <c r="A5" t="s">
        <v>1480</v>
      </c>
      <c r="B5" t="s">
        <v>1568</v>
      </c>
      <c r="C5" s="27" t="n">
        <v>-5.22886317023576</v>
      </c>
      <c r="D5" s="27" t="n">
        <v>13.2076805666559</v>
      </c>
      <c r="E5" s="27" t="n">
        <v>-0.395895641467627</v>
      </c>
      <c r="F5" t="n">
        <v>0.692712744694371</v>
      </c>
      <c r="G5" t="n">
        <v>159</v>
      </c>
      <c r="H5"/>
      <c r="I5" s="27"/>
      <c r="J5" s="27"/>
      <c r="K5" s="27"/>
      <c r="L5"/>
      <c r="M5" t="s">
        <v>500</v>
      </c>
      <c r="N5" t="s">
        <v>1491</v>
      </c>
      <c r="O5" t="s">
        <v>1791</v>
      </c>
      <c r="P5" t="s">
        <v>1570</v>
      </c>
      <c r="Q5"/>
    </row>
    <row r="6">
      <c r="A6" t="s">
        <v>1480</v>
      </c>
      <c r="B6" t="s">
        <v>417</v>
      </c>
      <c r="C6" s="27" t="n">
        <v>1.68402512693191</v>
      </c>
      <c r="D6" s="27" t="n">
        <v>1.27158411980231</v>
      </c>
      <c r="E6" s="27" t="n">
        <v>1.32435212166201</v>
      </c>
      <c r="F6" t="n">
        <v>0.187286640030793</v>
      </c>
      <c r="G6" t="n">
        <v>159</v>
      </c>
      <c r="H6" t="s">
        <v>1487</v>
      </c>
      <c r="I6" s="27" t="n">
        <v>1.68402512693191</v>
      </c>
      <c r="J6" s="27" t="n">
        <v>-0.827348693892915</v>
      </c>
      <c r="K6" s="27" t="n">
        <v>4.19539894775673</v>
      </c>
      <c r="L6" t="s">
        <v>1792</v>
      </c>
      <c r="M6" t="s">
        <v>397</v>
      </c>
      <c r="N6" t="s">
        <v>1491</v>
      </c>
      <c r="O6" t="s">
        <v>1791</v>
      </c>
      <c r="P6" t="s">
        <v>1570</v>
      </c>
      <c r="Q6"/>
    </row>
    <row r="7">
      <c r="A7" t="s">
        <v>1480</v>
      </c>
      <c r="B7" t="s">
        <v>55</v>
      </c>
      <c r="C7" s="27" t="n">
        <v>1.69083920395033</v>
      </c>
      <c r="D7" s="27" t="n">
        <v>0.380926208115661</v>
      </c>
      <c r="E7" s="27" t="n">
        <v>4.43875786944262</v>
      </c>
      <c r="F7" t="n">
        <v>0.0000168447706022723</v>
      </c>
      <c r="G7" t="n">
        <v>159</v>
      </c>
      <c r="H7" t="s">
        <v>1487</v>
      </c>
      <c r="I7" s="27" t="n">
        <v>1.69083920395033</v>
      </c>
      <c r="J7" s="27" t="n">
        <v>0.938511385578023</v>
      </c>
      <c r="K7" s="27" t="n">
        <v>2.44316702232263</v>
      </c>
      <c r="L7" t="s">
        <v>1793</v>
      </c>
      <c r="M7" t="s">
        <v>50</v>
      </c>
      <c r="N7" t="s">
        <v>1491</v>
      </c>
      <c r="O7" t="s">
        <v>1791</v>
      </c>
      <c r="P7" t="s">
        <v>1570</v>
      </c>
      <c r="Q7"/>
    </row>
    <row r="8">
      <c r="A8" t="s">
        <v>1480</v>
      </c>
      <c r="B8" t="s">
        <v>89</v>
      </c>
      <c r="C8" s="27" t="n">
        <v>0.0907312642930801</v>
      </c>
      <c r="D8" s="27" t="n">
        <v>0.0243236853710603</v>
      </c>
      <c r="E8" s="27" t="n">
        <v>3.73016107176875</v>
      </c>
      <c r="F8" t="n">
        <v>0.00026582507277347</v>
      </c>
      <c r="G8" t="n">
        <v>159</v>
      </c>
      <c r="H8" t="s">
        <v>1487</v>
      </c>
      <c r="I8" s="27" t="n">
        <v>0.0907312642930801</v>
      </c>
      <c r="J8" s="27" t="n">
        <v>0.0426920778046884</v>
      </c>
      <c r="K8" s="27" t="n">
        <v>0.138770450781472</v>
      </c>
      <c r="L8" t="s">
        <v>1794</v>
      </c>
      <c r="M8" t="s">
        <v>50</v>
      </c>
      <c r="N8" t="s">
        <v>1491</v>
      </c>
      <c r="O8" t="s">
        <v>1791</v>
      </c>
      <c r="P8" t="s">
        <v>1570</v>
      </c>
      <c r="Q8"/>
    </row>
    <row r="9">
      <c r="A9" t="s">
        <v>55</v>
      </c>
      <c r="B9" t="s">
        <v>1568</v>
      </c>
      <c r="C9" s="27" t="n">
        <v>2.14061811557843</v>
      </c>
      <c r="D9" s="27" t="n">
        <v>2.69211966635842</v>
      </c>
      <c r="E9" s="27" t="n">
        <v>0.795142259955335</v>
      </c>
      <c r="F9" t="n">
        <v>0.427716112634288</v>
      </c>
      <c r="G9" t="n">
        <v>159</v>
      </c>
      <c r="H9"/>
      <c r="I9" s="27"/>
      <c r="J9" s="27"/>
      <c r="K9" s="27"/>
      <c r="L9"/>
      <c r="M9" t="s">
        <v>484</v>
      </c>
      <c r="N9" t="s">
        <v>1491</v>
      </c>
      <c r="O9" t="s">
        <v>1795</v>
      </c>
      <c r="P9" t="s">
        <v>1576</v>
      </c>
      <c r="Q9"/>
    </row>
    <row r="10">
      <c r="A10" t="s">
        <v>55</v>
      </c>
      <c r="B10" t="s">
        <v>417</v>
      </c>
      <c r="C10" s="27" t="n">
        <v>-0.196597403089179</v>
      </c>
      <c r="D10" s="27" t="n">
        <v>0.261843843240166</v>
      </c>
      <c r="E10" s="27" t="n">
        <v>-0.7508192694409</v>
      </c>
      <c r="F10" t="n">
        <v>0.453871166649942</v>
      </c>
      <c r="G10" t="n">
        <v>159</v>
      </c>
      <c r="H10" t="s">
        <v>1487</v>
      </c>
      <c r="I10" s="27" t="n">
        <v>-0.196597403089179</v>
      </c>
      <c r="J10" s="27" t="n">
        <v>-0.713738001824988</v>
      </c>
      <c r="K10" s="27" t="n">
        <v>0.320543195646629</v>
      </c>
      <c r="L10" t="s">
        <v>1796</v>
      </c>
      <c r="M10" t="s">
        <v>1797</v>
      </c>
      <c r="N10" t="s">
        <v>1491</v>
      </c>
      <c r="O10" t="s">
        <v>1795</v>
      </c>
      <c r="P10" t="s">
        <v>1576</v>
      </c>
      <c r="Q10"/>
    </row>
    <row r="11">
      <c r="A11" t="s">
        <v>55</v>
      </c>
      <c r="B11" t="s">
        <v>1480</v>
      </c>
      <c r="C11" s="27" t="n">
        <v>0.0745704175516545</v>
      </c>
      <c r="D11" s="27" t="n">
        <v>0.0172194043632559</v>
      </c>
      <c r="E11" s="27" t="n">
        <v>4.33060377574841</v>
      </c>
      <c r="F11" t="n">
        <v>0.0000262338288728257</v>
      </c>
      <c r="G11" t="n">
        <v>159</v>
      </c>
      <c r="H11" t="s">
        <v>1487</v>
      </c>
      <c r="I11" s="27" t="n">
        <v>0.0745704175516545</v>
      </c>
      <c r="J11" s="27" t="n">
        <v>0.0405621591481125</v>
      </c>
      <c r="K11" s="27" t="n">
        <v>0.108578675955197</v>
      </c>
      <c r="L11" t="s">
        <v>1798</v>
      </c>
      <c r="M11" t="s">
        <v>50</v>
      </c>
      <c r="N11" t="s">
        <v>1491</v>
      </c>
      <c r="O11" t="s">
        <v>1795</v>
      </c>
      <c r="P11" t="s">
        <v>1576</v>
      </c>
      <c r="Q11"/>
    </row>
    <row r="12">
      <c r="A12" t="s">
        <v>55</v>
      </c>
      <c r="B12" t="s">
        <v>89</v>
      </c>
      <c r="C12" s="27" t="n">
        <v>-0.01708174287374</v>
      </c>
      <c r="D12" s="27" t="n">
        <v>0.0048362078465932</v>
      </c>
      <c r="E12" s="27" t="n">
        <v>-3.53205309109554</v>
      </c>
      <c r="F12" t="n">
        <v>0.000539859155647541</v>
      </c>
      <c r="G12" t="n">
        <v>159</v>
      </c>
      <c r="H12" t="s">
        <v>1487</v>
      </c>
      <c r="I12" s="27" t="n">
        <v>-0.01708174287374</v>
      </c>
      <c r="J12" s="27" t="n">
        <v>-0.0266332350549179</v>
      </c>
      <c r="K12" s="27" t="n">
        <v>-0.00753025069256213</v>
      </c>
      <c r="L12" t="s">
        <v>1799</v>
      </c>
      <c r="M12" t="s">
        <v>50</v>
      </c>
      <c r="N12" t="s">
        <v>1491</v>
      </c>
      <c r="O12" t="s">
        <v>1795</v>
      </c>
      <c r="P12" t="s">
        <v>1576</v>
      </c>
      <c r="Q12"/>
    </row>
    <row r="13">
      <c r="A13" t="s">
        <v>62</v>
      </c>
      <c r="B13" t="s">
        <v>1568</v>
      </c>
      <c r="C13" s="27" t="n">
        <v>0.345352849837201</v>
      </c>
      <c r="D13" s="27" t="n">
        <v>0.396356775745998</v>
      </c>
      <c r="E13" s="27" t="n">
        <v>0.871318143072486</v>
      </c>
      <c r="F13" t="n">
        <v>0.38490247881522</v>
      </c>
      <c r="G13" t="n">
        <v>158</v>
      </c>
      <c r="H13"/>
      <c r="I13" s="27"/>
      <c r="J13" s="27"/>
      <c r="K13" s="27"/>
      <c r="L13"/>
      <c r="M13" t="s">
        <v>1629</v>
      </c>
      <c r="N13" t="s">
        <v>1491</v>
      </c>
      <c r="O13" t="s">
        <v>1749</v>
      </c>
      <c r="P13" t="s">
        <v>1581</v>
      </c>
      <c r="Q13"/>
    </row>
    <row r="14">
      <c r="A14" t="s">
        <v>62</v>
      </c>
      <c r="B14" t="s">
        <v>417</v>
      </c>
      <c r="C14" s="27" t="n">
        <v>-0.0188208090616053</v>
      </c>
      <c r="D14" s="27" t="n">
        <v>0.0383567625567758</v>
      </c>
      <c r="E14" s="27" t="n">
        <v>-0.49067772687402</v>
      </c>
      <c r="F14" t="n">
        <v>0.624335176732888</v>
      </c>
      <c r="G14" t="n">
        <v>158</v>
      </c>
      <c r="H14" t="s">
        <v>1487</v>
      </c>
      <c r="I14" s="27" t="n">
        <v>-0.0188208090616053</v>
      </c>
      <c r="J14" s="27" t="n">
        <v>-0.0945789467223927</v>
      </c>
      <c r="K14" s="27" t="n">
        <v>0.0569373285991821</v>
      </c>
      <c r="L14" t="s">
        <v>1800</v>
      </c>
      <c r="M14" t="s">
        <v>1523</v>
      </c>
      <c r="N14" t="s">
        <v>1491</v>
      </c>
      <c r="O14" t="s">
        <v>1749</v>
      </c>
      <c r="P14" t="s">
        <v>1581</v>
      </c>
      <c r="Q14"/>
    </row>
    <row r="15">
      <c r="A15" t="s">
        <v>62</v>
      </c>
      <c r="B15" t="s">
        <v>1480</v>
      </c>
      <c r="C15" s="27" t="n">
        <v>0.00209136944267374</v>
      </c>
      <c r="D15" s="27" t="n">
        <v>0.00217024363068782</v>
      </c>
      <c r="E15" s="27" t="n">
        <v>0.963656528281533</v>
      </c>
      <c r="F15" t="n">
        <v>0.336690718355933</v>
      </c>
      <c r="G15" t="n">
        <v>158</v>
      </c>
      <c r="H15" t="s">
        <v>1487</v>
      </c>
      <c r="I15" s="27" t="n">
        <v>0.00209136944267374</v>
      </c>
      <c r="J15" s="27" t="n">
        <v>-0.00219506154815167</v>
      </c>
      <c r="K15" s="27" t="n">
        <v>0.00637780043349914</v>
      </c>
      <c r="L15" t="s">
        <v>1801</v>
      </c>
      <c r="M15" t="s">
        <v>1667</v>
      </c>
      <c r="N15" t="s">
        <v>1491</v>
      </c>
      <c r="O15" t="s">
        <v>1749</v>
      </c>
      <c r="P15" t="s">
        <v>1581</v>
      </c>
      <c r="Q15"/>
    </row>
    <row r="16">
      <c r="A16" t="s">
        <v>62</v>
      </c>
      <c r="B16" t="s">
        <v>55</v>
      </c>
      <c r="C16" s="27" t="n">
        <v>1.00000685239509</v>
      </c>
      <c r="D16" s="27" t="n">
        <v>0.0100570669139444</v>
      </c>
      <c r="E16" s="27" t="n">
        <v>99.4332503653274</v>
      </c>
      <c r="F16" t="n">
        <v>0.00000000000000000000000000000000000000000000000000000000000000000000000000000000000000000000000000000000000000000000000000000000000000000000000221455422989904</v>
      </c>
      <c r="G16" t="n">
        <v>158</v>
      </c>
      <c r="H16" t="s">
        <v>1487</v>
      </c>
      <c r="I16" s="27" t="n">
        <v>1.00000685239509</v>
      </c>
      <c r="J16" s="27" t="n">
        <v>0.980143219258621</v>
      </c>
      <c r="K16" s="27" t="n">
        <v>1.01987048553155</v>
      </c>
      <c r="L16" t="s">
        <v>1802</v>
      </c>
      <c r="M16" t="s">
        <v>50</v>
      </c>
      <c r="N16" t="s">
        <v>1491</v>
      </c>
      <c r="O16" t="s">
        <v>1749</v>
      </c>
      <c r="P16" t="s">
        <v>1581</v>
      </c>
      <c r="Q16"/>
    </row>
    <row r="17">
      <c r="A17" t="s">
        <v>62</v>
      </c>
      <c r="B17" t="s">
        <v>89</v>
      </c>
      <c r="C17" s="27" t="n">
        <v>0.0000152069802614561</v>
      </c>
      <c r="D17" s="27" t="n">
        <v>0.00073523612168905</v>
      </c>
      <c r="E17" s="27" t="n">
        <v>0.0206831245267456</v>
      </c>
      <c r="F17" t="n">
        <v>0.983524527509482</v>
      </c>
      <c r="G17" t="n">
        <v>158</v>
      </c>
      <c r="H17" t="s">
        <v>1487</v>
      </c>
      <c r="I17" s="27" t="n">
        <v>0.0000152069802614561</v>
      </c>
      <c r="J17" s="27" t="n">
        <v>-0.00143695205525816</v>
      </c>
      <c r="K17" s="27" t="n">
        <v>0.00146736601578107</v>
      </c>
      <c r="L17" t="s">
        <v>1803</v>
      </c>
      <c r="M17" t="s">
        <v>1804</v>
      </c>
      <c r="N17" t="s">
        <v>1491</v>
      </c>
      <c r="O17" t="s">
        <v>1749</v>
      </c>
      <c r="P17" t="s">
        <v>1581</v>
      </c>
      <c r="Q17"/>
    </row>
    <row r="18">
      <c r="A18" t="s">
        <v>68</v>
      </c>
      <c r="B18" t="s">
        <v>1568</v>
      </c>
      <c r="C18" s="27" t="n">
        <v>-0.690705699674411</v>
      </c>
      <c r="D18" s="27" t="n">
        <v>0.792713551492078</v>
      </c>
      <c r="E18" s="27" t="n">
        <v>-0.871318143072407</v>
      </c>
      <c r="F18" t="n">
        <v>0.384902478815263</v>
      </c>
      <c r="G18" t="n">
        <v>158</v>
      </c>
      <c r="H18"/>
      <c r="I18" s="27"/>
      <c r="J18" s="27"/>
      <c r="K18" s="27"/>
      <c r="L18"/>
      <c r="M18" t="s">
        <v>1629</v>
      </c>
      <c r="N18" t="s">
        <v>1491</v>
      </c>
      <c r="O18" t="s">
        <v>1749</v>
      </c>
      <c r="P18" t="s">
        <v>1581</v>
      </c>
      <c r="Q18"/>
    </row>
    <row r="19">
      <c r="A19" t="s">
        <v>68</v>
      </c>
      <c r="B19" t="s">
        <v>417</v>
      </c>
      <c r="C19" s="27" t="n">
        <v>0.0376416181232106</v>
      </c>
      <c r="D19" s="27" t="n">
        <v>0.0767135251135516</v>
      </c>
      <c r="E19" s="27" t="n">
        <v>0.490677726874021</v>
      </c>
      <c r="F19" t="n">
        <v>0.624335176732888</v>
      </c>
      <c r="G19" t="n">
        <v>158</v>
      </c>
      <c r="H19" t="s">
        <v>1487</v>
      </c>
      <c r="I19" s="27" t="n">
        <v>0.0376416181232106</v>
      </c>
      <c r="J19" s="27" t="n">
        <v>-0.113874657198364</v>
      </c>
      <c r="K19" s="27" t="n">
        <v>0.189157893444786</v>
      </c>
      <c r="L19" t="s">
        <v>1805</v>
      </c>
      <c r="M19" t="s">
        <v>1523</v>
      </c>
      <c r="N19" t="s">
        <v>1491</v>
      </c>
      <c r="O19" t="s">
        <v>1749</v>
      </c>
      <c r="P19" t="s">
        <v>1581</v>
      </c>
      <c r="Q19"/>
    </row>
    <row r="20">
      <c r="A20" t="s">
        <v>68</v>
      </c>
      <c r="B20" t="s">
        <v>1480</v>
      </c>
      <c r="C20" s="27" t="n">
        <v>-0.00418273888534747</v>
      </c>
      <c r="D20" s="27" t="n">
        <v>0.00434048726137574</v>
      </c>
      <c r="E20" s="27" t="n">
        <v>-0.963656528281511</v>
      </c>
      <c r="F20" t="n">
        <v>0.336690718355944</v>
      </c>
      <c r="G20" t="n">
        <v>158</v>
      </c>
      <c r="H20" t="s">
        <v>1487</v>
      </c>
      <c r="I20" s="27" t="n">
        <v>-0.00418273888534747</v>
      </c>
      <c r="J20" s="27" t="n">
        <v>-0.0127556008669985</v>
      </c>
      <c r="K20" s="27" t="n">
        <v>0.00439012309630352</v>
      </c>
      <c r="L20" t="s">
        <v>1806</v>
      </c>
      <c r="M20" t="s">
        <v>1667</v>
      </c>
      <c r="N20" t="s">
        <v>1491</v>
      </c>
      <c r="O20" t="s">
        <v>1749</v>
      </c>
      <c r="P20" t="s">
        <v>1581</v>
      </c>
      <c r="Q20"/>
    </row>
    <row r="21">
      <c r="A21" t="s">
        <v>68</v>
      </c>
      <c r="B21" t="s">
        <v>55</v>
      </c>
      <c r="C21" s="27" t="n">
        <v>-0.0000137047901743364</v>
      </c>
      <c r="D21" s="27" t="n">
        <v>0.020114133827889</v>
      </c>
      <c r="E21" s="27" t="n">
        <v>-0.000681351247416588</v>
      </c>
      <c r="F21" t="n">
        <v>0.999457219904866</v>
      </c>
      <c r="G21" t="n">
        <v>158</v>
      </c>
      <c r="H21" t="s">
        <v>1487</v>
      </c>
      <c r="I21" s="27" t="n">
        <v>-0.0000137047901743364</v>
      </c>
      <c r="J21" s="27" t="n">
        <v>-0.0397409710631079</v>
      </c>
      <c r="K21" s="27" t="n">
        <v>0.0397135614827592</v>
      </c>
      <c r="L21" t="s">
        <v>1807</v>
      </c>
      <c r="M21" t="s">
        <v>386</v>
      </c>
      <c r="N21" t="s">
        <v>1491</v>
      </c>
      <c r="O21" t="s">
        <v>1749</v>
      </c>
      <c r="P21" t="s">
        <v>1581</v>
      </c>
      <c r="Q21"/>
    </row>
    <row r="22">
      <c r="A22" t="s">
        <v>68</v>
      </c>
      <c r="B22" t="s">
        <v>89</v>
      </c>
      <c r="C22" s="27" t="n">
        <v>-0.0000304139605228953</v>
      </c>
      <c r="D22" s="27" t="n">
        <v>0.00147047224337829</v>
      </c>
      <c r="E22" s="27" t="n">
        <v>-0.0206831245267314</v>
      </c>
      <c r="F22" t="n">
        <v>0.983524527509493</v>
      </c>
      <c r="G22" t="n">
        <v>158</v>
      </c>
      <c r="H22" t="s">
        <v>1487</v>
      </c>
      <c r="I22" s="27" t="n">
        <v>-0.0000304139605228953</v>
      </c>
      <c r="J22" s="27" t="n">
        <v>-0.0029347320315625</v>
      </c>
      <c r="K22" s="27" t="n">
        <v>0.00287390411051671</v>
      </c>
      <c r="L22" t="s">
        <v>1808</v>
      </c>
      <c r="M22" t="s">
        <v>1804</v>
      </c>
      <c r="N22" t="s">
        <v>1491</v>
      </c>
      <c r="O22" t="s">
        <v>1749</v>
      </c>
      <c r="P22" t="s">
        <v>1581</v>
      </c>
      <c r="Q22"/>
    </row>
    <row r="23">
      <c r="A23" t="s">
        <v>76</v>
      </c>
      <c r="B23" t="s">
        <v>1568</v>
      </c>
      <c r="C23" s="27" t="n">
        <v>0.00722457581777693</v>
      </c>
      <c r="D23" s="27" t="n">
        <v>0.195205856010884</v>
      </c>
      <c r="E23" s="27" t="n">
        <v>0.037010036304311</v>
      </c>
      <c r="F23" t="n">
        <v>0.970523722328003</v>
      </c>
      <c r="G23" t="n">
        <v>158</v>
      </c>
      <c r="H23"/>
      <c r="I23" s="27"/>
      <c r="J23" s="27"/>
      <c r="K23" s="27"/>
      <c r="L23"/>
      <c r="M23" t="s">
        <v>1809</v>
      </c>
      <c r="N23" t="s">
        <v>1491</v>
      </c>
      <c r="O23" t="s">
        <v>1749</v>
      </c>
      <c r="P23" t="s">
        <v>1581</v>
      </c>
      <c r="Q23"/>
    </row>
    <row r="24">
      <c r="A24" t="s">
        <v>76</v>
      </c>
      <c r="B24" t="s">
        <v>417</v>
      </c>
      <c r="C24" s="27" t="n">
        <v>0.00908870444906028</v>
      </c>
      <c r="D24" s="27" t="n">
        <v>0.0206272721860056</v>
      </c>
      <c r="E24" s="27" t="n">
        <v>0.440615916981327</v>
      </c>
      <c r="F24" t="n">
        <v>0.660093325603354</v>
      </c>
      <c r="G24" t="n">
        <v>158</v>
      </c>
      <c r="H24" t="s">
        <v>1487</v>
      </c>
      <c r="I24" s="27" t="n">
        <v>0.00908870444906028</v>
      </c>
      <c r="J24" s="27" t="n">
        <v>-0.0316520573271937</v>
      </c>
      <c r="K24" s="27" t="n">
        <v>0.0498294662253143</v>
      </c>
      <c r="L24" t="s">
        <v>1810</v>
      </c>
      <c r="M24" t="s">
        <v>207</v>
      </c>
      <c r="N24" t="s">
        <v>1491</v>
      </c>
      <c r="O24" t="s">
        <v>1749</v>
      </c>
      <c r="P24" t="s">
        <v>1581</v>
      </c>
      <c r="Q24"/>
    </row>
    <row r="25">
      <c r="A25" t="s">
        <v>76</v>
      </c>
      <c r="B25" t="s">
        <v>1480</v>
      </c>
      <c r="C25" s="27" t="n">
        <v>0.00117713053207139</v>
      </c>
      <c r="D25" s="27" t="n">
        <v>0.00155915645930211</v>
      </c>
      <c r="E25" s="27" t="n">
        <v>0.754979094656276</v>
      </c>
      <c r="F25" t="n">
        <v>0.451385429853748</v>
      </c>
      <c r="G25" t="n">
        <v>158</v>
      </c>
      <c r="H25" t="s">
        <v>1487</v>
      </c>
      <c r="I25" s="27" t="n">
        <v>0.00117713053207139</v>
      </c>
      <c r="J25" s="27" t="n">
        <v>-0.00190234703081404</v>
      </c>
      <c r="K25" s="27" t="n">
        <v>0.00425660809495682</v>
      </c>
      <c r="L25" t="s">
        <v>1811</v>
      </c>
      <c r="M25" t="s">
        <v>1797</v>
      </c>
      <c r="N25" t="s">
        <v>1491</v>
      </c>
      <c r="O25" t="s">
        <v>1749</v>
      </c>
      <c r="P25" t="s">
        <v>1581</v>
      </c>
      <c r="Q25"/>
    </row>
    <row r="26">
      <c r="A26" t="s">
        <v>76</v>
      </c>
      <c r="B26" t="s">
        <v>55</v>
      </c>
      <c r="C26" s="27" t="n">
        <v>-0.25406212445339</v>
      </c>
      <c r="D26" s="27" t="n">
        <v>0.0113523392573794</v>
      </c>
      <c r="E26" s="27" t="n">
        <v>-22.3797156421521</v>
      </c>
      <c r="F26" t="n">
        <v>0.00000000000000000000000000000000000000000000000000741816986827713</v>
      </c>
      <c r="G26" t="n">
        <v>158</v>
      </c>
      <c r="H26" t="s">
        <v>1487</v>
      </c>
      <c r="I26" s="27" t="n">
        <v>-0.25406212445339</v>
      </c>
      <c r="J26" s="27" t="n">
        <v>-0.276484039727379</v>
      </c>
      <c r="K26" s="27" t="n">
        <v>-0.231640209179402</v>
      </c>
      <c r="L26" t="s">
        <v>1812</v>
      </c>
      <c r="M26" t="s">
        <v>50</v>
      </c>
      <c r="N26" t="s">
        <v>1491</v>
      </c>
      <c r="O26" t="s">
        <v>1749</v>
      </c>
      <c r="P26" t="s">
        <v>1581</v>
      </c>
      <c r="Q26"/>
    </row>
    <row r="27">
      <c r="A27" t="s">
        <v>76</v>
      </c>
      <c r="B27" t="s">
        <v>89</v>
      </c>
      <c r="C27" s="27" t="n">
        <v>0.00000917420952435109</v>
      </c>
      <c r="D27" s="27" t="n">
        <v>0.000371157273966987</v>
      </c>
      <c r="E27" s="27" t="n">
        <v>0.0247178491917879</v>
      </c>
      <c r="F27" t="n">
        <v>0.980311208142484</v>
      </c>
      <c r="G27" t="n">
        <v>158</v>
      </c>
      <c r="H27" t="s">
        <v>1487</v>
      </c>
      <c r="I27" s="27" t="n">
        <v>0.00000917420952435109</v>
      </c>
      <c r="J27" s="27" t="n">
        <v>-0.000723895580017272</v>
      </c>
      <c r="K27" s="27" t="n">
        <v>0.000742243999065974</v>
      </c>
      <c r="L27" t="s">
        <v>1813</v>
      </c>
      <c r="M27" t="s">
        <v>1804</v>
      </c>
      <c r="N27" t="s">
        <v>1491</v>
      </c>
      <c r="O27" t="s">
        <v>1749</v>
      </c>
      <c r="P27" t="s">
        <v>1581</v>
      </c>
      <c r="Q27"/>
    </row>
    <row r="28">
      <c r="A28" t="s">
        <v>82</v>
      </c>
      <c r="B28" t="s">
        <v>1568</v>
      </c>
      <c r="C28" s="27" t="n">
        <v>-0.0630846974081609</v>
      </c>
      <c r="D28" s="27" t="n">
        <v>0.100660964344364</v>
      </c>
      <c r="E28" s="27" t="n">
        <v>-0.626704679604959</v>
      </c>
      <c r="F28" t="n">
        <v>0.531757299500801</v>
      </c>
      <c r="G28" t="n">
        <v>158</v>
      </c>
      <c r="H28"/>
      <c r="I28" s="27"/>
      <c r="J28" s="27"/>
      <c r="K28" s="27"/>
      <c r="L28"/>
      <c r="M28" t="s">
        <v>463</v>
      </c>
      <c r="N28" t="s">
        <v>1491</v>
      </c>
      <c r="O28" t="s">
        <v>1749</v>
      </c>
      <c r="P28" t="s">
        <v>1581</v>
      </c>
      <c r="Q28"/>
    </row>
    <row r="29">
      <c r="A29" t="s">
        <v>82</v>
      </c>
      <c r="B29" t="s">
        <v>417</v>
      </c>
      <c r="C29" s="27" t="n">
        <v>-0.00563901187640237</v>
      </c>
      <c r="D29" s="27" t="n">
        <v>0.00966115953859118</v>
      </c>
      <c r="E29" s="27" t="n">
        <v>-0.583678579561544</v>
      </c>
      <c r="F29" t="n">
        <v>0.560268883290797</v>
      </c>
      <c r="G29" t="n">
        <v>158</v>
      </c>
      <c r="H29" t="s">
        <v>1487</v>
      </c>
      <c r="I29" s="27" t="n">
        <v>-0.00563901187640237</v>
      </c>
      <c r="J29" s="27" t="n">
        <v>-0.0247206914942805</v>
      </c>
      <c r="K29" s="27" t="n">
        <v>0.0134426677414758</v>
      </c>
      <c r="L29" t="s">
        <v>1814</v>
      </c>
      <c r="M29" t="s">
        <v>471</v>
      </c>
      <c r="N29" t="s">
        <v>1491</v>
      </c>
      <c r="O29" t="s">
        <v>1749</v>
      </c>
      <c r="P29" t="s">
        <v>1581</v>
      </c>
      <c r="Q29"/>
    </row>
    <row r="30">
      <c r="A30" t="s">
        <v>82</v>
      </c>
      <c r="B30" t="s">
        <v>1480</v>
      </c>
      <c r="C30" s="27" t="n">
        <v>0.0000607481831642308</v>
      </c>
      <c r="D30" s="27" t="n">
        <v>0.000602797443854107</v>
      </c>
      <c r="E30" s="27" t="n">
        <v>0.100777108104217</v>
      </c>
      <c r="F30" t="n">
        <v>0.919855166537094</v>
      </c>
      <c r="G30" t="n">
        <v>158</v>
      </c>
      <c r="H30" t="s">
        <v>1487</v>
      </c>
      <c r="I30" s="27" t="n">
        <v>0.0000607481831642308</v>
      </c>
      <c r="J30" s="27" t="n">
        <v>-0.00112983226964312</v>
      </c>
      <c r="K30" s="27" t="n">
        <v>0.00125132863597158</v>
      </c>
      <c r="L30" t="s">
        <v>1815</v>
      </c>
      <c r="M30" t="s">
        <v>420</v>
      </c>
      <c r="N30" t="s">
        <v>1491</v>
      </c>
      <c r="O30" t="s">
        <v>1749</v>
      </c>
      <c r="P30" t="s">
        <v>1581</v>
      </c>
      <c r="Q30"/>
    </row>
    <row r="31">
      <c r="A31" t="s">
        <v>82</v>
      </c>
      <c r="B31" t="s">
        <v>55</v>
      </c>
      <c r="C31" s="27" t="n">
        <v>-0.0128483383081953</v>
      </c>
      <c r="D31" s="27" t="n">
        <v>0.00310028252942315</v>
      </c>
      <c r="E31" s="27" t="n">
        <v>-4.14424756010412</v>
      </c>
      <c r="F31" t="n">
        <v>0.0000554267651664277</v>
      </c>
      <c r="G31" t="n">
        <v>158</v>
      </c>
      <c r="H31" t="s">
        <v>1487</v>
      </c>
      <c r="I31" s="27" t="n">
        <v>-0.0128483383081953</v>
      </c>
      <c r="J31" s="27" t="n">
        <v>-0.0189716817552267</v>
      </c>
      <c r="K31" s="27" t="n">
        <v>-0.0067249948611639</v>
      </c>
      <c r="L31" t="s">
        <v>1816</v>
      </c>
      <c r="M31" t="s">
        <v>50</v>
      </c>
      <c r="N31" t="s">
        <v>1491</v>
      </c>
      <c r="O31" t="s">
        <v>1749</v>
      </c>
      <c r="P31" t="s">
        <v>1581</v>
      </c>
      <c r="Q31"/>
    </row>
    <row r="32">
      <c r="A32" t="s">
        <v>82</v>
      </c>
      <c r="B32" t="s">
        <v>89</v>
      </c>
      <c r="C32" s="27" t="n">
        <v>-0.0000322805953230855</v>
      </c>
      <c r="D32" s="27" t="n">
        <v>0.000195258284458059</v>
      </c>
      <c r="E32" s="27" t="n">
        <v>-0.165322538875523</v>
      </c>
      <c r="F32" t="n">
        <v>0.868901457477693</v>
      </c>
      <c r="G32" t="n">
        <v>158</v>
      </c>
      <c r="H32" t="s">
        <v>1487</v>
      </c>
      <c r="I32" s="27" t="n">
        <v>-0.0000322805953230855</v>
      </c>
      <c r="J32" s="27" t="n">
        <v>-0.000417933685087559</v>
      </c>
      <c r="K32" s="27" t="n">
        <v>0.000353372494441388</v>
      </c>
      <c r="L32" t="s">
        <v>1817</v>
      </c>
      <c r="M32" t="s">
        <v>550</v>
      </c>
      <c r="N32" t="s">
        <v>1491</v>
      </c>
      <c r="O32" t="s">
        <v>1749</v>
      </c>
      <c r="P32" t="s">
        <v>1581</v>
      </c>
      <c r="Q32"/>
    </row>
    <row r="33">
      <c r="A33" t="s">
        <v>89</v>
      </c>
      <c r="B33" t="s">
        <v>1568</v>
      </c>
      <c r="C33" s="27" t="n">
        <v>491.090062475383</v>
      </c>
      <c r="D33" s="27" t="n">
        <v>10.0203903020909</v>
      </c>
      <c r="E33" s="27" t="n">
        <v>49.0090752625585</v>
      </c>
      <c r="F33" t="n">
        <v>0.0000000000000000000000000000000000000000000000000000000000000000000000000000000000000000000000000721604748865608</v>
      </c>
      <c r="G33" t="n">
        <v>159</v>
      </c>
      <c r="H33"/>
      <c r="I33" s="27"/>
      <c r="J33" s="27"/>
      <c r="K33" s="27"/>
      <c r="L33"/>
      <c r="M33" t="s">
        <v>50</v>
      </c>
      <c r="N33" t="s">
        <v>1491</v>
      </c>
      <c r="O33" t="s">
        <v>1795</v>
      </c>
      <c r="P33" t="s">
        <v>1604</v>
      </c>
      <c r="Q33"/>
    </row>
    <row r="34">
      <c r="A34" t="s">
        <v>89</v>
      </c>
      <c r="B34" t="s">
        <v>417</v>
      </c>
      <c r="C34" s="27" t="n">
        <v>-3.30726786445384</v>
      </c>
      <c r="D34" s="27" t="n">
        <v>3.92310428509132</v>
      </c>
      <c r="E34" s="27" t="n">
        <v>-0.843023183712501</v>
      </c>
      <c r="F34" t="n">
        <v>0.400481869824022</v>
      </c>
      <c r="G34" t="n">
        <v>159</v>
      </c>
      <c r="H34" t="s">
        <v>1487</v>
      </c>
      <c r="I34" s="27" t="n">
        <v>-3.30726786445384</v>
      </c>
      <c r="J34" s="27" t="n">
        <v>-11.055383969801</v>
      </c>
      <c r="K34" s="27" t="n">
        <v>4.44084824089335</v>
      </c>
      <c r="L34" t="s">
        <v>1818</v>
      </c>
      <c r="M34" t="s">
        <v>1620</v>
      </c>
      <c r="N34" t="s">
        <v>1491</v>
      </c>
      <c r="O34" t="s">
        <v>1795</v>
      </c>
      <c r="P34" t="s">
        <v>1604</v>
      </c>
      <c r="Q34"/>
    </row>
    <row r="35">
      <c r="A35" t="s">
        <v>89</v>
      </c>
      <c r="B35" t="s">
        <v>1480</v>
      </c>
      <c r="C35" s="27" t="n">
        <v>0.843330628765327</v>
      </c>
      <c r="D35" s="27" t="n">
        <v>0.226843904080589</v>
      </c>
      <c r="E35" s="27" t="n">
        <v>3.71766934704899</v>
      </c>
      <c r="F35" t="n">
        <v>0.000278201744413981</v>
      </c>
      <c r="G35" t="n">
        <v>159</v>
      </c>
      <c r="H35" t="s">
        <v>1487</v>
      </c>
      <c r="I35" s="27" t="n">
        <v>0.843330628765327</v>
      </c>
      <c r="J35" s="27" t="n">
        <v>0.395314777316776</v>
      </c>
      <c r="K35" s="27" t="n">
        <v>1.29134648021388</v>
      </c>
      <c r="L35" t="s">
        <v>1819</v>
      </c>
      <c r="M35" t="s">
        <v>50</v>
      </c>
      <c r="N35" t="s">
        <v>1491</v>
      </c>
      <c r="O35" t="s">
        <v>1795</v>
      </c>
      <c r="P35" t="s">
        <v>1604</v>
      </c>
      <c r="Q35"/>
    </row>
    <row r="36">
      <c r="A36" t="s">
        <v>89</v>
      </c>
      <c r="B36" t="s">
        <v>55</v>
      </c>
      <c r="C36" s="27" t="n">
        <v>-3.39653491324475</v>
      </c>
      <c r="D36" s="27" t="n">
        <v>0.931777056479001</v>
      </c>
      <c r="E36" s="27" t="n">
        <v>-3.64522273823696</v>
      </c>
      <c r="F36" t="n">
        <v>0.000361429234589393</v>
      </c>
      <c r="G36" t="n">
        <v>159</v>
      </c>
      <c r="H36" t="s">
        <v>1487</v>
      </c>
      <c r="I36" s="27" t="n">
        <v>-3.39653491324475</v>
      </c>
      <c r="J36" s="27" t="n">
        <v>-5.2367910709344</v>
      </c>
      <c r="K36" s="27" t="n">
        <v>-1.5562787555551</v>
      </c>
      <c r="L36" t="s">
        <v>1820</v>
      </c>
      <c r="M36" t="s">
        <v>50</v>
      </c>
      <c r="N36" t="s">
        <v>1491</v>
      </c>
      <c r="O36" t="s">
        <v>1795</v>
      </c>
      <c r="P36" t="s">
        <v>1604</v>
      </c>
      <c r="Q36"/>
    </row>
    <row r="37">
      <c r="A37" t="s">
        <v>95</v>
      </c>
      <c r="B37" t="s">
        <v>1568</v>
      </c>
      <c r="C37" s="27" t="n">
        <v>45.6344252155888</v>
      </c>
      <c r="D37" s="27" t="n">
        <v>2.77645380117534</v>
      </c>
      <c r="E37" s="27" t="n">
        <v>16.4362271024537</v>
      </c>
      <c r="F37" t="n">
        <v>0.00000000000000000000000000000000000499127616899603</v>
      </c>
      <c r="G37" t="n">
        <v>158</v>
      </c>
      <c r="H37"/>
      <c r="I37" s="27"/>
      <c r="J37" s="27"/>
      <c r="K37" s="27"/>
      <c r="L37"/>
      <c r="M37" t="s">
        <v>50</v>
      </c>
      <c r="N37" t="s">
        <v>1491</v>
      </c>
      <c r="O37" t="s">
        <v>1749</v>
      </c>
      <c r="P37" t="s">
        <v>1581</v>
      </c>
      <c r="Q37"/>
    </row>
    <row r="38">
      <c r="A38" t="s">
        <v>95</v>
      </c>
      <c r="B38" t="s">
        <v>417</v>
      </c>
      <c r="C38" s="27" t="n">
        <v>-0.26551333381901</v>
      </c>
      <c r="D38" s="27" t="n">
        <v>0.253402772547657</v>
      </c>
      <c r="E38" s="27" t="n">
        <v>-1.04779174730251</v>
      </c>
      <c r="F38" t="n">
        <v>0.296334744681104</v>
      </c>
      <c r="G38" t="n">
        <v>158</v>
      </c>
      <c r="H38" t="s">
        <v>1487</v>
      </c>
      <c r="I38" s="27" t="n">
        <v>-0.26551333381901</v>
      </c>
      <c r="J38" s="27" t="n">
        <v>-0.76600714108115</v>
      </c>
      <c r="K38" s="27" t="n">
        <v>0.23498047344313</v>
      </c>
      <c r="L38" t="s">
        <v>1821</v>
      </c>
      <c r="M38" t="s">
        <v>479</v>
      </c>
      <c r="N38" t="s">
        <v>1491</v>
      </c>
      <c r="O38" t="s">
        <v>1749</v>
      </c>
      <c r="P38" t="s">
        <v>1581</v>
      </c>
      <c r="Q38"/>
    </row>
    <row r="39">
      <c r="A39" t="s">
        <v>95</v>
      </c>
      <c r="B39" t="s">
        <v>1480</v>
      </c>
      <c r="C39" s="27" t="n">
        <v>0.00974173611157699</v>
      </c>
      <c r="D39" s="27" t="n">
        <v>0.0150777487155179</v>
      </c>
      <c r="E39" s="27" t="n">
        <v>0.64610017684874</v>
      </c>
      <c r="F39" t="n">
        <v>0.519151801030098</v>
      </c>
      <c r="G39" t="n">
        <v>158</v>
      </c>
      <c r="H39" t="s">
        <v>1487</v>
      </c>
      <c r="I39" s="27" t="n">
        <v>0.00974173611157699</v>
      </c>
      <c r="J39" s="27" t="n">
        <v>-0.0200382058507872</v>
      </c>
      <c r="K39" s="27" t="n">
        <v>0.0395216780739412</v>
      </c>
      <c r="L39" t="s">
        <v>1822</v>
      </c>
      <c r="M39" t="s">
        <v>1623</v>
      </c>
      <c r="N39" t="s">
        <v>1491</v>
      </c>
      <c r="O39" t="s">
        <v>1749</v>
      </c>
      <c r="P39" t="s">
        <v>1581</v>
      </c>
      <c r="Q39"/>
    </row>
    <row r="40">
      <c r="A40" t="s">
        <v>95</v>
      </c>
      <c r="B40" t="s">
        <v>55</v>
      </c>
      <c r="C40" s="27" t="n">
        <v>-0.0692417426027426</v>
      </c>
      <c r="D40" s="27" t="n">
        <v>0.0709046487006347</v>
      </c>
      <c r="E40" s="27" t="n">
        <v>-0.976547290927101</v>
      </c>
      <c r="F40" t="n">
        <v>0.330286129866989</v>
      </c>
      <c r="G40" t="n">
        <v>158</v>
      </c>
      <c r="H40" t="s">
        <v>1487</v>
      </c>
      <c r="I40" s="27" t="n">
        <v>-0.0692417426027426</v>
      </c>
      <c r="J40" s="27" t="n">
        <v>-0.209284952169801</v>
      </c>
      <c r="K40" s="27" t="n">
        <v>0.0708014669643159</v>
      </c>
      <c r="L40" t="s">
        <v>1823</v>
      </c>
      <c r="M40" t="s">
        <v>1694</v>
      </c>
      <c r="N40" t="s">
        <v>1491</v>
      </c>
      <c r="O40" t="s">
        <v>1749</v>
      </c>
      <c r="P40" t="s">
        <v>1581</v>
      </c>
      <c r="Q40"/>
    </row>
    <row r="41">
      <c r="A41" t="s">
        <v>95</v>
      </c>
      <c r="B41" t="s">
        <v>89</v>
      </c>
      <c r="C41" s="27" t="n">
        <v>-0.00497166773877639</v>
      </c>
      <c r="D41" s="27" t="n">
        <v>0.00554451473105239</v>
      </c>
      <c r="E41" s="27" t="n">
        <v>-0.896682212950444</v>
      </c>
      <c r="F41" t="n">
        <v>0.371252711650866</v>
      </c>
      <c r="G41" t="n">
        <v>158</v>
      </c>
      <c r="H41" t="s">
        <v>1487</v>
      </c>
      <c r="I41" s="27" t="n">
        <v>-0.00497166773877639</v>
      </c>
      <c r="J41" s="27" t="n">
        <v>-0.0159225948311133</v>
      </c>
      <c r="K41" s="27" t="n">
        <v>0.00597925935356053</v>
      </c>
      <c r="L41" t="s">
        <v>1824</v>
      </c>
      <c r="M41" t="s">
        <v>461</v>
      </c>
      <c r="N41" t="s">
        <v>1491</v>
      </c>
      <c r="O41" t="s">
        <v>1749</v>
      </c>
      <c r="P41" t="s">
        <v>1581</v>
      </c>
      <c r="Q41"/>
    </row>
    <row r="42">
      <c r="A42" t="s">
        <v>103</v>
      </c>
      <c r="B42"/>
      <c r="C42" s="27"/>
      <c r="D42" s="27"/>
      <c r="E42" s="27"/>
      <c r="F42"/>
      <c r="G42"/>
      <c r="H42"/>
      <c r="I42" s="27"/>
      <c r="J42" s="27"/>
      <c r="K42" s="27"/>
      <c r="L42"/>
      <c r="M42" t="s">
        <v>109</v>
      </c>
      <c r="N42"/>
      <c r="O42" t="s">
        <v>1515</v>
      </c>
      <c r="P42"/>
      <c r="Q42"/>
    </row>
    <row r="43">
      <c r="A43" t="s">
        <v>23</v>
      </c>
      <c r="B43" t="s">
        <v>1568</v>
      </c>
      <c r="C43" s="27" t="n">
        <v>2.03870780482949</v>
      </c>
      <c r="D43" s="27" t="n">
        <v>4.20397542455322</v>
      </c>
      <c r="E43" s="27" t="n">
        <v>0.484947602909966</v>
      </c>
      <c r="F43" t="n">
        <v>0.628385185057278</v>
      </c>
      <c r="G43" t="n">
        <v>158</v>
      </c>
      <c r="H43"/>
      <c r="I43" s="27"/>
      <c r="J43" s="27"/>
      <c r="K43" s="27"/>
      <c r="L43"/>
      <c r="M43" t="s">
        <v>494</v>
      </c>
      <c r="N43" t="s">
        <v>1491</v>
      </c>
      <c r="O43" t="s">
        <v>1825</v>
      </c>
      <c r="P43" t="s">
        <v>1581</v>
      </c>
      <c r="Q43"/>
    </row>
    <row r="44">
      <c r="A44" t="s">
        <v>23</v>
      </c>
      <c r="B44" t="s">
        <v>417</v>
      </c>
      <c r="C44" s="27" t="n">
        <v>0.079041901955854</v>
      </c>
      <c r="D44" s="27" t="n">
        <v>0.355981958865593</v>
      </c>
      <c r="E44" s="27" t="n">
        <v>0.222039066832872</v>
      </c>
      <c r="F44" t="n">
        <v>0.824570211200315</v>
      </c>
      <c r="G44" t="n">
        <v>158</v>
      </c>
      <c r="H44" t="s">
        <v>1520</v>
      </c>
      <c r="I44" s="27" t="n">
        <v>1.08224966949811</v>
      </c>
      <c r="J44" s="27" t="n">
        <v>0.535767359438625</v>
      </c>
      <c r="K44" s="27" t="n">
        <v>2.18614353131929</v>
      </c>
      <c r="L44" t="s">
        <v>1826</v>
      </c>
      <c r="M44" t="s">
        <v>532</v>
      </c>
      <c r="N44" t="s">
        <v>1491</v>
      </c>
      <c r="O44" t="s">
        <v>1825</v>
      </c>
      <c r="P44" t="s">
        <v>1581</v>
      </c>
      <c r="Q44"/>
    </row>
    <row r="45">
      <c r="A45" t="s">
        <v>23</v>
      </c>
      <c r="B45" t="s">
        <v>1480</v>
      </c>
      <c r="C45" s="27" t="n">
        <v>0.0124025110760867</v>
      </c>
      <c r="D45" s="27" t="n">
        <v>0.0230352355880503</v>
      </c>
      <c r="E45" s="27" t="n">
        <v>0.538414770219266</v>
      </c>
      <c r="F45" t="n">
        <v>0.591048437533337</v>
      </c>
      <c r="G45" t="n">
        <v>158</v>
      </c>
      <c r="H45" t="s">
        <v>1520</v>
      </c>
      <c r="I45" s="27" t="n">
        <v>1.01247974116868</v>
      </c>
      <c r="J45" s="27" t="n">
        <v>0.967447421626584</v>
      </c>
      <c r="K45" s="27" t="n">
        <v>1.05960820542935</v>
      </c>
      <c r="L45" t="s">
        <v>1827</v>
      </c>
      <c r="M45" t="s">
        <v>473</v>
      </c>
      <c r="N45" t="s">
        <v>1491</v>
      </c>
      <c r="O45" t="s">
        <v>1825</v>
      </c>
      <c r="P45" t="s">
        <v>1581</v>
      </c>
      <c r="Q45"/>
    </row>
    <row r="46">
      <c r="A46" t="s">
        <v>23</v>
      </c>
      <c r="B46" t="s">
        <v>55</v>
      </c>
      <c r="C46" s="27" t="n">
        <v>-0.0104892986825256</v>
      </c>
      <c r="D46" s="27" t="n">
        <v>0.109370504921866</v>
      </c>
      <c r="E46" s="27" t="n">
        <v>-0.0959061009183336</v>
      </c>
      <c r="F46" t="n">
        <v>0.923716683620955</v>
      </c>
      <c r="G46" t="n">
        <v>158</v>
      </c>
      <c r="H46" t="s">
        <v>1520</v>
      </c>
      <c r="I46" s="27" t="n">
        <v>0.989565522166052</v>
      </c>
      <c r="J46" s="27" t="n">
        <v>0.79731446596887</v>
      </c>
      <c r="K46" s="27" t="n">
        <v>1.22817277806421</v>
      </c>
      <c r="L46" t="s">
        <v>1828</v>
      </c>
      <c r="M46" t="s">
        <v>420</v>
      </c>
      <c r="N46" t="s">
        <v>1491</v>
      </c>
      <c r="O46" t="s">
        <v>1825</v>
      </c>
      <c r="P46" t="s">
        <v>1581</v>
      </c>
      <c r="Q46"/>
    </row>
    <row r="47">
      <c r="A47" t="s">
        <v>23</v>
      </c>
      <c r="B47" t="s">
        <v>89</v>
      </c>
      <c r="C47" s="27" t="n">
        <v>-0.00399263024139812</v>
      </c>
      <c r="D47" s="27" t="n">
        <v>0.00822114739842225</v>
      </c>
      <c r="E47" s="27" t="n">
        <v>-0.485653650020234</v>
      </c>
      <c r="F47" t="n">
        <v>0.627885542525622</v>
      </c>
      <c r="G47" t="n">
        <v>158</v>
      </c>
      <c r="H47" t="s">
        <v>1520</v>
      </c>
      <c r="I47" s="27" t="n">
        <v>0.996015329709487</v>
      </c>
      <c r="J47" s="27" t="n">
        <v>0.979973103309587</v>
      </c>
      <c r="K47" s="27" t="n">
        <v>1.01232016844742</v>
      </c>
      <c r="L47" t="s">
        <v>1829</v>
      </c>
      <c r="M47" t="s">
        <v>494</v>
      </c>
      <c r="N47" t="s">
        <v>1491</v>
      </c>
      <c r="O47" t="s">
        <v>1825</v>
      </c>
      <c r="P47" t="s">
        <v>1581</v>
      </c>
      <c r="Q47"/>
    </row>
    <row r="48">
      <c r="A48" t="s">
        <v>1524</v>
      </c>
      <c r="B48" t="s">
        <v>1568</v>
      </c>
      <c r="C48" s="27" t="n">
        <v>0.818930335768073</v>
      </c>
      <c r="D48" s="27" t="n">
        <v>6.38094313935832</v>
      </c>
      <c r="E48" s="27" t="n">
        <v>0.128340014615837</v>
      </c>
      <c r="F48" t="n">
        <v>0.898050671928498</v>
      </c>
      <c r="G48" t="n">
        <v>151</v>
      </c>
      <c r="H48"/>
      <c r="I48" s="27"/>
      <c r="J48" s="27"/>
      <c r="K48" s="27"/>
      <c r="L48"/>
      <c r="M48" t="s">
        <v>1830</v>
      </c>
      <c r="N48" t="s">
        <v>1491</v>
      </c>
      <c r="O48" t="s">
        <v>1831</v>
      </c>
      <c r="P48" t="s">
        <v>1581</v>
      </c>
      <c r="Q48"/>
    </row>
    <row r="49">
      <c r="A49" t="s">
        <v>1524</v>
      </c>
      <c r="B49" t="s">
        <v>417</v>
      </c>
      <c r="C49" s="27" t="n">
        <v>-1.14643927323478</v>
      </c>
      <c r="D49" s="27" t="n">
        <v>0.652122945926015</v>
      </c>
      <c r="E49" s="27" t="n">
        <v>-1.75801094011012</v>
      </c>
      <c r="F49" t="n">
        <v>0.0807718281933081</v>
      </c>
      <c r="G49" t="n">
        <v>151</v>
      </c>
      <c r="H49" t="s">
        <v>1520</v>
      </c>
      <c r="I49" s="27" t="n">
        <v>0.317766236066413</v>
      </c>
      <c r="J49" s="27" t="n">
        <v>0.0876062367329569</v>
      </c>
      <c r="K49" s="27" t="n">
        <v>1.15260493487023</v>
      </c>
      <c r="L49" t="s">
        <v>1832</v>
      </c>
      <c r="M49" t="s">
        <v>122</v>
      </c>
      <c r="N49" t="s">
        <v>1491</v>
      </c>
      <c r="O49" t="s">
        <v>1831</v>
      </c>
      <c r="P49" t="s">
        <v>1581</v>
      </c>
      <c r="Q49"/>
    </row>
    <row r="50">
      <c r="A50" t="s">
        <v>1524</v>
      </c>
      <c r="B50" t="s">
        <v>1480</v>
      </c>
      <c r="C50" s="27" t="n">
        <v>0.00527602169217873</v>
      </c>
      <c r="D50" s="27" t="n">
        <v>0.0475938562664158</v>
      </c>
      <c r="E50" s="27" t="n">
        <v>0.110855099923931</v>
      </c>
      <c r="F50" t="n">
        <v>0.911878458365114</v>
      </c>
      <c r="G50" t="n">
        <v>151</v>
      </c>
      <c r="H50" t="s">
        <v>1520</v>
      </c>
      <c r="I50" s="27" t="n">
        <v>1.00528996440453</v>
      </c>
      <c r="J50" s="27" t="n">
        <v>0.915065283376454</v>
      </c>
      <c r="K50" s="27" t="n">
        <v>1.10441072444958</v>
      </c>
      <c r="L50" t="s">
        <v>1833</v>
      </c>
      <c r="M50" t="s">
        <v>516</v>
      </c>
      <c r="N50" t="s">
        <v>1491</v>
      </c>
      <c r="O50" t="s">
        <v>1831</v>
      </c>
      <c r="P50" t="s">
        <v>1581</v>
      </c>
      <c r="Q50"/>
    </row>
    <row r="51">
      <c r="A51" t="s">
        <v>1524</v>
      </c>
      <c r="B51" t="s">
        <v>55</v>
      </c>
      <c r="C51" s="27" t="n">
        <v>0.116780095473479</v>
      </c>
      <c r="D51" s="27" t="n">
        <v>0.181694464176835</v>
      </c>
      <c r="E51" s="27" t="n">
        <v>0.642727867370916</v>
      </c>
      <c r="F51" t="n">
        <v>0.521375425090392</v>
      </c>
      <c r="G51" t="n">
        <v>151</v>
      </c>
      <c r="H51" t="s">
        <v>1520</v>
      </c>
      <c r="I51" s="27" t="n">
        <v>1.12387225791769</v>
      </c>
      <c r="J51" s="27" t="n">
        <v>0.784890052663165</v>
      </c>
      <c r="K51" s="27" t="n">
        <v>1.60925577771217</v>
      </c>
      <c r="L51" t="s">
        <v>1834</v>
      </c>
      <c r="M51" t="s">
        <v>1623</v>
      </c>
      <c r="N51" t="s">
        <v>1491</v>
      </c>
      <c r="O51" t="s">
        <v>1831</v>
      </c>
      <c r="P51" t="s">
        <v>1581</v>
      </c>
      <c r="Q51"/>
    </row>
    <row r="52">
      <c r="A52" t="s">
        <v>1524</v>
      </c>
      <c r="B52" t="s">
        <v>89</v>
      </c>
      <c r="C52" s="27" t="n">
        <v>-0.00399702730450908</v>
      </c>
      <c r="D52" s="27" t="n">
        <v>0.0122274025834495</v>
      </c>
      <c r="E52" s="27" t="n">
        <v>-0.326890954741222</v>
      </c>
      <c r="F52" t="n">
        <v>0.744203051881631</v>
      </c>
      <c r="G52" t="n">
        <v>151</v>
      </c>
      <c r="H52" t="s">
        <v>1520</v>
      </c>
      <c r="I52" s="27" t="n">
        <v>0.996010950176851</v>
      </c>
      <c r="J52" s="27" t="n">
        <v>0.972236767550059</v>
      </c>
      <c r="K52" s="27" t="n">
        <v>1.02036648477308</v>
      </c>
      <c r="L52" t="s">
        <v>1835</v>
      </c>
      <c r="M52" t="s">
        <v>511</v>
      </c>
      <c r="N52" t="s">
        <v>1491</v>
      </c>
      <c r="O52" t="s">
        <v>1831</v>
      </c>
      <c r="P52" t="s">
        <v>1581</v>
      </c>
      <c r="Q52"/>
    </row>
    <row r="53">
      <c r="A53" t="s">
        <v>1529</v>
      </c>
      <c r="B53"/>
      <c r="C53" s="27"/>
      <c r="D53" s="27"/>
      <c r="E53" s="27"/>
      <c r="F53"/>
      <c r="G53"/>
      <c r="H53"/>
      <c r="I53" s="27"/>
      <c r="J53" s="27"/>
      <c r="K53" s="27"/>
      <c r="L53"/>
      <c r="M53" t="s">
        <v>109</v>
      </c>
      <c r="N53"/>
      <c r="O53" t="s">
        <v>1530</v>
      </c>
      <c r="P53"/>
      <c r="Q53"/>
    </row>
    <row r="55">
      <c r="A55" s="1" t="s">
        <v>1836</v>
      </c>
    </row>
    <row r="56">
      <c r="A56" t="s">
        <v>1465</v>
      </c>
      <c r="B56" t="s">
        <v>1466</v>
      </c>
      <c r="C56" t="s">
        <v>1467</v>
      </c>
      <c r="D56" t="s">
        <v>1468</v>
      </c>
      <c r="E56" t="s">
        <v>1469</v>
      </c>
      <c r="F56" t="s">
        <v>1470</v>
      </c>
      <c r="G56" t="s">
        <v>1471</v>
      </c>
      <c r="H56" t="s">
        <v>1472</v>
      </c>
      <c r="I56" t="s">
        <v>1473</v>
      </c>
      <c r="J56" t="s">
        <v>1474</v>
      </c>
      <c r="K56" t="s">
        <v>1475</v>
      </c>
      <c r="L56" t="s">
        <v>1476</v>
      </c>
      <c r="M56" t="s">
        <v>41</v>
      </c>
      <c r="N56" t="s">
        <v>1477</v>
      </c>
      <c r="O56" t="s">
        <v>1478</v>
      </c>
      <c r="P56" t="s">
        <v>1479</v>
      </c>
      <c r="Q56" t="s">
        <v>1</v>
      </c>
    </row>
    <row r="57">
      <c r="A57" t="s">
        <v>1532</v>
      </c>
      <c r="B57" t="s">
        <v>1568</v>
      </c>
      <c r="C57" s="27" t="n">
        <v>6.77388313588695</v>
      </c>
      <c r="D57" s="27" t="n">
        <v>0.239703113015931</v>
      </c>
      <c r="E57" s="27" t="n">
        <v>28.2594708540008</v>
      </c>
      <c r="F57" t="n">
        <v>0.00000000000000000000000000000000000000000000000000000000000000113994121643594</v>
      </c>
      <c r="G57" t="n">
        <v>158</v>
      </c>
      <c r="H57"/>
      <c r="I57" s="27"/>
      <c r="J57" s="27"/>
      <c r="K57" s="27"/>
      <c r="L57"/>
      <c r="M57" t="s">
        <v>50</v>
      </c>
      <c r="N57" t="s">
        <v>1491</v>
      </c>
      <c r="O57" t="s">
        <v>1837</v>
      </c>
      <c r="P57" t="s">
        <v>1581</v>
      </c>
      <c r="Q57"/>
    </row>
    <row r="58">
      <c r="A58" t="s">
        <v>1532</v>
      </c>
      <c r="B58" t="s">
        <v>417</v>
      </c>
      <c r="C58" s="27" t="n">
        <v>-0.0286189654783447</v>
      </c>
      <c r="D58" s="27" t="n">
        <v>0.0218580049878618</v>
      </c>
      <c r="E58" s="27" t="n">
        <v>-1.3093127892613</v>
      </c>
      <c r="F58" t="n">
        <v>0.192329273269679</v>
      </c>
      <c r="G58" t="n">
        <v>158</v>
      </c>
      <c r="H58" t="s">
        <v>1487</v>
      </c>
      <c r="I58" s="27" t="n">
        <v>-0.0286189654783447</v>
      </c>
      <c r="J58" s="27" t="n">
        <v>-0.0717905378551716</v>
      </c>
      <c r="K58" s="27" t="n">
        <v>0.0145526068984822</v>
      </c>
      <c r="L58" t="s">
        <v>1838</v>
      </c>
      <c r="M58" t="s">
        <v>397</v>
      </c>
      <c r="N58" t="s">
        <v>1491</v>
      </c>
      <c r="O58" t="s">
        <v>1837</v>
      </c>
      <c r="P58" t="s">
        <v>1581</v>
      </c>
      <c r="Q58"/>
    </row>
    <row r="59">
      <c r="A59" t="s">
        <v>1532</v>
      </c>
      <c r="B59" t="s">
        <v>1480</v>
      </c>
      <c r="C59" s="27" t="n">
        <v>-0.000480538574409256</v>
      </c>
      <c r="D59" s="27" t="n">
        <v>0.00144772530721093</v>
      </c>
      <c r="E59" s="27" t="n">
        <v>-0.331926624488608</v>
      </c>
      <c r="F59" t="n">
        <v>0.740384566728109</v>
      </c>
      <c r="G59" t="n">
        <v>158</v>
      </c>
      <c r="H59" t="s">
        <v>1487</v>
      </c>
      <c r="I59" s="27" t="n">
        <v>-0.000480538574409256</v>
      </c>
      <c r="J59" s="27" t="n">
        <v>-0.00333992935214622</v>
      </c>
      <c r="K59" s="27" t="n">
        <v>0.00237885220332771</v>
      </c>
      <c r="L59" t="s">
        <v>1839</v>
      </c>
      <c r="M59" t="s">
        <v>511</v>
      </c>
      <c r="N59" t="s">
        <v>1491</v>
      </c>
      <c r="O59" t="s">
        <v>1837</v>
      </c>
      <c r="P59" t="s">
        <v>1581</v>
      </c>
      <c r="Q59"/>
    </row>
    <row r="60">
      <c r="A60" t="s">
        <v>1532</v>
      </c>
      <c r="B60" t="s">
        <v>55</v>
      </c>
      <c r="C60" s="27" t="n">
        <v>0.0523686782055519</v>
      </c>
      <c r="D60" s="27" t="n">
        <v>0.00636688679458362</v>
      </c>
      <c r="E60" s="27" t="n">
        <v>8.22516245303788</v>
      </c>
      <c r="F60" t="n">
        <v>0.00000000000006751366987691</v>
      </c>
      <c r="G60" t="n">
        <v>158</v>
      </c>
      <c r="H60" t="s">
        <v>1487</v>
      </c>
      <c r="I60" s="27" t="n">
        <v>0.0523686782055519</v>
      </c>
      <c r="J60" s="27" t="n">
        <v>0.0397934905697146</v>
      </c>
      <c r="K60" s="27" t="n">
        <v>0.0649438658413892</v>
      </c>
      <c r="L60" t="s">
        <v>1840</v>
      </c>
      <c r="M60" t="s">
        <v>50</v>
      </c>
      <c r="N60" t="s">
        <v>1491</v>
      </c>
      <c r="O60" t="s">
        <v>1837</v>
      </c>
      <c r="P60" t="s">
        <v>1581</v>
      </c>
      <c r="Q60"/>
    </row>
    <row r="61">
      <c r="A61" t="s">
        <v>1532</v>
      </c>
      <c r="B61" t="s">
        <v>89</v>
      </c>
      <c r="C61" s="27" t="n">
        <v>-0.0000829036300648884</v>
      </c>
      <c r="D61" s="27" t="n">
        <v>0.000483144928457263</v>
      </c>
      <c r="E61" s="27" t="n">
        <v>-0.171591638826903</v>
      </c>
      <c r="F61" t="n">
        <v>0.863978151955844</v>
      </c>
      <c r="G61" t="n">
        <v>158</v>
      </c>
      <c r="H61" t="s">
        <v>1487</v>
      </c>
      <c r="I61" s="27" t="n">
        <v>-0.0000829036300648884</v>
      </c>
      <c r="J61" s="27" t="n">
        <v>-0.00103715934823187</v>
      </c>
      <c r="K61" s="27" t="n">
        <v>0.000871352088102097</v>
      </c>
      <c r="L61" t="s">
        <v>1841</v>
      </c>
      <c r="M61" t="s">
        <v>485</v>
      </c>
      <c r="N61" t="s">
        <v>1491</v>
      </c>
      <c r="O61" t="s">
        <v>1837</v>
      </c>
      <c r="P61" t="s">
        <v>1581</v>
      </c>
      <c r="Q61"/>
    </row>
    <row r="62">
      <c r="A62" t="s">
        <v>145</v>
      </c>
      <c r="B62" t="s">
        <v>1568</v>
      </c>
      <c r="C62" s="27" t="n">
        <v>-20.61603501308</v>
      </c>
      <c r="D62" s="27" t="n">
        <v>11.5934250766307</v>
      </c>
      <c r="E62" s="27" t="n">
        <v>-1.77825231774141</v>
      </c>
      <c r="F62" t="n">
        <v>0.0772856563361432</v>
      </c>
      <c r="G62" t="n">
        <v>158</v>
      </c>
      <c r="H62"/>
      <c r="I62" s="27"/>
      <c r="J62" s="27"/>
      <c r="K62" s="27"/>
      <c r="L62"/>
      <c r="M62" t="s">
        <v>122</v>
      </c>
      <c r="N62" t="s">
        <v>1491</v>
      </c>
      <c r="O62" t="s">
        <v>1749</v>
      </c>
      <c r="P62" t="s">
        <v>1581</v>
      </c>
      <c r="Q62"/>
    </row>
    <row r="63">
      <c r="A63" t="s">
        <v>145</v>
      </c>
      <c r="B63" t="s">
        <v>417</v>
      </c>
      <c r="C63" s="27" t="n">
        <v>-0.285775839517061</v>
      </c>
      <c r="D63" s="27" t="n">
        <v>1.0834124377524</v>
      </c>
      <c r="E63" s="27" t="n">
        <v>-0.263773822008096</v>
      </c>
      <c r="F63" t="n">
        <v>0.792297918426271</v>
      </c>
      <c r="G63" t="n">
        <v>158</v>
      </c>
      <c r="H63" t="s">
        <v>1487</v>
      </c>
      <c r="I63" s="27" t="n">
        <v>-0.285775839517061</v>
      </c>
      <c r="J63" s="27" t="n">
        <v>-2.42561515679951</v>
      </c>
      <c r="K63" s="27" t="n">
        <v>1.85406347776538</v>
      </c>
      <c r="L63" t="s">
        <v>1842</v>
      </c>
      <c r="M63" t="s">
        <v>1843</v>
      </c>
      <c r="N63" t="s">
        <v>1491</v>
      </c>
      <c r="O63" t="s">
        <v>1749</v>
      </c>
      <c r="P63" t="s">
        <v>1581</v>
      </c>
      <c r="Q63"/>
    </row>
    <row r="64">
      <c r="A64" t="s">
        <v>145</v>
      </c>
      <c r="B64" t="s">
        <v>1480</v>
      </c>
      <c r="C64" s="27" t="n">
        <v>0.00309225539512472</v>
      </c>
      <c r="D64" s="27" t="n">
        <v>0.0710354955449144</v>
      </c>
      <c r="E64" s="27" t="n">
        <v>0.0435311300555304</v>
      </c>
      <c r="F64" t="n">
        <v>0.965333114909343</v>
      </c>
      <c r="G64" t="n">
        <v>158</v>
      </c>
      <c r="H64" t="s">
        <v>1487</v>
      </c>
      <c r="I64" s="27" t="n">
        <v>0.00309225539512472</v>
      </c>
      <c r="J64" s="27" t="n">
        <v>-0.13720938873681</v>
      </c>
      <c r="K64" s="27" t="n">
        <v>0.143393899527059</v>
      </c>
      <c r="L64" t="s">
        <v>1844</v>
      </c>
      <c r="M64" t="s">
        <v>1809</v>
      </c>
      <c r="N64" t="s">
        <v>1491</v>
      </c>
      <c r="O64" t="s">
        <v>1749</v>
      </c>
      <c r="P64" t="s">
        <v>1581</v>
      </c>
      <c r="Q64"/>
    </row>
    <row r="65">
      <c r="A65" t="s">
        <v>145</v>
      </c>
      <c r="B65" t="s">
        <v>55</v>
      </c>
      <c r="C65" s="27" t="n">
        <v>-12.8117066337703</v>
      </c>
      <c r="D65" s="27" t="n">
        <v>0.338011347491917</v>
      </c>
      <c r="E65" s="27" t="n">
        <v>-37.9031849931507</v>
      </c>
      <c r="F65" t="n">
        <v>0.00000000000000000000000000000000000000000000000000000000000000000000000000000000321808683952748</v>
      </c>
      <c r="G65" t="n">
        <v>158</v>
      </c>
      <c r="H65" t="s">
        <v>1487</v>
      </c>
      <c r="I65" s="27" t="n">
        <v>-12.8117066337703</v>
      </c>
      <c r="J65" s="27" t="n">
        <v>-13.4793101666883</v>
      </c>
      <c r="K65" s="27" t="n">
        <v>-12.1441031008522</v>
      </c>
      <c r="L65" t="s">
        <v>1845</v>
      </c>
      <c r="M65" t="s">
        <v>50</v>
      </c>
      <c r="N65" t="s">
        <v>1491</v>
      </c>
      <c r="O65" t="s">
        <v>1749</v>
      </c>
      <c r="P65" t="s">
        <v>1581</v>
      </c>
      <c r="Q65"/>
    </row>
    <row r="66">
      <c r="A66" t="s">
        <v>145</v>
      </c>
      <c r="B66" t="s">
        <v>89</v>
      </c>
      <c r="C66" s="27" t="n">
        <v>0.0610392293431576</v>
      </c>
      <c r="D66" s="27" t="n">
        <v>0.0233137023454919</v>
      </c>
      <c r="E66" s="27" t="n">
        <v>2.61816971146844</v>
      </c>
      <c r="F66" t="n">
        <v>0.00970012072771644</v>
      </c>
      <c r="G66" t="n">
        <v>158</v>
      </c>
      <c r="H66" t="s">
        <v>1487</v>
      </c>
      <c r="I66" s="27" t="n">
        <v>0.0610392293431576</v>
      </c>
      <c r="J66" s="27" t="n">
        <v>0.0149925206550075</v>
      </c>
      <c r="K66" s="27" t="n">
        <v>0.107085938031308</v>
      </c>
      <c r="L66" t="s">
        <v>1846</v>
      </c>
      <c r="M66" t="s">
        <v>1847</v>
      </c>
      <c r="N66" t="s">
        <v>1491</v>
      </c>
      <c r="O66" t="s">
        <v>1749</v>
      </c>
      <c r="P66" t="s">
        <v>1581</v>
      </c>
      <c r="Q66"/>
    </row>
    <row r="67">
      <c r="A67" t="s">
        <v>1539</v>
      </c>
      <c r="B67"/>
      <c r="C67" s="27"/>
      <c r="D67" s="27"/>
      <c r="E67" s="27"/>
      <c r="F67"/>
      <c r="G67"/>
      <c r="H67"/>
      <c r="I67" s="27"/>
      <c r="J67" s="27"/>
      <c r="K67" s="27"/>
      <c r="L67"/>
      <c r="M67" t="s">
        <v>109</v>
      </c>
      <c r="N67"/>
      <c r="O67" t="s">
        <v>1530</v>
      </c>
      <c r="P67"/>
      <c r="Q67"/>
    </row>
    <row r="69">
      <c r="A69" s="1" t="s">
        <v>1848</v>
      </c>
    </row>
    <row r="70">
      <c r="A70" t="s">
        <v>1465</v>
      </c>
      <c r="B70" t="s">
        <v>1466</v>
      </c>
      <c r="C70" t="s">
        <v>1467</v>
      </c>
      <c r="D70" t="s">
        <v>1468</v>
      </c>
      <c r="E70" t="s">
        <v>1469</v>
      </c>
      <c r="F70" t="s">
        <v>1470</v>
      </c>
      <c r="G70" t="s">
        <v>1471</v>
      </c>
      <c r="H70" t="s">
        <v>1472</v>
      </c>
      <c r="I70" t="s">
        <v>1473</v>
      </c>
      <c r="J70" t="s">
        <v>1474</v>
      </c>
      <c r="K70" t="s">
        <v>1475</v>
      </c>
      <c r="L70" t="s">
        <v>1476</v>
      </c>
      <c r="M70" t="s">
        <v>41</v>
      </c>
      <c r="N70" t="s">
        <v>1477</v>
      </c>
      <c r="O70" t="s">
        <v>1478</v>
      </c>
      <c r="P70" t="s">
        <v>1479</v>
      </c>
      <c r="Q70" t="s">
        <v>1</v>
      </c>
    </row>
    <row r="71">
      <c r="A71" t="s">
        <v>167</v>
      </c>
      <c r="B71" t="s">
        <v>1568</v>
      </c>
      <c r="C71" s="27" t="n">
        <v>165.301895033173</v>
      </c>
      <c r="D71" s="27" t="n">
        <v>25.9898082235333</v>
      </c>
      <c r="E71" s="27" t="n">
        <v>6.36025836017889</v>
      </c>
      <c r="F71" t="n">
        <v>0.00000000258753374840462</v>
      </c>
      <c r="G71" t="n">
        <v>142</v>
      </c>
      <c r="H71"/>
      <c r="I71" s="27"/>
      <c r="J71" s="27"/>
      <c r="K71" s="27"/>
      <c r="L71"/>
      <c r="M71" t="s">
        <v>50</v>
      </c>
      <c r="N71" t="s">
        <v>1491</v>
      </c>
      <c r="O71" t="s">
        <v>1749</v>
      </c>
      <c r="P71" t="s">
        <v>1581</v>
      </c>
      <c r="Q71"/>
    </row>
    <row r="72">
      <c r="A72" t="s">
        <v>167</v>
      </c>
      <c r="B72" t="s">
        <v>417</v>
      </c>
      <c r="C72" s="27" t="n">
        <v>-4.06812259871906</v>
      </c>
      <c r="D72" s="27" t="n">
        <v>2.23004447946392</v>
      </c>
      <c r="E72" s="27" t="n">
        <v>-1.82423383756767</v>
      </c>
      <c r="F72" t="n">
        <v>0.0702189968553796</v>
      </c>
      <c r="G72" t="n">
        <v>142</v>
      </c>
      <c r="H72" t="s">
        <v>1487</v>
      </c>
      <c r="I72" s="27" t="n">
        <v>-4.06812259871906</v>
      </c>
      <c r="J72" s="27" t="n">
        <v>-8.47649904201359</v>
      </c>
      <c r="K72" s="27" t="n">
        <v>0.340253844575472</v>
      </c>
      <c r="L72" t="s">
        <v>1849</v>
      </c>
      <c r="M72" t="s">
        <v>72</v>
      </c>
      <c r="N72" t="s">
        <v>1491</v>
      </c>
      <c r="O72" t="s">
        <v>1749</v>
      </c>
      <c r="P72" t="s">
        <v>1581</v>
      </c>
      <c r="Q72"/>
    </row>
    <row r="73">
      <c r="A73" t="s">
        <v>167</v>
      </c>
      <c r="B73" t="s">
        <v>1480</v>
      </c>
      <c r="C73" s="27" t="n">
        <v>0.00899007382022101</v>
      </c>
      <c r="D73" s="27" t="n">
        <v>0.147650764746579</v>
      </c>
      <c r="E73" s="27" t="n">
        <v>0.0608874179260174</v>
      </c>
      <c r="F73" t="n">
        <v>0.951534481877438</v>
      </c>
      <c r="G73" t="n">
        <v>142</v>
      </c>
      <c r="H73" t="s">
        <v>1487</v>
      </c>
      <c r="I73" s="27" t="n">
        <v>0.00899007382022101</v>
      </c>
      <c r="J73" s="27" t="n">
        <v>-0.282887581149114</v>
      </c>
      <c r="K73" s="27" t="n">
        <v>0.300867728789556</v>
      </c>
      <c r="L73" t="s">
        <v>1850</v>
      </c>
      <c r="M73" t="s">
        <v>544</v>
      </c>
      <c r="N73" t="s">
        <v>1491</v>
      </c>
      <c r="O73" t="s">
        <v>1749</v>
      </c>
      <c r="P73" t="s">
        <v>1581</v>
      </c>
      <c r="Q73"/>
    </row>
    <row r="74">
      <c r="A74" t="s">
        <v>167</v>
      </c>
      <c r="B74" t="s">
        <v>55</v>
      </c>
      <c r="C74" s="27" t="n">
        <v>0.652745165147975</v>
      </c>
      <c r="D74" s="27" t="n">
        <v>0.651749496991164</v>
      </c>
      <c r="E74" s="27" t="n">
        <v>1.00152768534753</v>
      </c>
      <c r="F74" t="n">
        <v>0.318275371552741</v>
      </c>
      <c r="G74" t="n">
        <v>142</v>
      </c>
      <c r="H74" t="s">
        <v>1487</v>
      </c>
      <c r="I74" s="27" t="n">
        <v>0.652745165147975</v>
      </c>
      <c r="J74" s="27" t="n">
        <v>-0.635640405598841</v>
      </c>
      <c r="K74" s="27" t="n">
        <v>1.94113073589479</v>
      </c>
      <c r="L74" t="s">
        <v>1851</v>
      </c>
      <c r="M74" t="s">
        <v>393</v>
      </c>
      <c r="N74" t="s">
        <v>1491</v>
      </c>
      <c r="O74" t="s">
        <v>1749</v>
      </c>
      <c r="P74" t="s">
        <v>1581</v>
      </c>
      <c r="Q74"/>
    </row>
    <row r="75">
      <c r="A75" t="s">
        <v>167</v>
      </c>
      <c r="B75" t="s">
        <v>89</v>
      </c>
      <c r="C75" s="27" t="n">
        <v>0.0349088388349725</v>
      </c>
      <c r="D75" s="27" t="n">
        <v>0.049283157499285</v>
      </c>
      <c r="E75" s="27" t="n">
        <v>0.708332026726961</v>
      </c>
      <c r="F75" t="n">
        <v>0.479900231866836</v>
      </c>
      <c r="G75" t="n">
        <v>142</v>
      </c>
      <c r="H75" t="s">
        <v>1487</v>
      </c>
      <c r="I75" s="27" t="n">
        <v>0.0349088388349725</v>
      </c>
      <c r="J75" s="27" t="n">
        <v>-0.0625146487105534</v>
      </c>
      <c r="K75" s="27" t="n">
        <v>0.132332326380498</v>
      </c>
      <c r="L75" t="s">
        <v>1852</v>
      </c>
      <c r="M75" t="s">
        <v>422</v>
      </c>
      <c r="N75" t="s">
        <v>1491</v>
      </c>
      <c r="O75" t="s">
        <v>1749</v>
      </c>
      <c r="P75" t="s">
        <v>1581</v>
      </c>
      <c r="Q75"/>
    </row>
    <row r="76">
      <c r="A76" t="s">
        <v>177</v>
      </c>
      <c r="B76" t="s">
        <v>1568</v>
      </c>
      <c r="C76" s="27" t="n">
        <v>0.292699877508477</v>
      </c>
      <c r="D76" s="27" t="n">
        <v>0.565515977489185</v>
      </c>
      <c r="E76" s="27" t="n">
        <v>0.517580208446144</v>
      </c>
      <c r="F76" t="n">
        <v>0.605556563568729</v>
      </c>
      <c r="G76" t="n">
        <v>142</v>
      </c>
      <c r="H76"/>
      <c r="I76" s="27"/>
      <c r="J76" s="27"/>
      <c r="K76" s="27"/>
      <c r="L76"/>
      <c r="M76" t="s">
        <v>1853</v>
      </c>
      <c r="N76" t="s">
        <v>1491</v>
      </c>
      <c r="O76" t="s">
        <v>1749</v>
      </c>
      <c r="P76" t="s">
        <v>1581</v>
      </c>
      <c r="Q76"/>
    </row>
    <row r="77">
      <c r="A77" t="s">
        <v>177</v>
      </c>
      <c r="B77" t="s">
        <v>417</v>
      </c>
      <c r="C77" s="27" t="n">
        <v>-0.189992276686729</v>
      </c>
      <c r="D77" s="27" t="n">
        <v>0.0586449162726964</v>
      </c>
      <c r="E77" s="27" t="n">
        <v>-3.23970582212571</v>
      </c>
      <c r="F77" t="n">
        <v>0.00149032353246757</v>
      </c>
      <c r="G77" t="n">
        <v>142</v>
      </c>
      <c r="H77" t="s">
        <v>1487</v>
      </c>
      <c r="I77" s="27" t="n">
        <v>-0.189992276686729</v>
      </c>
      <c r="J77" s="27" t="n">
        <v>-0.305922191895274</v>
      </c>
      <c r="K77" s="27" t="n">
        <v>-0.0740623614781849</v>
      </c>
      <c r="L77" t="s">
        <v>1854</v>
      </c>
      <c r="M77" t="s">
        <v>368</v>
      </c>
      <c r="N77" t="s">
        <v>1491</v>
      </c>
      <c r="O77" t="s">
        <v>1749</v>
      </c>
      <c r="P77" t="s">
        <v>1581</v>
      </c>
      <c r="Q77"/>
    </row>
    <row r="78">
      <c r="A78" t="s">
        <v>177</v>
      </c>
      <c r="B78" t="s">
        <v>1480</v>
      </c>
      <c r="C78" s="27" t="n">
        <v>-0.0136472079769353</v>
      </c>
      <c r="D78" s="27" t="n">
        <v>0.00443377148753218</v>
      </c>
      <c r="E78" s="27" t="n">
        <v>-3.07801338325878</v>
      </c>
      <c r="F78" t="n">
        <v>0.00250157976282895</v>
      </c>
      <c r="G78" t="n">
        <v>142</v>
      </c>
      <c r="H78" t="s">
        <v>1487</v>
      </c>
      <c r="I78" s="27" t="n">
        <v>-0.0136472079769353</v>
      </c>
      <c r="J78" s="27" t="n">
        <v>-0.0224119361967448</v>
      </c>
      <c r="K78" s="27" t="n">
        <v>-0.00488247975712575</v>
      </c>
      <c r="L78" t="s">
        <v>1855</v>
      </c>
      <c r="M78" t="s">
        <v>369</v>
      </c>
      <c r="N78" t="s">
        <v>1491</v>
      </c>
      <c r="O78" t="s">
        <v>1749</v>
      </c>
      <c r="P78" t="s">
        <v>1581</v>
      </c>
      <c r="Q78"/>
    </row>
    <row r="79">
      <c r="A79" t="s">
        <v>177</v>
      </c>
      <c r="B79" t="s">
        <v>55</v>
      </c>
      <c r="C79" s="27" t="n">
        <v>0.0425650225445354</v>
      </c>
      <c r="D79" s="27" t="n">
        <v>0.0205491320701035</v>
      </c>
      <c r="E79" s="27" t="n">
        <v>2.07137811949062</v>
      </c>
      <c r="F79" t="n">
        <v>0.0401332629502135</v>
      </c>
      <c r="G79" t="n">
        <v>142</v>
      </c>
      <c r="H79" t="s">
        <v>1487</v>
      </c>
      <c r="I79" s="27" t="n">
        <v>0.0425650225445354</v>
      </c>
      <c r="J79" s="27" t="n">
        <v>0.00194327235874128</v>
      </c>
      <c r="K79" s="27" t="n">
        <v>0.0831867727303295</v>
      </c>
      <c r="L79" t="s">
        <v>1856</v>
      </c>
      <c r="M79" t="s">
        <v>460</v>
      </c>
      <c r="N79" t="s">
        <v>1491</v>
      </c>
      <c r="O79" t="s">
        <v>1749</v>
      </c>
      <c r="P79" t="s">
        <v>1581</v>
      </c>
      <c r="Q79"/>
    </row>
    <row r="80">
      <c r="A80" t="s">
        <v>177</v>
      </c>
      <c r="B80" t="s">
        <v>89</v>
      </c>
      <c r="C80" s="27" t="n">
        <v>0.000668802821848006</v>
      </c>
      <c r="D80" s="27" t="n">
        <v>0.00111049236068594</v>
      </c>
      <c r="E80" s="27" t="n">
        <v>0.602257922274126</v>
      </c>
      <c r="F80" t="n">
        <v>0.547962951162612</v>
      </c>
      <c r="G80" t="n">
        <v>142</v>
      </c>
      <c r="H80" t="s">
        <v>1487</v>
      </c>
      <c r="I80" s="27" t="n">
        <v>0.000668802821848006</v>
      </c>
      <c r="J80" s="27" t="n">
        <v>-0.00152643068510127</v>
      </c>
      <c r="K80" s="27" t="n">
        <v>0.00286403632879728</v>
      </c>
      <c r="L80" t="s">
        <v>1857</v>
      </c>
      <c r="M80" t="s">
        <v>1624</v>
      </c>
      <c r="N80" t="s">
        <v>1491</v>
      </c>
      <c r="O80" t="s">
        <v>1749</v>
      </c>
      <c r="P80" t="s">
        <v>1581</v>
      </c>
      <c r="Q80"/>
    </row>
    <row r="81">
      <c r="A81" t="s">
        <v>185</v>
      </c>
      <c r="B81" t="s">
        <v>1568</v>
      </c>
      <c r="C81" s="27" t="n">
        <v>-0.420877108427858</v>
      </c>
      <c r="D81" s="27" t="n">
        <v>0.287503606851403</v>
      </c>
      <c r="E81" s="27" t="n">
        <v>-1.46390201165507</v>
      </c>
      <c r="F81" t="n">
        <v>0.145430940709982</v>
      </c>
      <c r="G81" t="n">
        <v>142</v>
      </c>
      <c r="H81"/>
      <c r="I81" s="27"/>
      <c r="J81" s="27"/>
      <c r="K81" s="27"/>
      <c r="L81"/>
      <c r="M81" t="s">
        <v>373</v>
      </c>
      <c r="N81" t="s">
        <v>1491</v>
      </c>
      <c r="O81" t="s">
        <v>1749</v>
      </c>
      <c r="P81" t="s">
        <v>1581</v>
      </c>
      <c r="Q81"/>
    </row>
    <row r="82">
      <c r="A82" t="s">
        <v>185</v>
      </c>
      <c r="B82" t="s">
        <v>417</v>
      </c>
      <c r="C82" s="27" t="n">
        <v>0.00117077379668166</v>
      </c>
      <c r="D82" s="27" t="n">
        <v>0.0246086877518299</v>
      </c>
      <c r="E82" s="27" t="n">
        <v>0.0475756289196932</v>
      </c>
      <c r="F82" t="n">
        <v>0.962121302076602</v>
      </c>
      <c r="G82" t="n">
        <v>142</v>
      </c>
      <c r="H82" t="s">
        <v>1487</v>
      </c>
      <c r="I82" s="27" t="n">
        <v>0.00117077379668166</v>
      </c>
      <c r="J82" s="27" t="n">
        <v>-0.0474759506900139</v>
      </c>
      <c r="K82" s="27" t="n">
        <v>0.0498174982833772</v>
      </c>
      <c r="L82" t="s">
        <v>1781</v>
      </c>
      <c r="M82" t="s">
        <v>423</v>
      </c>
      <c r="N82" t="s">
        <v>1491</v>
      </c>
      <c r="O82" t="s">
        <v>1749</v>
      </c>
      <c r="P82" t="s">
        <v>1581</v>
      </c>
      <c r="Q82"/>
    </row>
    <row r="83">
      <c r="A83" t="s">
        <v>185</v>
      </c>
      <c r="B83" t="s">
        <v>1480</v>
      </c>
      <c r="C83" s="27" t="n">
        <v>-0.00171035260356719</v>
      </c>
      <c r="D83" s="27" t="n">
        <v>0.00172420890654854</v>
      </c>
      <c r="E83" s="27" t="n">
        <v>-0.991963675092547</v>
      </c>
      <c r="F83" t="n">
        <v>0.322902552897739</v>
      </c>
      <c r="G83" t="n">
        <v>142</v>
      </c>
      <c r="H83" t="s">
        <v>1487</v>
      </c>
      <c r="I83" s="27" t="n">
        <v>-0.00171035260356719</v>
      </c>
      <c r="J83" s="27" t="n">
        <v>-0.00511878772535203</v>
      </c>
      <c r="K83" s="27" t="n">
        <v>0.00169808251821764</v>
      </c>
      <c r="L83" t="s">
        <v>1858</v>
      </c>
      <c r="M83" t="s">
        <v>393</v>
      </c>
      <c r="N83" t="s">
        <v>1491</v>
      </c>
      <c r="O83" t="s">
        <v>1749</v>
      </c>
      <c r="P83" t="s">
        <v>1581</v>
      </c>
      <c r="Q83"/>
    </row>
    <row r="84">
      <c r="A84" t="s">
        <v>185</v>
      </c>
      <c r="B84" t="s">
        <v>55</v>
      </c>
      <c r="C84" s="27" t="n">
        <v>0.00835672674529274</v>
      </c>
      <c r="D84" s="27" t="n">
        <v>0.0076436078002433</v>
      </c>
      <c r="E84" s="27" t="n">
        <v>1.09329611927848</v>
      </c>
      <c r="F84" t="n">
        <v>0.276115042217769</v>
      </c>
      <c r="G84" t="n">
        <v>142</v>
      </c>
      <c r="H84" t="s">
        <v>1487</v>
      </c>
      <c r="I84" s="27" t="n">
        <v>0.00835672674529274</v>
      </c>
      <c r="J84" s="27" t="n">
        <v>-0.00675324118524604</v>
      </c>
      <c r="K84" s="27" t="n">
        <v>0.0234666946758315</v>
      </c>
      <c r="L84" t="s">
        <v>1859</v>
      </c>
      <c r="M84" t="s">
        <v>482</v>
      </c>
      <c r="N84" t="s">
        <v>1491</v>
      </c>
      <c r="O84" t="s">
        <v>1749</v>
      </c>
      <c r="P84" t="s">
        <v>1581</v>
      </c>
      <c r="Q84"/>
    </row>
    <row r="85">
      <c r="A85" t="s">
        <v>185</v>
      </c>
      <c r="B85" t="s">
        <v>89</v>
      </c>
      <c r="C85" s="27" t="n">
        <v>0.000530801147623536</v>
      </c>
      <c r="D85" s="27" t="n">
        <v>0.00059945470241918</v>
      </c>
      <c r="E85" s="27" t="n">
        <v>0.885473323474512</v>
      </c>
      <c r="F85" t="n">
        <v>0.377398394856488</v>
      </c>
      <c r="G85" t="n">
        <v>142</v>
      </c>
      <c r="H85" t="s">
        <v>1487</v>
      </c>
      <c r="I85" s="27" t="n">
        <v>0.000530801147623536</v>
      </c>
      <c r="J85" s="27" t="n">
        <v>-0.00065420749830361</v>
      </c>
      <c r="K85" s="27" t="n">
        <v>0.00171580979355068</v>
      </c>
      <c r="L85" t="s">
        <v>1860</v>
      </c>
      <c r="M85" t="s">
        <v>1629</v>
      </c>
      <c r="N85" t="s">
        <v>1491</v>
      </c>
      <c r="O85" t="s">
        <v>1749</v>
      </c>
      <c r="P85" t="s">
        <v>1581</v>
      </c>
      <c r="Q85"/>
    </row>
    <row r="86">
      <c r="A86" t="s">
        <v>194</v>
      </c>
      <c r="B86" t="s">
        <v>1568</v>
      </c>
      <c r="C86" s="27" t="n">
        <v>-0.217623872485263</v>
      </c>
      <c r="D86" s="27" t="n">
        <v>0.21201433221613</v>
      </c>
      <c r="E86" s="27" t="n">
        <v>-1.02645830690075</v>
      </c>
      <c r="F86" t="n">
        <v>0.306445848315174</v>
      </c>
      <c r="G86" t="n">
        <v>140</v>
      </c>
      <c r="H86"/>
      <c r="I86" s="27"/>
      <c r="J86" s="27"/>
      <c r="K86" s="27"/>
      <c r="L86"/>
      <c r="M86" t="s">
        <v>414</v>
      </c>
      <c r="N86" t="s">
        <v>1491</v>
      </c>
      <c r="O86" t="s">
        <v>1749</v>
      </c>
      <c r="P86" t="s">
        <v>1581</v>
      </c>
      <c r="Q86"/>
    </row>
    <row r="87">
      <c r="A87" t="s">
        <v>194</v>
      </c>
      <c r="B87" t="s">
        <v>417</v>
      </c>
      <c r="C87" s="27" t="n">
        <v>0.0291438369487361</v>
      </c>
      <c r="D87" s="27" t="n">
        <v>0.0175776633894545</v>
      </c>
      <c r="E87" s="27" t="n">
        <v>1.65800404200598</v>
      </c>
      <c r="F87" t="n">
        <v>0.0995556574619671</v>
      </c>
      <c r="G87" t="n">
        <v>140</v>
      </c>
      <c r="H87" t="s">
        <v>1487</v>
      </c>
      <c r="I87" s="27" t="n">
        <v>0.0291438369487361</v>
      </c>
      <c r="J87" s="27" t="n">
        <v>-0.00560814783826511</v>
      </c>
      <c r="K87" s="27" t="n">
        <v>0.0638958217357374</v>
      </c>
      <c r="L87" t="s">
        <v>1861</v>
      </c>
      <c r="M87" t="s">
        <v>433</v>
      </c>
      <c r="N87" t="s">
        <v>1491</v>
      </c>
      <c r="O87" t="s">
        <v>1749</v>
      </c>
      <c r="P87" t="s">
        <v>1581</v>
      </c>
      <c r="Q87"/>
    </row>
    <row r="88">
      <c r="A88" t="s">
        <v>194</v>
      </c>
      <c r="B88" t="s">
        <v>1480</v>
      </c>
      <c r="C88" s="27" t="n">
        <v>0.00278274341067444</v>
      </c>
      <c r="D88" s="27" t="n">
        <v>0.00101344336258232</v>
      </c>
      <c r="E88" s="27" t="n">
        <v>2.74583021944496</v>
      </c>
      <c r="F88" t="n">
        <v>0.00682861153033725</v>
      </c>
      <c r="G88" t="n">
        <v>140</v>
      </c>
      <c r="H88" t="s">
        <v>1487</v>
      </c>
      <c r="I88" s="27" t="n">
        <v>0.00278274341067444</v>
      </c>
      <c r="J88" s="27" t="n">
        <v>0.000779111441019282</v>
      </c>
      <c r="K88" s="27" t="n">
        <v>0.0047863753803296</v>
      </c>
      <c r="L88" t="s">
        <v>1862</v>
      </c>
      <c r="M88" t="s">
        <v>1593</v>
      </c>
      <c r="N88" t="s">
        <v>1491</v>
      </c>
      <c r="O88" t="s">
        <v>1749</v>
      </c>
      <c r="P88" t="s">
        <v>1581</v>
      </c>
      <c r="Q88"/>
    </row>
    <row r="89">
      <c r="A89" t="s">
        <v>194</v>
      </c>
      <c r="B89" t="s">
        <v>55</v>
      </c>
      <c r="C89" s="27" t="n">
        <v>-0.0113765022752835</v>
      </c>
      <c r="D89" s="27" t="n">
        <v>0.00457288586091201</v>
      </c>
      <c r="E89" s="27" t="n">
        <v>-2.48781680131736</v>
      </c>
      <c r="F89" t="n">
        <v>0.0140264355262423</v>
      </c>
      <c r="G89" t="n">
        <v>140</v>
      </c>
      <c r="H89" t="s">
        <v>1487</v>
      </c>
      <c r="I89" s="27" t="n">
        <v>-0.0113765022752835</v>
      </c>
      <c r="J89" s="27" t="n">
        <v>-0.0204173432761669</v>
      </c>
      <c r="K89" s="27" t="n">
        <v>-0.00233566127440011</v>
      </c>
      <c r="L89" t="s">
        <v>1863</v>
      </c>
      <c r="M89" t="s">
        <v>411</v>
      </c>
      <c r="N89" t="s">
        <v>1491</v>
      </c>
      <c r="O89" t="s">
        <v>1749</v>
      </c>
      <c r="P89" t="s">
        <v>1581</v>
      </c>
      <c r="Q89"/>
    </row>
    <row r="90">
      <c r="A90" t="s">
        <v>194</v>
      </c>
      <c r="B90" t="s">
        <v>89</v>
      </c>
      <c r="C90" s="27" t="n">
        <v>0.000044857648875028</v>
      </c>
      <c r="D90" s="27" t="n">
        <v>0.000395749193309911</v>
      </c>
      <c r="E90" s="27" t="n">
        <v>0.113348680511144</v>
      </c>
      <c r="F90" t="n">
        <v>0.909916502750953</v>
      </c>
      <c r="G90" t="n">
        <v>140</v>
      </c>
      <c r="H90" t="s">
        <v>1487</v>
      </c>
      <c r="I90" s="27" t="n">
        <v>0.000044857648875028</v>
      </c>
      <c r="J90" s="27" t="n">
        <v>-0.000737559765809624</v>
      </c>
      <c r="K90" s="27" t="n">
        <v>0.00082727506355968</v>
      </c>
      <c r="L90" t="s">
        <v>1864</v>
      </c>
      <c r="M90" t="s">
        <v>516</v>
      </c>
      <c r="N90" t="s">
        <v>1491</v>
      </c>
      <c r="O90" t="s">
        <v>1749</v>
      </c>
      <c r="P90" t="s">
        <v>1581</v>
      </c>
      <c r="Q90"/>
    </row>
    <row r="91">
      <c r="A91" t="s">
        <v>203</v>
      </c>
      <c r="B91" t="s">
        <v>1568</v>
      </c>
      <c r="C91" s="27" t="n">
        <v>-0.329701478107244</v>
      </c>
      <c r="D91" s="27" t="n">
        <v>0.197831865516558</v>
      </c>
      <c r="E91" s="27" t="n">
        <v>-1.66657417522886</v>
      </c>
      <c r="F91" t="n">
        <v>0.0978033772280601</v>
      </c>
      <c r="G91" t="n">
        <v>142</v>
      </c>
      <c r="H91"/>
      <c r="I91" s="27"/>
      <c r="J91" s="27"/>
      <c r="K91" s="27"/>
      <c r="L91"/>
      <c r="M91" t="s">
        <v>433</v>
      </c>
      <c r="N91" t="s">
        <v>1491</v>
      </c>
      <c r="O91" t="s">
        <v>1749</v>
      </c>
      <c r="P91" t="s">
        <v>1581</v>
      </c>
      <c r="Q91"/>
    </row>
    <row r="92">
      <c r="A92" t="s">
        <v>203</v>
      </c>
      <c r="B92" t="s">
        <v>417</v>
      </c>
      <c r="C92" s="27" t="n">
        <v>0.0251793609919338</v>
      </c>
      <c r="D92" s="27" t="n">
        <v>0.0160762728636902</v>
      </c>
      <c r="E92" s="27" t="n">
        <v>1.56624369376087</v>
      </c>
      <c r="F92" t="n">
        <v>0.119517371362831</v>
      </c>
      <c r="G92" t="n">
        <v>142</v>
      </c>
      <c r="H92" t="s">
        <v>1487</v>
      </c>
      <c r="I92" s="27" t="n">
        <v>0.0251793609919338</v>
      </c>
      <c r="J92" s="27" t="n">
        <v>-0.00660039194165048</v>
      </c>
      <c r="K92" s="27" t="n">
        <v>0.056959113925518</v>
      </c>
      <c r="L92" t="s">
        <v>1861</v>
      </c>
      <c r="M92" t="s">
        <v>419</v>
      </c>
      <c r="N92" t="s">
        <v>1491</v>
      </c>
      <c r="O92" t="s">
        <v>1749</v>
      </c>
      <c r="P92" t="s">
        <v>1581</v>
      </c>
      <c r="Q92"/>
    </row>
    <row r="93">
      <c r="A93" t="s">
        <v>203</v>
      </c>
      <c r="B93" t="s">
        <v>1480</v>
      </c>
      <c r="C93" s="27" t="n">
        <v>0.000296932452115012</v>
      </c>
      <c r="D93" s="27" t="n">
        <v>0.00114690069524306</v>
      </c>
      <c r="E93" s="27" t="n">
        <v>0.258899879777372</v>
      </c>
      <c r="F93" t="n">
        <v>0.796087411570899</v>
      </c>
      <c r="G93" t="n">
        <v>142</v>
      </c>
      <c r="H93" t="s">
        <v>1487</v>
      </c>
      <c r="I93" s="27" t="n">
        <v>0.000296932452115012</v>
      </c>
      <c r="J93" s="27" t="n">
        <v>-0.00197027345084662</v>
      </c>
      <c r="K93" s="27" t="n">
        <v>0.00256413835507665</v>
      </c>
      <c r="L93" t="s">
        <v>1865</v>
      </c>
      <c r="M93" t="s">
        <v>540</v>
      </c>
      <c r="N93" t="s">
        <v>1491</v>
      </c>
      <c r="O93" t="s">
        <v>1749</v>
      </c>
      <c r="P93" t="s">
        <v>1581</v>
      </c>
      <c r="Q93"/>
    </row>
    <row r="94">
      <c r="A94" t="s">
        <v>203</v>
      </c>
      <c r="B94" t="s">
        <v>55</v>
      </c>
      <c r="C94" s="27" t="n">
        <v>-0.0082319377222657</v>
      </c>
      <c r="D94" s="27" t="n">
        <v>0.00509786085674942</v>
      </c>
      <c r="E94" s="27" t="n">
        <v>-1.61478273997354</v>
      </c>
      <c r="F94" t="n">
        <v>0.108577593213231</v>
      </c>
      <c r="G94" t="n">
        <v>142</v>
      </c>
      <c r="H94" t="s">
        <v>1487</v>
      </c>
      <c r="I94" s="27" t="n">
        <v>-0.0082319377222657</v>
      </c>
      <c r="J94" s="27" t="n">
        <v>-0.0183094451078986</v>
      </c>
      <c r="K94" s="27" t="n">
        <v>0.00184556966336716</v>
      </c>
      <c r="L94" t="s">
        <v>1866</v>
      </c>
      <c r="M94" t="s">
        <v>86</v>
      </c>
      <c r="N94" t="s">
        <v>1491</v>
      </c>
      <c r="O94" t="s">
        <v>1749</v>
      </c>
      <c r="P94" t="s">
        <v>1581</v>
      </c>
      <c r="Q94"/>
    </row>
    <row r="95">
      <c r="A95" t="s">
        <v>203</v>
      </c>
      <c r="B95" t="s">
        <v>89</v>
      </c>
      <c r="C95" s="27" t="n">
        <v>0.000395959983723045</v>
      </c>
      <c r="D95" s="27" t="n">
        <v>0.000379214997325252</v>
      </c>
      <c r="E95" s="27" t="n">
        <v>1.04415697299923</v>
      </c>
      <c r="F95" t="n">
        <v>0.298187057293066</v>
      </c>
      <c r="G95" t="n">
        <v>142</v>
      </c>
      <c r="H95" t="s">
        <v>1487</v>
      </c>
      <c r="I95" s="27" t="n">
        <v>0.000395959983723045</v>
      </c>
      <c r="J95" s="27" t="n">
        <v>-0.000353676391939965</v>
      </c>
      <c r="K95" s="27" t="n">
        <v>0.00114559635938606</v>
      </c>
      <c r="L95" t="s">
        <v>1867</v>
      </c>
      <c r="M95" t="s">
        <v>479</v>
      </c>
      <c r="N95" t="s">
        <v>1491</v>
      </c>
      <c r="O95" t="s">
        <v>1749</v>
      </c>
      <c r="P95" t="s">
        <v>1581</v>
      </c>
      <c r="Q95"/>
    </row>
    <row r="96">
      <c r="A96" t="s">
        <v>212</v>
      </c>
      <c r="B96"/>
      <c r="C96" s="27"/>
      <c r="D96" s="27"/>
      <c r="E96" s="27"/>
      <c r="F96"/>
      <c r="G96"/>
      <c r="H96"/>
      <c r="I96" s="27"/>
      <c r="J96" s="27"/>
      <c r="K96" s="27"/>
      <c r="L96"/>
      <c r="M96" t="s">
        <v>109</v>
      </c>
      <c r="N96"/>
      <c r="O96" t="s">
        <v>1515</v>
      </c>
      <c r="P96"/>
      <c r="Q96"/>
    </row>
    <row r="97">
      <c r="A97" t="s">
        <v>216</v>
      </c>
      <c r="B97"/>
      <c r="C97" s="27"/>
      <c r="D97" s="27"/>
      <c r="E97" s="27"/>
      <c r="F97"/>
      <c r="G97"/>
      <c r="H97"/>
      <c r="I97" s="27"/>
      <c r="J97" s="27"/>
      <c r="K97" s="27"/>
      <c r="L97"/>
      <c r="M97" t="s">
        <v>109</v>
      </c>
      <c r="N97"/>
      <c r="O97" t="s">
        <v>1515</v>
      </c>
      <c r="P97"/>
      <c r="Q97"/>
    </row>
    <row r="98">
      <c r="A98" t="s">
        <v>1556</v>
      </c>
      <c r="B98" t="s">
        <v>1568</v>
      </c>
      <c r="C98" s="27" t="n">
        <v>1.10964803273684</v>
      </c>
      <c r="D98" s="27" t="n">
        <v>4.86074244606668</v>
      </c>
      <c r="E98" s="27" t="n">
        <v>0.228287765716689</v>
      </c>
      <c r="F98" t="n">
        <v>0.819750948075941</v>
      </c>
      <c r="G98" t="n">
        <v>142</v>
      </c>
      <c r="H98"/>
      <c r="I98" s="27"/>
      <c r="J98" s="27"/>
      <c r="K98" s="27"/>
      <c r="L98"/>
      <c r="M98" t="s">
        <v>532</v>
      </c>
      <c r="N98" t="s">
        <v>1491</v>
      </c>
      <c r="O98" t="s">
        <v>1786</v>
      </c>
      <c r="P98" t="s">
        <v>1581</v>
      </c>
      <c r="Q98"/>
    </row>
    <row r="99">
      <c r="A99" t="s">
        <v>1556</v>
      </c>
      <c r="B99" t="s">
        <v>417</v>
      </c>
      <c r="C99" s="27" t="n">
        <v>0.719858393046916</v>
      </c>
      <c r="D99" s="27" t="n">
        <v>0.408950806437472</v>
      </c>
      <c r="E99" s="27" t="n">
        <v>1.76025669032879</v>
      </c>
      <c r="F99" t="n">
        <v>0.0805173568325433</v>
      </c>
      <c r="G99" t="n">
        <v>142</v>
      </c>
      <c r="H99" t="s">
        <v>1520</v>
      </c>
      <c r="I99" s="27" t="n">
        <v>2.05414230921393</v>
      </c>
      <c r="J99" s="27" t="n">
        <v>0.915248142051792</v>
      </c>
      <c r="K99" s="27" t="n">
        <v>4.61022583126312</v>
      </c>
      <c r="L99" t="s">
        <v>1868</v>
      </c>
      <c r="M99" t="s">
        <v>122</v>
      </c>
      <c r="N99" t="s">
        <v>1491</v>
      </c>
      <c r="O99" t="s">
        <v>1786</v>
      </c>
      <c r="P99" t="s">
        <v>1581</v>
      </c>
      <c r="Q99"/>
    </row>
    <row r="100">
      <c r="A100" t="s">
        <v>1556</v>
      </c>
      <c r="B100" t="s">
        <v>1480</v>
      </c>
      <c r="C100" s="27" t="n">
        <v>-0.0241881761592153</v>
      </c>
      <c r="D100" s="27" t="n">
        <v>0.0256753156927239</v>
      </c>
      <c r="E100" s="27" t="n">
        <v>-0.942079016620227</v>
      </c>
      <c r="F100" t="n">
        <v>0.347752162617368</v>
      </c>
      <c r="G100" t="n">
        <v>142</v>
      </c>
      <c r="H100" t="s">
        <v>1520</v>
      </c>
      <c r="I100" s="27" t="n">
        <v>0.976102013346935</v>
      </c>
      <c r="J100" s="27" t="n">
        <v>0.927795977233912</v>
      </c>
      <c r="K100" s="27" t="n">
        <v>1.02692312085735</v>
      </c>
      <c r="L100" t="s">
        <v>1869</v>
      </c>
      <c r="M100" t="s">
        <v>476</v>
      </c>
      <c r="N100" t="s">
        <v>1491</v>
      </c>
      <c r="O100" t="s">
        <v>1786</v>
      </c>
      <c r="P100" t="s">
        <v>1581</v>
      </c>
      <c r="Q100"/>
    </row>
    <row r="101">
      <c r="A101" t="s">
        <v>1556</v>
      </c>
      <c r="B101" t="s">
        <v>55</v>
      </c>
      <c r="C101" s="27" t="n">
        <v>-0.0358853606665132</v>
      </c>
      <c r="D101" s="27" t="n">
        <v>0.11548150349099</v>
      </c>
      <c r="E101" s="27" t="n">
        <v>-0.31074552704722</v>
      </c>
      <c r="F101" t="n">
        <v>0.756449749669645</v>
      </c>
      <c r="G101" t="n">
        <v>142</v>
      </c>
      <c r="H101" t="s">
        <v>1520</v>
      </c>
      <c r="I101" s="27" t="n">
        <v>0.964750885542401</v>
      </c>
      <c r="J101" s="27" t="n">
        <v>0.76784263718437</v>
      </c>
      <c r="K101" s="27" t="n">
        <v>1.21215497301352</v>
      </c>
      <c r="L101" t="s">
        <v>1870</v>
      </c>
      <c r="M101" t="s">
        <v>444</v>
      </c>
      <c r="N101" t="s">
        <v>1491</v>
      </c>
      <c r="O101" t="s">
        <v>1786</v>
      </c>
      <c r="P101" t="s">
        <v>1581</v>
      </c>
      <c r="Q101"/>
    </row>
    <row r="102">
      <c r="A102" t="s">
        <v>1556</v>
      </c>
      <c r="B102" t="s">
        <v>89</v>
      </c>
      <c r="C102" s="27" t="n">
        <v>-0.00326908414427334</v>
      </c>
      <c r="D102" s="27" t="n">
        <v>0.00916936581939307</v>
      </c>
      <c r="E102" s="27" t="n">
        <v>-0.356522382099674</v>
      </c>
      <c r="F102" t="n">
        <v>0.721978589366307</v>
      </c>
      <c r="G102" t="n">
        <v>142</v>
      </c>
      <c r="H102" t="s">
        <v>1520</v>
      </c>
      <c r="I102" s="27" t="n">
        <v>0.996736253493318</v>
      </c>
      <c r="J102" s="27" t="n">
        <v>0.978832066123777</v>
      </c>
      <c r="K102" s="27" t="n">
        <v>1.01496793312272</v>
      </c>
      <c r="L102" t="s">
        <v>1871</v>
      </c>
      <c r="M102" t="s">
        <v>390</v>
      </c>
      <c r="N102" t="s">
        <v>1491</v>
      </c>
      <c r="O102" t="s">
        <v>1786</v>
      </c>
      <c r="P102" t="s">
        <v>1581</v>
      </c>
      <c r="Q102"/>
    </row>
    <row r="103">
      <c r="A103" t="s">
        <v>1561</v>
      </c>
      <c r="B103" t="s">
        <v>1568</v>
      </c>
      <c r="C103" s="27" t="n">
        <v>-4.2784736489094</v>
      </c>
      <c r="D103" s="27" t="n">
        <v>6.93921416672988</v>
      </c>
      <c r="E103" s="27" t="n">
        <v>-0.616564577214316</v>
      </c>
      <c r="F103" t="n">
        <v>0.538509187129924</v>
      </c>
      <c r="G103" t="n">
        <v>142</v>
      </c>
      <c r="H103"/>
      <c r="I103" s="27"/>
      <c r="J103" s="27"/>
      <c r="K103" s="27"/>
      <c r="L103"/>
      <c r="M103" t="s">
        <v>1598</v>
      </c>
      <c r="N103" t="s">
        <v>1491</v>
      </c>
      <c r="O103" t="s">
        <v>1786</v>
      </c>
      <c r="P103" t="s">
        <v>1581</v>
      </c>
      <c r="Q103"/>
    </row>
    <row r="104">
      <c r="A104" t="s">
        <v>1561</v>
      </c>
      <c r="B104" t="s">
        <v>417</v>
      </c>
      <c r="C104" s="27" t="n">
        <v>-0.123950257151154</v>
      </c>
      <c r="D104" s="27" t="n">
        <v>0.779011964468316</v>
      </c>
      <c r="E104" s="27" t="n">
        <v>-0.159112135377473</v>
      </c>
      <c r="F104" t="n">
        <v>0.873806607813392</v>
      </c>
      <c r="G104" t="n">
        <v>142</v>
      </c>
      <c r="H104" t="s">
        <v>1520</v>
      </c>
      <c r="I104" s="27" t="n">
        <v>0.883423783805564</v>
      </c>
      <c r="J104" s="27" t="n">
        <v>0.18939705022148</v>
      </c>
      <c r="K104" s="27" t="n">
        <v>4.12064274961357</v>
      </c>
      <c r="L104" t="s">
        <v>1872</v>
      </c>
      <c r="M104" t="s">
        <v>550</v>
      </c>
      <c r="N104" t="s">
        <v>1491</v>
      </c>
      <c r="O104" t="s">
        <v>1786</v>
      </c>
      <c r="P104" t="s">
        <v>1581</v>
      </c>
      <c r="Q104"/>
    </row>
    <row r="105">
      <c r="A105" t="s">
        <v>1561</v>
      </c>
      <c r="B105" t="s">
        <v>1480</v>
      </c>
      <c r="C105" s="27" t="n">
        <v>0.0218838163489962</v>
      </c>
      <c r="D105" s="27" t="n">
        <v>0.0705788516382376</v>
      </c>
      <c r="E105" s="27" t="n">
        <v>0.310061949734815</v>
      </c>
      <c r="F105" t="n">
        <v>0.756968431054264</v>
      </c>
      <c r="G105" t="n">
        <v>142</v>
      </c>
      <c r="H105" t="s">
        <v>1520</v>
      </c>
      <c r="I105" s="27" t="n">
        <v>1.02212502335453</v>
      </c>
      <c r="J105" s="27" t="n">
        <v>0.889018500265406</v>
      </c>
      <c r="K105" s="27" t="n">
        <v>1.17516065532449</v>
      </c>
      <c r="L105" t="s">
        <v>1873</v>
      </c>
      <c r="M105" t="s">
        <v>444</v>
      </c>
      <c r="N105" t="s">
        <v>1491</v>
      </c>
      <c r="O105" t="s">
        <v>1786</v>
      </c>
      <c r="P105" t="s">
        <v>1581</v>
      </c>
      <c r="Q105"/>
    </row>
    <row r="106">
      <c r="A106" t="s">
        <v>1561</v>
      </c>
      <c r="B106" t="s">
        <v>55</v>
      </c>
      <c r="C106" s="27" t="n">
        <v>-0.251872133207812</v>
      </c>
      <c r="D106" s="27" t="n">
        <v>0.19956876219882</v>
      </c>
      <c r="E106" s="27" t="n">
        <v>-1.26208195327125</v>
      </c>
      <c r="F106" t="n">
        <v>0.208988278224478</v>
      </c>
      <c r="G106" t="n">
        <v>142</v>
      </c>
      <c r="H106" t="s">
        <v>1520</v>
      </c>
      <c r="I106" s="27" t="n">
        <v>0.777344128214562</v>
      </c>
      <c r="J106" s="27" t="n">
        <v>0.523938034561088</v>
      </c>
      <c r="K106" s="27" t="n">
        <v>1.15331175408149</v>
      </c>
      <c r="L106" t="s">
        <v>1874</v>
      </c>
      <c r="M106" t="s">
        <v>522</v>
      </c>
      <c r="N106" t="s">
        <v>1491</v>
      </c>
      <c r="O106" t="s">
        <v>1786</v>
      </c>
      <c r="P106" t="s">
        <v>1581</v>
      </c>
      <c r="Q106"/>
    </row>
    <row r="107">
      <c r="A107" t="s">
        <v>1561</v>
      </c>
      <c r="B107" t="s">
        <v>89</v>
      </c>
      <c r="C107" s="27" t="n">
        <v>-0.000838573607279637</v>
      </c>
      <c r="D107" s="27" t="n">
        <v>0.013994791196013</v>
      </c>
      <c r="E107" s="27" t="n">
        <v>-0.0599204086387897</v>
      </c>
      <c r="F107" t="n">
        <v>0.952303272775889</v>
      </c>
      <c r="G107" t="n">
        <v>142</v>
      </c>
      <c r="H107" t="s">
        <v>1520</v>
      </c>
      <c r="I107" s="27" t="n">
        <v>0.999161777897307</v>
      </c>
      <c r="J107" s="27" t="n">
        <v>0.971898765469649</v>
      </c>
      <c r="K107" s="27" t="n">
        <v>1.02718955294535</v>
      </c>
      <c r="L107" t="s">
        <v>1875</v>
      </c>
      <c r="M107" t="s">
        <v>544</v>
      </c>
      <c r="N107" t="s">
        <v>1491</v>
      </c>
      <c r="O107" t="s">
        <v>1786</v>
      </c>
      <c r="P107" t="s">
        <v>1581</v>
      </c>
      <c r="Q107"/>
    </row>
    <row r="108">
      <c r="A108" t="s">
        <v>1567</v>
      </c>
      <c r="B108"/>
      <c r="C108" s="27"/>
      <c r="D108" s="27"/>
      <c r="E108" s="27"/>
      <c r="F108"/>
      <c r="G108"/>
      <c r="H108"/>
      <c r="I108" s="27"/>
      <c r="J108" s="27"/>
      <c r="K108" s="27"/>
      <c r="L108"/>
      <c r="M108" t="s">
        <v>109</v>
      </c>
      <c r="N108"/>
      <c r="O108" t="s">
        <v>1530</v>
      </c>
      <c r="P108"/>
      <c r="Q108"/>
    </row>
  </sheetData>
  <pageMargins left="0.7" right="0.7" top="0.75" bottom="0.75" header="0.3" footer="0.3"/>
  <pageSetup paperSize="9" orientation="portrait" horizontalDpi="300" verticalDpi="300"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0" t="s">
        <v>1682</v>
      </c>
    </row>
    <row r="3">
      <c r="A3" s="1" t="s">
        <v>1876</v>
      </c>
    </row>
    <row r="4">
      <c r="A4" t="s">
        <v>1465</v>
      </c>
      <c r="B4" t="s">
        <v>377</v>
      </c>
      <c r="C4" t="s">
        <v>164</v>
      </c>
      <c r="D4" t="s">
        <v>41</v>
      </c>
      <c r="E4" t="s">
        <v>1685</v>
      </c>
      <c r="F4" t="s">
        <v>1686</v>
      </c>
      <c r="G4" t="s">
        <v>1688</v>
      </c>
      <c r="H4" t="s">
        <v>1</v>
      </c>
    </row>
    <row r="5">
      <c r="A5" t="s">
        <v>167</v>
      </c>
      <c r="B5" t="s">
        <v>417</v>
      </c>
      <c r="C5" t="s">
        <v>1849</v>
      </c>
      <c r="D5" t="s">
        <v>72</v>
      </c>
      <c r="E5" t="s">
        <v>1777</v>
      </c>
      <c r="F5" t="s">
        <v>437</v>
      </c>
      <c r="G5" t="s">
        <v>1877</v>
      </c>
      <c r="H5" t="s">
        <v>109</v>
      </c>
    </row>
    <row r="6">
      <c r="A6" t="s">
        <v>177</v>
      </c>
      <c r="B6" t="s">
        <v>417</v>
      </c>
      <c r="C6" t="s">
        <v>1854</v>
      </c>
      <c r="D6" t="s">
        <v>368</v>
      </c>
      <c r="E6" t="s">
        <v>1779</v>
      </c>
      <c r="F6" t="s">
        <v>50</v>
      </c>
      <c r="G6" t="s">
        <v>1877</v>
      </c>
      <c r="H6" t="s">
        <v>109</v>
      </c>
    </row>
    <row r="7">
      <c r="A7" t="s">
        <v>185</v>
      </c>
      <c r="B7" t="s">
        <v>417</v>
      </c>
      <c r="C7" t="s">
        <v>1781</v>
      </c>
      <c r="D7" t="s">
        <v>423</v>
      </c>
      <c r="E7" t="s">
        <v>1781</v>
      </c>
      <c r="F7" t="s">
        <v>423</v>
      </c>
      <c r="G7" t="s">
        <v>1877</v>
      </c>
      <c r="H7" t="s">
        <v>109</v>
      </c>
    </row>
    <row r="8">
      <c r="A8" t="s">
        <v>194</v>
      </c>
      <c r="B8" t="s">
        <v>417</v>
      </c>
      <c r="C8" t="s">
        <v>1861</v>
      </c>
      <c r="D8" t="s">
        <v>433</v>
      </c>
      <c r="E8" t="s">
        <v>1783</v>
      </c>
      <c r="F8" t="s">
        <v>122</v>
      </c>
      <c r="G8" t="s">
        <v>1878</v>
      </c>
      <c r="H8" t="s">
        <v>109</v>
      </c>
    </row>
    <row r="9">
      <c r="A9" t="s">
        <v>203</v>
      </c>
      <c r="B9" t="s">
        <v>417</v>
      </c>
      <c r="C9" t="s">
        <v>1861</v>
      </c>
      <c r="D9" t="s">
        <v>419</v>
      </c>
      <c r="E9" t="s">
        <v>1551</v>
      </c>
      <c r="F9" t="s">
        <v>446</v>
      </c>
      <c r="G9" t="s">
        <v>1877</v>
      </c>
      <c r="H9" t="s">
        <v>109</v>
      </c>
    </row>
    <row r="10">
      <c r="A10" t="s">
        <v>212</v>
      </c>
      <c r="B10" t="s">
        <v>109</v>
      </c>
      <c r="C10" t="s">
        <v>109</v>
      </c>
      <c r="D10" t="s">
        <v>109</v>
      </c>
      <c r="E10" t="s">
        <v>109</v>
      </c>
      <c r="F10" t="s">
        <v>109</v>
      </c>
      <c r="G10"/>
      <c r="H10" t="s">
        <v>1695</v>
      </c>
    </row>
    <row r="11">
      <c r="A11" t="s">
        <v>216</v>
      </c>
      <c r="B11" t="s">
        <v>109</v>
      </c>
      <c r="C11" t="s">
        <v>109</v>
      </c>
      <c r="D11" t="s">
        <v>109</v>
      </c>
      <c r="E11" t="s">
        <v>109</v>
      </c>
      <c r="F11" t="s">
        <v>109</v>
      </c>
      <c r="G11"/>
      <c r="H11" t="s">
        <v>1695</v>
      </c>
    </row>
    <row r="12">
      <c r="A12" t="s">
        <v>1556</v>
      </c>
      <c r="B12" t="s">
        <v>417</v>
      </c>
      <c r="C12" t="s">
        <v>1868</v>
      </c>
      <c r="D12" t="s">
        <v>122</v>
      </c>
      <c r="E12" t="s">
        <v>1787</v>
      </c>
      <c r="F12" t="s">
        <v>72</v>
      </c>
      <c r="G12" t="s">
        <v>1879</v>
      </c>
      <c r="H12" t="s">
        <v>109</v>
      </c>
    </row>
    <row r="13">
      <c r="A13" t="s">
        <v>1561</v>
      </c>
      <c r="B13" t="s">
        <v>417</v>
      </c>
      <c r="C13" t="s">
        <v>1872</v>
      </c>
      <c r="D13" t="s">
        <v>550</v>
      </c>
      <c r="E13" t="s">
        <v>1789</v>
      </c>
      <c r="F13" t="s">
        <v>516</v>
      </c>
      <c r="G13" t="s">
        <v>1880</v>
      </c>
      <c r="H13" t="s">
        <v>1881</v>
      </c>
    </row>
    <row r="14">
      <c r="A14" t="s">
        <v>1567</v>
      </c>
      <c r="B14" t="s">
        <v>109</v>
      </c>
      <c r="C14" t="s">
        <v>109</v>
      </c>
      <c r="D14" t="s">
        <v>109</v>
      </c>
      <c r="E14" t="s">
        <v>109</v>
      </c>
      <c r="F14" t="s">
        <v>109</v>
      </c>
      <c r="G14"/>
      <c r="H14" t="s">
        <v>1702</v>
      </c>
    </row>
    <row r="16">
      <c r="A16" s="1" t="s">
        <v>1882</v>
      </c>
    </row>
    <row r="17">
      <c r="A17" t="s">
        <v>1465</v>
      </c>
      <c r="B17" t="s">
        <v>1466</v>
      </c>
      <c r="C17" t="s">
        <v>1467</v>
      </c>
      <c r="D17" t="s">
        <v>1468</v>
      </c>
      <c r="E17" t="s">
        <v>1469</v>
      </c>
      <c r="F17" t="s">
        <v>1470</v>
      </c>
      <c r="G17" t="s">
        <v>1471</v>
      </c>
      <c r="H17" t="s">
        <v>1472</v>
      </c>
      <c r="I17" t="s">
        <v>1473</v>
      </c>
      <c r="J17" t="s">
        <v>1474</v>
      </c>
      <c r="K17" t="s">
        <v>1475</v>
      </c>
      <c r="L17" t="s">
        <v>1476</v>
      </c>
      <c r="M17" t="s">
        <v>41</v>
      </c>
      <c r="N17" t="s">
        <v>1477</v>
      </c>
      <c r="O17" t="s">
        <v>1478</v>
      </c>
    </row>
    <row r="18">
      <c r="A18" t="s">
        <v>167</v>
      </c>
      <c r="B18" t="s">
        <v>1568</v>
      </c>
      <c r="C18" s="28" t="n">
        <v>165.301895033173</v>
      </c>
      <c r="D18" s="28" t="n">
        <v>25.9898082235333</v>
      </c>
      <c r="E18" s="28" t="n">
        <v>6.36025836017889</v>
      </c>
      <c r="F18" t="n">
        <v>0.00000000258753374840462</v>
      </c>
      <c r="G18" t="n">
        <v>142</v>
      </c>
      <c r="H18"/>
      <c r="I18" s="28"/>
      <c r="J18" s="28"/>
      <c r="K18" s="28"/>
      <c r="L18"/>
      <c r="M18" t="s">
        <v>50</v>
      </c>
      <c r="N18" t="s">
        <v>1491</v>
      </c>
      <c r="O18" t="s">
        <v>1883</v>
      </c>
    </row>
    <row r="19">
      <c r="A19" t="s">
        <v>167</v>
      </c>
      <c r="B19" t="s">
        <v>417</v>
      </c>
      <c r="C19" s="28" t="n">
        <v>-4.06812259871906</v>
      </c>
      <c r="D19" s="28" t="n">
        <v>2.23004447946392</v>
      </c>
      <c r="E19" s="28" t="n">
        <v>-1.82423383756767</v>
      </c>
      <c r="F19" t="n">
        <v>0.0702189968553796</v>
      </c>
      <c r="G19" t="n">
        <v>142</v>
      </c>
      <c r="H19" t="s">
        <v>1487</v>
      </c>
      <c r="I19" s="28" t="n">
        <v>-4.06812259871906</v>
      </c>
      <c r="J19" s="28" t="n">
        <v>-8.47649904201359</v>
      </c>
      <c r="K19" s="28" t="n">
        <v>0.340253844575472</v>
      </c>
      <c r="L19" t="s">
        <v>1849</v>
      </c>
      <c r="M19" t="s">
        <v>72</v>
      </c>
      <c r="N19" t="s">
        <v>1491</v>
      </c>
      <c r="O19" t="s">
        <v>1883</v>
      </c>
    </row>
    <row r="20">
      <c r="A20" t="s">
        <v>167</v>
      </c>
      <c r="B20" t="s">
        <v>1480</v>
      </c>
      <c r="C20" s="28" t="n">
        <v>0.00899007382022101</v>
      </c>
      <c r="D20" s="28" t="n">
        <v>0.147650764746579</v>
      </c>
      <c r="E20" s="28" t="n">
        <v>0.0608874179260174</v>
      </c>
      <c r="F20" t="n">
        <v>0.951534481877438</v>
      </c>
      <c r="G20" t="n">
        <v>142</v>
      </c>
      <c r="H20" t="s">
        <v>1487</v>
      </c>
      <c r="I20" s="28" t="n">
        <v>0.00899007382022101</v>
      </c>
      <c r="J20" s="28" t="n">
        <v>-0.282887581149114</v>
      </c>
      <c r="K20" s="28" t="n">
        <v>0.300867728789556</v>
      </c>
      <c r="L20" t="s">
        <v>1850</v>
      </c>
      <c r="M20" t="s">
        <v>544</v>
      </c>
      <c r="N20" t="s">
        <v>1491</v>
      </c>
      <c r="O20" t="s">
        <v>1883</v>
      </c>
    </row>
    <row r="21">
      <c r="A21" t="s">
        <v>167</v>
      </c>
      <c r="B21" t="s">
        <v>55</v>
      </c>
      <c r="C21" s="28" t="n">
        <v>0.652745165147975</v>
      </c>
      <c r="D21" s="28" t="n">
        <v>0.651749496991164</v>
      </c>
      <c r="E21" s="28" t="n">
        <v>1.00152768534753</v>
      </c>
      <c r="F21" t="n">
        <v>0.318275371552741</v>
      </c>
      <c r="G21" t="n">
        <v>142</v>
      </c>
      <c r="H21" t="s">
        <v>1487</v>
      </c>
      <c r="I21" s="28" t="n">
        <v>0.652745165147975</v>
      </c>
      <c r="J21" s="28" t="n">
        <v>-0.635640405598841</v>
      </c>
      <c r="K21" s="28" t="n">
        <v>1.94113073589479</v>
      </c>
      <c r="L21" t="s">
        <v>1851</v>
      </c>
      <c r="M21" t="s">
        <v>393</v>
      </c>
      <c r="N21" t="s">
        <v>1491</v>
      </c>
      <c r="O21" t="s">
        <v>1883</v>
      </c>
    </row>
    <row r="22">
      <c r="A22" t="s">
        <v>167</v>
      </c>
      <c r="B22" t="s">
        <v>89</v>
      </c>
      <c r="C22" s="28" t="n">
        <v>0.0349088388349725</v>
      </c>
      <c r="D22" s="28" t="n">
        <v>0.049283157499285</v>
      </c>
      <c r="E22" s="28" t="n">
        <v>0.708332026726961</v>
      </c>
      <c r="F22" t="n">
        <v>0.479900231866836</v>
      </c>
      <c r="G22" t="n">
        <v>142</v>
      </c>
      <c r="H22" t="s">
        <v>1487</v>
      </c>
      <c r="I22" s="28" t="n">
        <v>0.0349088388349725</v>
      </c>
      <c r="J22" s="28" t="n">
        <v>-0.0625146487105534</v>
      </c>
      <c r="K22" s="28" t="n">
        <v>0.132332326380498</v>
      </c>
      <c r="L22" t="s">
        <v>1852</v>
      </c>
      <c r="M22" t="s">
        <v>422</v>
      </c>
      <c r="N22" t="s">
        <v>1491</v>
      </c>
      <c r="O22" t="s">
        <v>1883</v>
      </c>
    </row>
    <row r="23">
      <c r="A23" t="s">
        <v>177</v>
      </c>
      <c r="B23" t="s">
        <v>1568</v>
      </c>
      <c r="C23" s="28" t="n">
        <v>0.292699877508477</v>
      </c>
      <c r="D23" s="28" t="n">
        <v>0.565515977489185</v>
      </c>
      <c r="E23" s="28" t="n">
        <v>0.517580208446144</v>
      </c>
      <c r="F23" t="n">
        <v>0.605556563568729</v>
      </c>
      <c r="G23" t="n">
        <v>142</v>
      </c>
      <c r="H23"/>
      <c r="I23" s="28"/>
      <c r="J23" s="28"/>
      <c r="K23" s="28"/>
      <c r="L23"/>
      <c r="M23" t="s">
        <v>1853</v>
      </c>
      <c r="N23" t="s">
        <v>1491</v>
      </c>
      <c r="O23" t="s">
        <v>1883</v>
      </c>
    </row>
    <row r="24">
      <c r="A24" t="s">
        <v>177</v>
      </c>
      <c r="B24" t="s">
        <v>417</v>
      </c>
      <c r="C24" s="28" t="n">
        <v>-0.189992276686729</v>
      </c>
      <c r="D24" s="28" t="n">
        <v>0.0586449162726964</v>
      </c>
      <c r="E24" s="28" t="n">
        <v>-3.23970582212571</v>
      </c>
      <c r="F24" t="n">
        <v>0.00149032353246757</v>
      </c>
      <c r="G24" t="n">
        <v>142</v>
      </c>
      <c r="H24" t="s">
        <v>1487</v>
      </c>
      <c r="I24" s="28" t="n">
        <v>-0.189992276686729</v>
      </c>
      <c r="J24" s="28" t="n">
        <v>-0.305922191895274</v>
      </c>
      <c r="K24" s="28" t="n">
        <v>-0.0740623614781849</v>
      </c>
      <c r="L24" t="s">
        <v>1854</v>
      </c>
      <c r="M24" t="s">
        <v>368</v>
      </c>
      <c r="N24" t="s">
        <v>1491</v>
      </c>
      <c r="O24" t="s">
        <v>1883</v>
      </c>
    </row>
    <row r="25">
      <c r="A25" t="s">
        <v>177</v>
      </c>
      <c r="B25" t="s">
        <v>1480</v>
      </c>
      <c r="C25" s="28" t="n">
        <v>-0.0136472079769353</v>
      </c>
      <c r="D25" s="28" t="n">
        <v>0.00443377148753218</v>
      </c>
      <c r="E25" s="28" t="n">
        <v>-3.07801338325878</v>
      </c>
      <c r="F25" t="n">
        <v>0.00250157976282895</v>
      </c>
      <c r="G25" t="n">
        <v>142</v>
      </c>
      <c r="H25" t="s">
        <v>1487</v>
      </c>
      <c r="I25" s="28" t="n">
        <v>-0.0136472079769353</v>
      </c>
      <c r="J25" s="28" t="n">
        <v>-0.0224119361967448</v>
      </c>
      <c r="K25" s="28" t="n">
        <v>-0.00488247975712575</v>
      </c>
      <c r="L25" t="s">
        <v>1855</v>
      </c>
      <c r="M25" t="s">
        <v>369</v>
      </c>
      <c r="N25" t="s">
        <v>1491</v>
      </c>
      <c r="O25" t="s">
        <v>1883</v>
      </c>
    </row>
    <row r="26">
      <c r="A26" t="s">
        <v>177</v>
      </c>
      <c r="B26" t="s">
        <v>55</v>
      </c>
      <c r="C26" s="28" t="n">
        <v>0.0425650225445354</v>
      </c>
      <c r="D26" s="28" t="n">
        <v>0.0205491320701035</v>
      </c>
      <c r="E26" s="28" t="n">
        <v>2.07137811949062</v>
      </c>
      <c r="F26" t="n">
        <v>0.0401332629502135</v>
      </c>
      <c r="G26" t="n">
        <v>142</v>
      </c>
      <c r="H26" t="s">
        <v>1487</v>
      </c>
      <c r="I26" s="28" t="n">
        <v>0.0425650225445354</v>
      </c>
      <c r="J26" s="28" t="n">
        <v>0.00194327235874128</v>
      </c>
      <c r="K26" s="28" t="n">
        <v>0.0831867727303295</v>
      </c>
      <c r="L26" t="s">
        <v>1856</v>
      </c>
      <c r="M26" t="s">
        <v>460</v>
      </c>
      <c r="N26" t="s">
        <v>1491</v>
      </c>
      <c r="O26" t="s">
        <v>1883</v>
      </c>
    </row>
    <row r="27">
      <c r="A27" t="s">
        <v>177</v>
      </c>
      <c r="B27" t="s">
        <v>89</v>
      </c>
      <c r="C27" s="28" t="n">
        <v>0.000668802821848006</v>
      </c>
      <c r="D27" s="28" t="n">
        <v>0.00111049236068594</v>
      </c>
      <c r="E27" s="28" t="n">
        <v>0.602257922274126</v>
      </c>
      <c r="F27" t="n">
        <v>0.547962951162612</v>
      </c>
      <c r="G27" t="n">
        <v>142</v>
      </c>
      <c r="H27" t="s">
        <v>1487</v>
      </c>
      <c r="I27" s="28" t="n">
        <v>0.000668802821848006</v>
      </c>
      <c r="J27" s="28" t="n">
        <v>-0.00152643068510127</v>
      </c>
      <c r="K27" s="28" t="n">
        <v>0.00286403632879728</v>
      </c>
      <c r="L27" t="s">
        <v>1857</v>
      </c>
      <c r="M27" t="s">
        <v>1624</v>
      </c>
      <c r="N27" t="s">
        <v>1491</v>
      </c>
      <c r="O27" t="s">
        <v>1883</v>
      </c>
    </row>
    <row r="28">
      <c r="A28" t="s">
        <v>185</v>
      </c>
      <c r="B28" t="s">
        <v>1568</v>
      </c>
      <c r="C28" s="28" t="n">
        <v>-0.420877108427858</v>
      </c>
      <c r="D28" s="28" t="n">
        <v>0.287503606851403</v>
      </c>
      <c r="E28" s="28" t="n">
        <v>-1.46390201165507</v>
      </c>
      <c r="F28" t="n">
        <v>0.145430940709982</v>
      </c>
      <c r="G28" t="n">
        <v>142</v>
      </c>
      <c r="H28"/>
      <c r="I28" s="28"/>
      <c r="J28" s="28"/>
      <c r="K28" s="28"/>
      <c r="L28"/>
      <c r="M28" t="s">
        <v>373</v>
      </c>
      <c r="N28" t="s">
        <v>1491</v>
      </c>
      <c r="O28" t="s">
        <v>1883</v>
      </c>
    </row>
    <row r="29">
      <c r="A29" t="s">
        <v>185</v>
      </c>
      <c r="B29" t="s">
        <v>417</v>
      </c>
      <c r="C29" s="28" t="n">
        <v>0.00117077379668166</v>
      </c>
      <c r="D29" s="28" t="n">
        <v>0.0246086877518299</v>
      </c>
      <c r="E29" s="28" t="n">
        <v>0.0475756289196932</v>
      </c>
      <c r="F29" t="n">
        <v>0.962121302076602</v>
      </c>
      <c r="G29" t="n">
        <v>142</v>
      </c>
      <c r="H29" t="s">
        <v>1487</v>
      </c>
      <c r="I29" s="28" t="n">
        <v>0.00117077379668166</v>
      </c>
      <c r="J29" s="28" t="n">
        <v>-0.0474759506900139</v>
      </c>
      <c r="K29" s="28" t="n">
        <v>0.0498174982833772</v>
      </c>
      <c r="L29" t="s">
        <v>1781</v>
      </c>
      <c r="M29" t="s">
        <v>423</v>
      </c>
      <c r="N29" t="s">
        <v>1491</v>
      </c>
      <c r="O29" t="s">
        <v>1883</v>
      </c>
    </row>
    <row r="30">
      <c r="A30" t="s">
        <v>185</v>
      </c>
      <c r="B30" t="s">
        <v>1480</v>
      </c>
      <c r="C30" s="28" t="n">
        <v>-0.00171035260356719</v>
      </c>
      <c r="D30" s="28" t="n">
        <v>0.00172420890654854</v>
      </c>
      <c r="E30" s="28" t="n">
        <v>-0.991963675092547</v>
      </c>
      <c r="F30" t="n">
        <v>0.322902552897739</v>
      </c>
      <c r="G30" t="n">
        <v>142</v>
      </c>
      <c r="H30" t="s">
        <v>1487</v>
      </c>
      <c r="I30" s="28" t="n">
        <v>-0.00171035260356719</v>
      </c>
      <c r="J30" s="28" t="n">
        <v>-0.00511878772535203</v>
      </c>
      <c r="K30" s="28" t="n">
        <v>0.00169808251821764</v>
      </c>
      <c r="L30" t="s">
        <v>1858</v>
      </c>
      <c r="M30" t="s">
        <v>393</v>
      </c>
      <c r="N30" t="s">
        <v>1491</v>
      </c>
      <c r="O30" t="s">
        <v>1883</v>
      </c>
    </row>
    <row r="31">
      <c r="A31" t="s">
        <v>185</v>
      </c>
      <c r="B31" t="s">
        <v>55</v>
      </c>
      <c r="C31" s="28" t="n">
        <v>0.00835672674529274</v>
      </c>
      <c r="D31" s="28" t="n">
        <v>0.0076436078002433</v>
      </c>
      <c r="E31" s="28" t="n">
        <v>1.09329611927848</v>
      </c>
      <c r="F31" t="n">
        <v>0.276115042217769</v>
      </c>
      <c r="G31" t="n">
        <v>142</v>
      </c>
      <c r="H31" t="s">
        <v>1487</v>
      </c>
      <c r="I31" s="28" t="n">
        <v>0.00835672674529274</v>
      </c>
      <c r="J31" s="28" t="n">
        <v>-0.00675324118524604</v>
      </c>
      <c r="K31" s="28" t="n">
        <v>0.0234666946758315</v>
      </c>
      <c r="L31" t="s">
        <v>1859</v>
      </c>
      <c r="M31" t="s">
        <v>482</v>
      </c>
      <c r="N31" t="s">
        <v>1491</v>
      </c>
      <c r="O31" t="s">
        <v>1883</v>
      </c>
    </row>
    <row r="32">
      <c r="A32" t="s">
        <v>185</v>
      </c>
      <c r="B32" t="s">
        <v>89</v>
      </c>
      <c r="C32" s="28" t="n">
        <v>0.000530801147623536</v>
      </c>
      <c r="D32" s="28" t="n">
        <v>0.00059945470241918</v>
      </c>
      <c r="E32" s="28" t="n">
        <v>0.885473323474512</v>
      </c>
      <c r="F32" t="n">
        <v>0.377398394856488</v>
      </c>
      <c r="G32" t="n">
        <v>142</v>
      </c>
      <c r="H32" t="s">
        <v>1487</v>
      </c>
      <c r="I32" s="28" t="n">
        <v>0.000530801147623536</v>
      </c>
      <c r="J32" s="28" t="n">
        <v>-0.00065420749830361</v>
      </c>
      <c r="K32" s="28" t="n">
        <v>0.00171580979355068</v>
      </c>
      <c r="L32" t="s">
        <v>1860</v>
      </c>
      <c r="M32" t="s">
        <v>1629</v>
      </c>
      <c r="N32" t="s">
        <v>1491</v>
      </c>
      <c r="O32" t="s">
        <v>1883</v>
      </c>
    </row>
    <row r="33">
      <c r="A33" t="s">
        <v>194</v>
      </c>
      <c r="B33" t="s">
        <v>1568</v>
      </c>
      <c r="C33" s="28" t="n">
        <v>-0.217623872485263</v>
      </c>
      <c r="D33" s="28" t="n">
        <v>0.21201433221613</v>
      </c>
      <c r="E33" s="28" t="n">
        <v>-1.02645830690075</v>
      </c>
      <c r="F33" t="n">
        <v>0.306445848315174</v>
      </c>
      <c r="G33" t="n">
        <v>140</v>
      </c>
      <c r="H33"/>
      <c r="I33" s="28"/>
      <c r="J33" s="28"/>
      <c r="K33" s="28"/>
      <c r="L33"/>
      <c r="M33" t="s">
        <v>414</v>
      </c>
      <c r="N33" t="s">
        <v>1491</v>
      </c>
      <c r="O33" t="s">
        <v>1883</v>
      </c>
    </row>
    <row r="34">
      <c r="A34" t="s">
        <v>194</v>
      </c>
      <c r="B34" t="s">
        <v>417</v>
      </c>
      <c r="C34" s="28" t="n">
        <v>0.0291438369487361</v>
      </c>
      <c r="D34" s="28" t="n">
        <v>0.0175776633894545</v>
      </c>
      <c r="E34" s="28" t="n">
        <v>1.65800404200598</v>
      </c>
      <c r="F34" t="n">
        <v>0.0995556574619671</v>
      </c>
      <c r="G34" t="n">
        <v>140</v>
      </c>
      <c r="H34" t="s">
        <v>1487</v>
      </c>
      <c r="I34" s="28" t="n">
        <v>0.0291438369487361</v>
      </c>
      <c r="J34" s="28" t="n">
        <v>-0.00560814783826511</v>
      </c>
      <c r="K34" s="28" t="n">
        <v>0.0638958217357374</v>
      </c>
      <c r="L34" t="s">
        <v>1861</v>
      </c>
      <c r="M34" t="s">
        <v>433</v>
      </c>
      <c r="N34" t="s">
        <v>1491</v>
      </c>
      <c r="O34" t="s">
        <v>1883</v>
      </c>
    </row>
    <row r="35">
      <c r="A35" t="s">
        <v>194</v>
      </c>
      <c r="B35" t="s">
        <v>1480</v>
      </c>
      <c r="C35" s="28" t="n">
        <v>0.00278274341067444</v>
      </c>
      <c r="D35" s="28" t="n">
        <v>0.00101344336258232</v>
      </c>
      <c r="E35" s="28" t="n">
        <v>2.74583021944496</v>
      </c>
      <c r="F35" t="n">
        <v>0.00682861153033725</v>
      </c>
      <c r="G35" t="n">
        <v>140</v>
      </c>
      <c r="H35" t="s">
        <v>1487</v>
      </c>
      <c r="I35" s="28" t="n">
        <v>0.00278274341067444</v>
      </c>
      <c r="J35" s="28" t="n">
        <v>0.000779111441019282</v>
      </c>
      <c r="K35" s="28" t="n">
        <v>0.0047863753803296</v>
      </c>
      <c r="L35" t="s">
        <v>1862</v>
      </c>
      <c r="M35" t="s">
        <v>1593</v>
      </c>
      <c r="N35" t="s">
        <v>1491</v>
      </c>
      <c r="O35" t="s">
        <v>1883</v>
      </c>
    </row>
    <row r="36">
      <c r="A36" t="s">
        <v>194</v>
      </c>
      <c r="B36" t="s">
        <v>55</v>
      </c>
      <c r="C36" s="28" t="n">
        <v>-0.0113765022752835</v>
      </c>
      <c r="D36" s="28" t="n">
        <v>0.00457288586091201</v>
      </c>
      <c r="E36" s="28" t="n">
        <v>-2.48781680131736</v>
      </c>
      <c r="F36" t="n">
        <v>0.0140264355262423</v>
      </c>
      <c r="G36" t="n">
        <v>140</v>
      </c>
      <c r="H36" t="s">
        <v>1487</v>
      </c>
      <c r="I36" s="28" t="n">
        <v>-0.0113765022752835</v>
      </c>
      <c r="J36" s="28" t="n">
        <v>-0.0204173432761669</v>
      </c>
      <c r="K36" s="28" t="n">
        <v>-0.00233566127440011</v>
      </c>
      <c r="L36" t="s">
        <v>1863</v>
      </c>
      <c r="M36" t="s">
        <v>411</v>
      </c>
      <c r="N36" t="s">
        <v>1491</v>
      </c>
      <c r="O36" t="s">
        <v>1883</v>
      </c>
    </row>
    <row r="37">
      <c r="A37" t="s">
        <v>194</v>
      </c>
      <c r="B37" t="s">
        <v>89</v>
      </c>
      <c r="C37" s="28" t="n">
        <v>0.000044857648875028</v>
      </c>
      <c r="D37" s="28" t="n">
        <v>0.000395749193309911</v>
      </c>
      <c r="E37" s="28" t="n">
        <v>0.113348680511144</v>
      </c>
      <c r="F37" t="n">
        <v>0.909916502750953</v>
      </c>
      <c r="G37" t="n">
        <v>140</v>
      </c>
      <c r="H37" t="s">
        <v>1487</v>
      </c>
      <c r="I37" s="28" t="n">
        <v>0.000044857648875028</v>
      </c>
      <c r="J37" s="28" t="n">
        <v>-0.000737559765809624</v>
      </c>
      <c r="K37" s="28" t="n">
        <v>0.00082727506355968</v>
      </c>
      <c r="L37" t="s">
        <v>1864</v>
      </c>
      <c r="M37" t="s">
        <v>516</v>
      </c>
      <c r="N37" t="s">
        <v>1491</v>
      </c>
      <c r="O37" t="s">
        <v>1883</v>
      </c>
    </row>
    <row r="38">
      <c r="A38" t="s">
        <v>203</v>
      </c>
      <c r="B38" t="s">
        <v>1568</v>
      </c>
      <c r="C38" s="28" t="n">
        <v>-0.329701478107244</v>
      </c>
      <c r="D38" s="28" t="n">
        <v>0.197831865516558</v>
      </c>
      <c r="E38" s="28" t="n">
        <v>-1.66657417522886</v>
      </c>
      <c r="F38" t="n">
        <v>0.0978033772280601</v>
      </c>
      <c r="G38" t="n">
        <v>142</v>
      </c>
      <c r="H38"/>
      <c r="I38" s="28"/>
      <c r="J38" s="28"/>
      <c r="K38" s="28"/>
      <c r="L38"/>
      <c r="M38" t="s">
        <v>433</v>
      </c>
      <c r="N38" t="s">
        <v>1491</v>
      </c>
      <c r="O38" t="s">
        <v>1883</v>
      </c>
    </row>
    <row r="39">
      <c r="A39" t="s">
        <v>203</v>
      </c>
      <c r="B39" t="s">
        <v>417</v>
      </c>
      <c r="C39" s="28" t="n">
        <v>0.0251793609919338</v>
      </c>
      <c r="D39" s="28" t="n">
        <v>0.0160762728636902</v>
      </c>
      <c r="E39" s="28" t="n">
        <v>1.56624369376087</v>
      </c>
      <c r="F39" t="n">
        <v>0.119517371362831</v>
      </c>
      <c r="G39" t="n">
        <v>142</v>
      </c>
      <c r="H39" t="s">
        <v>1487</v>
      </c>
      <c r="I39" s="28" t="n">
        <v>0.0251793609919338</v>
      </c>
      <c r="J39" s="28" t="n">
        <v>-0.00660039194165048</v>
      </c>
      <c r="K39" s="28" t="n">
        <v>0.056959113925518</v>
      </c>
      <c r="L39" t="s">
        <v>1861</v>
      </c>
      <c r="M39" t="s">
        <v>419</v>
      </c>
      <c r="N39" t="s">
        <v>1491</v>
      </c>
      <c r="O39" t="s">
        <v>1883</v>
      </c>
    </row>
    <row r="40">
      <c r="A40" t="s">
        <v>203</v>
      </c>
      <c r="B40" t="s">
        <v>1480</v>
      </c>
      <c r="C40" s="28" t="n">
        <v>0.000296932452115012</v>
      </c>
      <c r="D40" s="28" t="n">
        <v>0.00114690069524306</v>
      </c>
      <c r="E40" s="28" t="n">
        <v>0.258899879777372</v>
      </c>
      <c r="F40" t="n">
        <v>0.796087411570899</v>
      </c>
      <c r="G40" t="n">
        <v>142</v>
      </c>
      <c r="H40" t="s">
        <v>1487</v>
      </c>
      <c r="I40" s="28" t="n">
        <v>0.000296932452115012</v>
      </c>
      <c r="J40" s="28" t="n">
        <v>-0.00197027345084662</v>
      </c>
      <c r="K40" s="28" t="n">
        <v>0.00256413835507665</v>
      </c>
      <c r="L40" t="s">
        <v>1865</v>
      </c>
      <c r="M40" t="s">
        <v>540</v>
      </c>
      <c r="N40" t="s">
        <v>1491</v>
      </c>
      <c r="O40" t="s">
        <v>1883</v>
      </c>
    </row>
    <row r="41">
      <c r="A41" t="s">
        <v>203</v>
      </c>
      <c r="B41" t="s">
        <v>55</v>
      </c>
      <c r="C41" s="28" t="n">
        <v>-0.0082319377222657</v>
      </c>
      <c r="D41" s="28" t="n">
        <v>0.00509786085674942</v>
      </c>
      <c r="E41" s="28" t="n">
        <v>-1.61478273997354</v>
      </c>
      <c r="F41" t="n">
        <v>0.108577593213231</v>
      </c>
      <c r="G41" t="n">
        <v>142</v>
      </c>
      <c r="H41" t="s">
        <v>1487</v>
      </c>
      <c r="I41" s="28" t="n">
        <v>-0.0082319377222657</v>
      </c>
      <c r="J41" s="28" t="n">
        <v>-0.0183094451078986</v>
      </c>
      <c r="K41" s="28" t="n">
        <v>0.00184556966336716</v>
      </c>
      <c r="L41" t="s">
        <v>1866</v>
      </c>
      <c r="M41" t="s">
        <v>86</v>
      </c>
      <c r="N41" t="s">
        <v>1491</v>
      </c>
      <c r="O41" t="s">
        <v>1883</v>
      </c>
    </row>
    <row r="42">
      <c r="A42" t="s">
        <v>203</v>
      </c>
      <c r="B42" t="s">
        <v>89</v>
      </c>
      <c r="C42" s="28" t="n">
        <v>0.000395959983723045</v>
      </c>
      <c r="D42" s="28" t="n">
        <v>0.000379214997325252</v>
      </c>
      <c r="E42" s="28" t="n">
        <v>1.04415697299923</v>
      </c>
      <c r="F42" t="n">
        <v>0.298187057293066</v>
      </c>
      <c r="G42" t="n">
        <v>142</v>
      </c>
      <c r="H42" t="s">
        <v>1487</v>
      </c>
      <c r="I42" s="28" t="n">
        <v>0.000395959983723045</v>
      </c>
      <c r="J42" s="28" t="n">
        <v>-0.000353676391939965</v>
      </c>
      <c r="K42" s="28" t="n">
        <v>0.00114559635938606</v>
      </c>
      <c r="L42" t="s">
        <v>1867</v>
      </c>
      <c r="M42" t="s">
        <v>479</v>
      </c>
      <c r="N42" t="s">
        <v>1491</v>
      </c>
      <c r="O42" t="s">
        <v>1883</v>
      </c>
    </row>
    <row r="43">
      <c r="A43" t="s">
        <v>1556</v>
      </c>
      <c r="B43" t="s">
        <v>1568</v>
      </c>
      <c r="C43" s="28" t="n">
        <v>1.10964803273684</v>
      </c>
      <c r="D43" s="28" t="n">
        <v>4.86074244606668</v>
      </c>
      <c r="E43" s="28" t="n">
        <v>0.228287765716689</v>
      </c>
      <c r="F43" t="n">
        <v>0.819750948075941</v>
      </c>
      <c r="G43" t="n">
        <v>142</v>
      </c>
      <c r="H43"/>
      <c r="I43" s="28"/>
      <c r="J43" s="28"/>
      <c r="K43" s="28"/>
      <c r="L43"/>
      <c r="M43" t="s">
        <v>532</v>
      </c>
      <c r="N43" t="s">
        <v>1491</v>
      </c>
      <c r="O43" t="s">
        <v>1884</v>
      </c>
    </row>
    <row r="44">
      <c r="A44" t="s">
        <v>1556</v>
      </c>
      <c r="B44" t="s">
        <v>417</v>
      </c>
      <c r="C44" s="28" t="n">
        <v>0.719858393046916</v>
      </c>
      <c r="D44" s="28" t="n">
        <v>0.408950806437472</v>
      </c>
      <c r="E44" s="28" t="n">
        <v>1.76025669032879</v>
      </c>
      <c r="F44" t="n">
        <v>0.0805173568325433</v>
      </c>
      <c r="G44" t="n">
        <v>142</v>
      </c>
      <c r="H44" t="s">
        <v>1520</v>
      </c>
      <c r="I44" s="28" t="n">
        <v>2.05414230921393</v>
      </c>
      <c r="J44" s="28" t="n">
        <v>0.915248142051792</v>
      </c>
      <c r="K44" s="28" t="n">
        <v>4.61022583126312</v>
      </c>
      <c r="L44" t="s">
        <v>1868</v>
      </c>
      <c r="M44" t="s">
        <v>122</v>
      </c>
      <c r="N44" t="s">
        <v>1491</v>
      </c>
      <c r="O44" t="s">
        <v>1884</v>
      </c>
    </row>
    <row r="45">
      <c r="A45" t="s">
        <v>1556</v>
      </c>
      <c r="B45" t="s">
        <v>1480</v>
      </c>
      <c r="C45" s="28" t="n">
        <v>-0.0241881761592153</v>
      </c>
      <c r="D45" s="28" t="n">
        <v>0.0256753156927239</v>
      </c>
      <c r="E45" s="28" t="n">
        <v>-0.942079016620227</v>
      </c>
      <c r="F45" t="n">
        <v>0.347752162617368</v>
      </c>
      <c r="G45" t="n">
        <v>142</v>
      </c>
      <c r="H45" t="s">
        <v>1520</v>
      </c>
      <c r="I45" s="28" t="n">
        <v>0.976102013346935</v>
      </c>
      <c r="J45" s="28" t="n">
        <v>0.927795977233912</v>
      </c>
      <c r="K45" s="28" t="n">
        <v>1.02692312085735</v>
      </c>
      <c r="L45" t="s">
        <v>1869</v>
      </c>
      <c r="M45" t="s">
        <v>476</v>
      </c>
      <c r="N45" t="s">
        <v>1491</v>
      </c>
      <c r="O45" t="s">
        <v>1884</v>
      </c>
    </row>
    <row r="46">
      <c r="A46" t="s">
        <v>1556</v>
      </c>
      <c r="B46" t="s">
        <v>55</v>
      </c>
      <c r="C46" s="28" t="n">
        <v>-0.0358853606665132</v>
      </c>
      <c r="D46" s="28" t="n">
        <v>0.11548150349099</v>
      </c>
      <c r="E46" s="28" t="n">
        <v>-0.31074552704722</v>
      </c>
      <c r="F46" t="n">
        <v>0.756449749669645</v>
      </c>
      <c r="G46" t="n">
        <v>142</v>
      </c>
      <c r="H46" t="s">
        <v>1520</v>
      </c>
      <c r="I46" s="28" t="n">
        <v>0.964750885542401</v>
      </c>
      <c r="J46" s="28" t="n">
        <v>0.76784263718437</v>
      </c>
      <c r="K46" s="28" t="n">
        <v>1.21215497301352</v>
      </c>
      <c r="L46" t="s">
        <v>1870</v>
      </c>
      <c r="M46" t="s">
        <v>444</v>
      </c>
      <c r="N46" t="s">
        <v>1491</v>
      </c>
      <c r="O46" t="s">
        <v>1884</v>
      </c>
    </row>
    <row r="47">
      <c r="A47" t="s">
        <v>1556</v>
      </c>
      <c r="B47" t="s">
        <v>89</v>
      </c>
      <c r="C47" s="28" t="n">
        <v>-0.00326908414427334</v>
      </c>
      <c r="D47" s="28" t="n">
        <v>0.00916936581939307</v>
      </c>
      <c r="E47" s="28" t="n">
        <v>-0.356522382099674</v>
      </c>
      <c r="F47" t="n">
        <v>0.721978589366307</v>
      </c>
      <c r="G47" t="n">
        <v>142</v>
      </c>
      <c r="H47" t="s">
        <v>1520</v>
      </c>
      <c r="I47" s="28" t="n">
        <v>0.996736253493318</v>
      </c>
      <c r="J47" s="28" t="n">
        <v>0.978832066123777</v>
      </c>
      <c r="K47" s="28" t="n">
        <v>1.01496793312272</v>
      </c>
      <c r="L47" t="s">
        <v>1871</v>
      </c>
      <c r="M47" t="s">
        <v>390</v>
      </c>
      <c r="N47" t="s">
        <v>1491</v>
      </c>
      <c r="O47" t="s">
        <v>1884</v>
      </c>
    </row>
    <row r="48">
      <c r="A48" t="s">
        <v>1561</v>
      </c>
      <c r="B48" t="s">
        <v>1568</v>
      </c>
      <c r="C48" s="28" t="n">
        <v>-4.2784736489094</v>
      </c>
      <c r="D48" s="28" t="n">
        <v>6.93921416672988</v>
      </c>
      <c r="E48" s="28" t="n">
        <v>-0.616564577214316</v>
      </c>
      <c r="F48" t="n">
        <v>0.538509187129924</v>
      </c>
      <c r="G48" t="n">
        <v>142</v>
      </c>
      <c r="H48"/>
      <c r="I48" s="28"/>
      <c r="J48" s="28"/>
      <c r="K48" s="28"/>
      <c r="L48"/>
      <c r="M48" t="s">
        <v>1598</v>
      </c>
      <c r="N48" t="s">
        <v>1491</v>
      </c>
      <c r="O48" t="s">
        <v>1884</v>
      </c>
    </row>
    <row r="49">
      <c r="A49" t="s">
        <v>1561</v>
      </c>
      <c r="B49" t="s">
        <v>417</v>
      </c>
      <c r="C49" s="28" t="n">
        <v>-0.123950257151154</v>
      </c>
      <c r="D49" s="28" t="n">
        <v>0.779011964468316</v>
      </c>
      <c r="E49" s="28" t="n">
        <v>-0.159112135377473</v>
      </c>
      <c r="F49" t="n">
        <v>0.873806607813392</v>
      </c>
      <c r="G49" t="n">
        <v>142</v>
      </c>
      <c r="H49" t="s">
        <v>1520</v>
      </c>
      <c r="I49" s="28" t="n">
        <v>0.883423783805564</v>
      </c>
      <c r="J49" s="28" t="n">
        <v>0.18939705022148</v>
      </c>
      <c r="K49" s="28" t="n">
        <v>4.12064274961357</v>
      </c>
      <c r="L49" t="s">
        <v>1872</v>
      </c>
      <c r="M49" t="s">
        <v>550</v>
      </c>
      <c r="N49" t="s">
        <v>1491</v>
      </c>
      <c r="O49" t="s">
        <v>1884</v>
      </c>
    </row>
    <row r="50">
      <c r="A50" t="s">
        <v>1561</v>
      </c>
      <c r="B50" t="s">
        <v>1480</v>
      </c>
      <c r="C50" s="28" t="n">
        <v>0.0218838163489962</v>
      </c>
      <c r="D50" s="28" t="n">
        <v>0.0705788516382376</v>
      </c>
      <c r="E50" s="28" t="n">
        <v>0.310061949734815</v>
      </c>
      <c r="F50" t="n">
        <v>0.756968431054264</v>
      </c>
      <c r="G50" t="n">
        <v>142</v>
      </c>
      <c r="H50" t="s">
        <v>1520</v>
      </c>
      <c r="I50" s="28" t="n">
        <v>1.02212502335453</v>
      </c>
      <c r="J50" s="28" t="n">
        <v>0.889018500265406</v>
      </c>
      <c r="K50" s="28" t="n">
        <v>1.17516065532449</v>
      </c>
      <c r="L50" t="s">
        <v>1873</v>
      </c>
      <c r="M50" t="s">
        <v>444</v>
      </c>
      <c r="N50" t="s">
        <v>1491</v>
      </c>
      <c r="O50" t="s">
        <v>1884</v>
      </c>
    </row>
    <row r="51">
      <c r="A51" t="s">
        <v>1561</v>
      </c>
      <c r="B51" t="s">
        <v>55</v>
      </c>
      <c r="C51" s="28" t="n">
        <v>-0.251872133207812</v>
      </c>
      <c r="D51" s="28" t="n">
        <v>0.19956876219882</v>
      </c>
      <c r="E51" s="28" t="n">
        <v>-1.26208195327125</v>
      </c>
      <c r="F51" t="n">
        <v>0.208988278224478</v>
      </c>
      <c r="G51" t="n">
        <v>142</v>
      </c>
      <c r="H51" t="s">
        <v>1520</v>
      </c>
      <c r="I51" s="28" t="n">
        <v>0.777344128214562</v>
      </c>
      <c r="J51" s="28" t="n">
        <v>0.523938034561088</v>
      </c>
      <c r="K51" s="28" t="n">
        <v>1.15331175408149</v>
      </c>
      <c r="L51" t="s">
        <v>1874</v>
      </c>
      <c r="M51" t="s">
        <v>522</v>
      </c>
      <c r="N51" t="s">
        <v>1491</v>
      </c>
      <c r="O51" t="s">
        <v>1884</v>
      </c>
    </row>
    <row r="52">
      <c r="A52" t="s">
        <v>1561</v>
      </c>
      <c r="B52" t="s">
        <v>89</v>
      </c>
      <c r="C52" s="28" t="n">
        <v>-0.000838573607279637</v>
      </c>
      <c r="D52" s="28" t="n">
        <v>0.013994791196013</v>
      </c>
      <c r="E52" s="28" t="n">
        <v>-0.0599204086387897</v>
      </c>
      <c r="F52" t="n">
        <v>0.952303272775889</v>
      </c>
      <c r="G52" t="n">
        <v>142</v>
      </c>
      <c r="H52" t="s">
        <v>1520</v>
      </c>
      <c r="I52" s="28" t="n">
        <v>0.999161777897307</v>
      </c>
      <c r="J52" s="28" t="n">
        <v>0.971898765469649</v>
      </c>
      <c r="K52" s="28" t="n">
        <v>1.02718955294535</v>
      </c>
      <c r="L52" t="s">
        <v>1875</v>
      </c>
      <c r="M52" t="s">
        <v>544</v>
      </c>
      <c r="N52" t="s">
        <v>1491</v>
      </c>
      <c r="O52" t="s">
        <v>1884</v>
      </c>
    </row>
  </sheetData>
  <pageMargins left="0.7" right="0.7" top="0.75" bottom="0.75" header="0.3" footer="0.3"/>
  <pageSetup paperSize="9" orientation="portrait" horizontalDpi="300" verticalDpi="300"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0" t="s">
        <v>1885</v>
      </c>
    </row>
    <row r="3">
      <c r="A3" s="1" t="s">
        <v>1886</v>
      </c>
    </row>
    <row r="4">
      <c r="A4" t="s">
        <v>37</v>
      </c>
      <c r="B4" t="s">
        <v>1887</v>
      </c>
      <c r="C4" t="s">
        <v>1888</v>
      </c>
      <c r="D4" t="s">
        <v>41</v>
      </c>
      <c r="E4" t="s">
        <v>42</v>
      </c>
      <c r="F4" t="s">
        <v>43</v>
      </c>
      <c r="G4" t="s">
        <v>44</v>
      </c>
      <c r="H4" t="s">
        <v>45</v>
      </c>
    </row>
    <row r="5">
      <c r="A5" t="s">
        <v>46</v>
      </c>
      <c r="B5" t="s">
        <v>1889</v>
      </c>
      <c r="C5" t="s">
        <v>1890</v>
      </c>
      <c r="D5" t="s">
        <v>1623</v>
      </c>
      <c r="E5" t="s">
        <v>1891</v>
      </c>
      <c r="F5" t="s">
        <v>1892</v>
      </c>
      <c r="G5" t="s">
        <v>1747</v>
      </c>
      <c r="H5" t="s">
        <v>1893</v>
      </c>
    </row>
    <row r="6">
      <c r="A6" t="s">
        <v>55</v>
      </c>
      <c r="B6" t="s">
        <v>1894</v>
      </c>
      <c r="C6" t="s">
        <v>1895</v>
      </c>
      <c r="D6" t="s">
        <v>207</v>
      </c>
      <c r="E6" t="s">
        <v>1891</v>
      </c>
      <c r="F6" t="s">
        <v>1892</v>
      </c>
      <c r="G6" t="s">
        <v>1750</v>
      </c>
      <c r="H6" t="s">
        <v>207</v>
      </c>
    </row>
    <row r="7">
      <c r="A7" t="s">
        <v>62</v>
      </c>
      <c r="B7" t="s">
        <v>1896</v>
      </c>
      <c r="C7" t="s">
        <v>1897</v>
      </c>
      <c r="D7" t="s">
        <v>1523</v>
      </c>
      <c r="E7" t="s">
        <v>1891</v>
      </c>
      <c r="F7" t="s">
        <v>1892</v>
      </c>
      <c r="G7" t="s">
        <v>1752</v>
      </c>
      <c r="H7" t="s">
        <v>1523</v>
      </c>
    </row>
    <row r="8">
      <c r="A8" t="s">
        <v>68</v>
      </c>
      <c r="B8" t="s">
        <v>1898</v>
      </c>
      <c r="C8" t="s">
        <v>1899</v>
      </c>
      <c r="D8" t="s">
        <v>494</v>
      </c>
      <c r="E8" t="s">
        <v>1891</v>
      </c>
      <c r="F8" t="s">
        <v>1892</v>
      </c>
      <c r="G8" t="s">
        <v>1754</v>
      </c>
      <c r="H8" t="s">
        <v>494</v>
      </c>
    </row>
    <row r="9">
      <c r="A9" t="s">
        <v>76</v>
      </c>
      <c r="B9" t="s">
        <v>1900</v>
      </c>
      <c r="C9" t="s">
        <v>1901</v>
      </c>
      <c r="D9" t="s">
        <v>465</v>
      </c>
      <c r="E9" t="s">
        <v>1891</v>
      </c>
      <c r="F9" t="s">
        <v>1892</v>
      </c>
      <c r="G9" t="s">
        <v>1756</v>
      </c>
      <c r="H9" t="s">
        <v>465</v>
      </c>
    </row>
    <row r="10">
      <c r="A10" t="s">
        <v>82</v>
      </c>
      <c r="B10" t="s">
        <v>1902</v>
      </c>
      <c r="C10" t="s">
        <v>84</v>
      </c>
      <c r="D10" t="s">
        <v>1657</v>
      </c>
      <c r="E10" t="s">
        <v>1891</v>
      </c>
      <c r="F10" t="s">
        <v>1892</v>
      </c>
      <c r="G10" t="s">
        <v>1758</v>
      </c>
      <c r="H10" t="s">
        <v>1657</v>
      </c>
    </row>
    <row r="11">
      <c r="A11" t="s">
        <v>89</v>
      </c>
      <c r="B11" t="s">
        <v>1903</v>
      </c>
      <c r="C11" t="s">
        <v>1904</v>
      </c>
      <c r="D11" t="s">
        <v>1598</v>
      </c>
      <c r="E11" t="s">
        <v>1891</v>
      </c>
      <c r="F11" t="s">
        <v>1892</v>
      </c>
      <c r="G11" t="s">
        <v>1760</v>
      </c>
      <c r="H11" t="s">
        <v>1598</v>
      </c>
    </row>
    <row r="12">
      <c r="A12" t="s">
        <v>95</v>
      </c>
      <c r="B12" t="s">
        <v>1905</v>
      </c>
      <c r="C12" t="s">
        <v>1906</v>
      </c>
      <c r="D12" t="s">
        <v>1667</v>
      </c>
      <c r="E12" t="s">
        <v>1891</v>
      </c>
      <c r="F12" t="s">
        <v>1892</v>
      </c>
      <c r="G12" t="s">
        <v>1762</v>
      </c>
      <c r="H12" t="s">
        <v>1667</v>
      </c>
    </row>
    <row r="13">
      <c r="A13" t="s">
        <v>103</v>
      </c>
      <c r="B13" t="s">
        <v>1907</v>
      </c>
      <c r="C13" t="s">
        <v>105</v>
      </c>
      <c r="D13" t="s">
        <v>1648</v>
      </c>
      <c r="E13" t="s">
        <v>1908</v>
      </c>
      <c r="F13" t="s">
        <v>1892</v>
      </c>
      <c r="G13" t="s">
        <v>109</v>
      </c>
      <c r="H13" t="s">
        <v>109</v>
      </c>
    </row>
    <row r="14">
      <c r="A14" t="s">
        <v>110</v>
      </c>
      <c r="B14" t="s">
        <v>1909</v>
      </c>
      <c r="C14" t="s">
        <v>1910</v>
      </c>
      <c r="D14" t="s">
        <v>1766</v>
      </c>
      <c r="E14" t="s">
        <v>1891</v>
      </c>
      <c r="F14" t="s">
        <v>1892</v>
      </c>
      <c r="G14" t="s">
        <v>1765</v>
      </c>
      <c r="H14" t="s">
        <v>1911</v>
      </c>
    </row>
    <row r="15">
      <c r="A15" t="s">
        <v>118</v>
      </c>
      <c r="B15" t="s">
        <v>1912</v>
      </c>
      <c r="C15" t="s">
        <v>1913</v>
      </c>
      <c r="D15" t="s">
        <v>72</v>
      </c>
      <c r="E15" t="s">
        <v>1891</v>
      </c>
      <c r="F15" t="s">
        <v>1892</v>
      </c>
      <c r="G15" t="s">
        <v>1769</v>
      </c>
      <c r="H15" t="s">
        <v>1914</v>
      </c>
    </row>
    <row r="16">
      <c r="A16" t="s">
        <v>125</v>
      </c>
      <c r="B16" t="s">
        <v>1915</v>
      </c>
      <c r="C16" t="s">
        <v>1916</v>
      </c>
      <c r="D16" t="s">
        <v>492</v>
      </c>
      <c r="E16" t="s">
        <v>1917</v>
      </c>
      <c r="F16" t="s">
        <v>1892</v>
      </c>
      <c r="G16" t="s">
        <v>109</v>
      </c>
      <c r="H16" t="s">
        <v>109</v>
      </c>
    </row>
    <row r="17">
      <c r="A17" t="s">
        <v>130</v>
      </c>
      <c r="B17" t="s">
        <v>1918</v>
      </c>
      <c r="C17" t="s">
        <v>1919</v>
      </c>
      <c r="D17" t="s">
        <v>109</v>
      </c>
      <c r="E17" t="s">
        <v>109</v>
      </c>
      <c r="F17" t="s">
        <v>109</v>
      </c>
      <c r="G17" t="s">
        <v>109</v>
      </c>
      <c r="H17" t="s">
        <v>109</v>
      </c>
    </row>
    <row r="18">
      <c r="A18" t="s">
        <v>134</v>
      </c>
      <c r="B18" t="s">
        <v>1920</v>
      </c>
      <c r="C18" t="s">
        <v>1921</v>
      </c>
      <c r="D18" t="s">
        <v>109</v>
      </c>
      <c r="E18" t="s">
        <v>109</v>
      </c>
      <c r="F18" t="s">
        <v>109</v>
      </c>
      <c r="G18" t="s">
        <v>109</v>
      </c>
      <c r="H18" t="s">
        <v>109</v>
      </c>
    </row>
    <row r="20">
      <c r="A20" s="1" t="s">
        <v>1922</v>
      </c>
    </row>
    <row r="21">
      <c r="A21" t="s">
        <v>37</v>
      </c>
      <c r="B21" t="s">
        <v>1887</v>
      </c>
      <c r="C21" t="s">
        <v>1888</v>
      </c>
      <c r="D21" t="s">
        <v>41</v>
      </c>
      <c r="E21" t="s">
        <v>42</v>
      </c>
      <c r="F21" t="s">
        <v>43</v>
      </c>
      <c r="G21" t="s">
        <v>44</v>
      </c>
      <c r="H21" t="s">
        <v>45</v>
      </c>
    </row>
    <row r="22">
      <c r="A22" t="s">
        <v>139</v>
      </c>
      <c r="B22" t="s">
        <v>1923</v>
      </c>
      <c r="C22" t="s">
        <v>1924</v>
      </c>
      <c r="D22" t="s">
        <v>1698</v>
      </c>
      <c r="E22" t="s">
        <v>1891</v>
      </c>
      <c r="F22" t="s">
        <v>1892</v>
      </c>
      <c r="G22" t="s">
        <v>1772</v>
      </c>
      <c r="H22" t="s">
        <v>1925</v>
      </c>
    </row>
    <row r="23">
      <c r="A23" t="s">
        <v>145</v>
      </c>
      <c r="B23" t="s">
        <v>1926</v>
      </c>
      <c r="C23" t="s">
        <v>1927</v>
      </c>
      <c r="D23" t="s">
        <v>444</v>
      </c>
      <c r="E23" t="s">
        <v>1891</v>
      </c>
      <c r="F23" t="s">
        <v>1892</v>
      </c>
      <c r="G23" t="s">
        <v>1774</v>
      </c>
      <c r="H23" t="s">
        <v>444</v>
      </c>
    </row>
    <row r="24">
      <c r="A24" t="s">
        <v>151</v>
      </c>
      <c r="B24" t="s">
        <v>1928</v>
      </c>
      <c r="C24" t="s">
        <v>1929</v>
      </c>
      <c r="D24" t="s">
        <v>1843</v>
      </c>
      <c r="E24" t="s">
        <v>1917</v>
      </c>
      <c r="F24" t="s">
        <v>1892</v>
      </c>
      <c r="G24" t="s">
        <v>109</v>
      </c>
      <c r="H24" t="s">
        <v>109</v>
      </c>
    </row>
    <row r="25">
      <c r="A25" t="s">
        <v>156</v>
      </c>
      <c r="B25" t="s">
        <v>1930</v>
      </c>
      <c r="C25" t="s">
        <v>1931</v>
      </c>
      <c r="D25" t="s">
        <v>109</v>
      </c>
      <c r="E25" t="s">
        <v>109</v>
      </c>
      <c r="F25" t="s">
        <v>109</v>
      </c>
      <c r="G25" t="s">
        <v>109</v>
      </c>
      <c r="H25" t="s">
        <v>109</v>
      </c>
    </row>
    <row r="26">
      <c r="A26" t="s">
        <v>160</v>
      </c>
      <c r="B26" t="s">
        <v>1932</v>
      </c>
      <c r="C26" t="s">
        <v>1933</v>
      </c>
      <c r="D26" t="s">
        <v>109</v>
      </c>
      <c r="E26" t="s">
        <v>109</v>
      </c>
      <c r="F26" t="s">
        <v>109</v>
      </c>
      <c r="G26" t="s">
        <v>109</v>
      </c>
      <c r="H26" t="s">
        <v>109</v>
      </c>
    </row>
  </sheetData>
  <pageMargins left="0.7" right="0.7" top="0.75" bottom="0.75" header="0.3" footer="0.3"/>
  <pageSetup paperSize="9" orientation="portrait" horizontalDpi="300" verticalDpi="300"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0" t="s">
        <v>1885</v>
      </c>
    </row>
    <row r="3">
      <c r="A3" t="s">
        <v>37</v>
      </c>
      <c r="B3" t="s">
        <v>1887</v>
      </c>
      <c r="C3" t="s">
        <v>1888</v>
      </c>
      <c r="D3" t="s">
        <v>41</v>
      </c>
      <c r="E3" t="s">
        <v>42</v>
      </c>
      <c r="F3" t="s">
        <v>43</v>
      </c>
      <c r="G3" t="s">
        <v>44</v>
      </c>
      <c r="H3" t="s">
        <v>45</v>
      </c>
      <c r="I3" t="s">
        <v>164</v>
      </c>
      <c r="J3" t="s">
        <v>165</v>
      </c>
      <c r="K3" t="s">
        <v>166</v>
      </c>
    </row>
    <row r="4">
      <c r="A4" t="s">
        <v>167</v>
      </c>
      <c r="B4" t="s">
        <v>1934</v>
      </c>
      <c r="C4" t="s">
        <v>1935</v>
      </c>
      <c r="D4" t="s">
        <v>437</v>
      </c>
      <c r="E4" t="s">
        <v>1891</v>
      </c>
      <c r="F4" t="s">
        <v>1892</v>
      </c>
      <c r="G4" t="s">
        <v>1777</v>
      </c>
      <c r="H4" t="s">
        <v>437</v>
      </c>
      <c r="I4" t="s">
        <v>1849</v>
      </c>
      <c r="J4" t="s">
        <v>72</v>
      </c>
      <c r="K4" t="s">
        <v>1877</v>
      </c>
    </row>
    <row r="5">
      <c r="A5" t="s">
        <v>177</v>
      </c>
      <c r="B5" t="s">
        <v>1936</v>
      </c>
      <c r="C5" t="s">
        <v>1937</v>
      </c>
      <c r="D5" t="s">
        <v>50</v>
      </c>
      <c r="E5" t="s">
        <v>1891</v>
      </c>
      <c r="F5" t="s">
        <v>1938</v>
      </c>
      <c r="G5" t="s">
        <v>1779</v>
      </c>
      <c r="H5" t="s">
        <v>50</v>
      </c>
      <c r="I5" t="s">
        <v>1854</v>
      </c>
      <c r="J5" t="s">
        <v>368</v>
      </c>
      <c r="K5" t="s">
        <v>1877</v>
      </c>
    </row>
    <row r="6">
      <c r="A6" t="s">
        <v>185</v>
      </c>
      <c r="B6" t="s">
        <v>1939</v>
      </c>
      <c r="C6" t="s">
        <v>1940</v>
      </c>
      <c r="D6" t="s">
        <v>423</v>
      </c>
      <c r="E6" t="s">
        <v>1891</v>
      </c>
      <c r="F6" t="s">
        <v>1892</v>
      </c>
      <c r="G6" t="s">
        <v>1781</v>
      </c>
      <c r="H6" t="s">
        <v>423</v>
      </c>
      <c r="I6" t="s">
        <v>1781</v>
      </c>
      <c r="J6" t="s">
        <v>423</v>
      </c>
      <c r="K6" t="s">
        <v>1877</v>
      </c>
    </row>
    <row r="7">
      <c r="A7" t="s">
        <v>194</v>
      </c>
      <c r="B7" t="s">
        <v>1941</v>
      </c>
      <c r="C7" t="s">
        <v>1942</v>
      </c>
      <c r="D7" t="s">
        <v>122</v>
      </c>
      <c r="E7" t="s">
        <v>1891</v>
      </c>
      <c r="F7" t="s">
        <v>1892</v>
      </c>
      <c r="G7" t="s">
        <v>1783</v>
      </c>
      <c r="H7" t="s">
        <v>122</v>
      </c>
      <c r="I7" t="s">
        <v>1861</v>
      </c>
      <c r="J7" t="s">
        <v>433</v>
      </c>
      <c r="K7" t="s">
        <v>1878</v>
      </c>
    </row>
    <row r="8">
      <c r="A8" t="s">
        <v>203</v>
      </c>
      <c r="B8" t="s">
        <v>1943</v>
      </c>
      <c r="C8" t="s">
        <v>1944</v>
      </c>
      <c r="D8" t="s">
        <v>446</v>
      </c>
      <c r="E8" t="s">
        <v>1891</v>
      </c>
      <c r="F8" t="s">
        <v>1892</v>
      </c>
      <c r="G8" t="s">
        <v>1551</v>
      </c>
      <c r="H8" t="s">
        <v>446</v>
      </c>
      <c r="I8" t="s">
        <v>1861</v>
      </c>
      <c r="J8" t="s">
        <v>419</v>
      </c>
      <c r="K8" t="s">
        <v>1877</v>
      </c>
    </row>
    <row r="9">
      <c r="A9" t="s">
        <v>212</v>
      </c>
      <c r="B9" t="s">
        <v>1945</v>
      </c>
      <c r="C9" t="s">
        <v>1946</v>
      </c>
      <c r="D9" t="s">
        <v>403</v>
      </c>
      <c r="E9" t="s">
        <v>1908</v>
      </c>
      <c r="F9" t="s">
        <v>1892</v>
      </c>
      <c r="G9" t="s">
        <v>109</v>
      </c>
      <c r="H9" t="s">
        <v>109</v>
      </c>
      <c r="I9" t="s">
        <v>109</v>
      </c>
      <c r="J9" t="s">
        <v>109</v>
      </c>
      <c r="K9" t="s">
        <v>109</v>
      </c>
    </row>
    <row r="10">
      <c r="A10" t="s">
        <v>216</v>
      </c>
      <c r="B10" t="s">
        <v>1947</v>
      </c>
      <c r="C10" t="s">
        <v>1948</v>
      </c>
      <c r="D10" t="s">
        <v>107</v>
      </c>
      <c r="E10" t="s">
        <v>1908</v>
      </c>
      <c r="F10" t="s">
        <v>1892</v>
      </c>
      <c r="G10" t="s">
        <v>109</v>
      </c>
      <c r="H10" t="s">
        <v>109</v>
      </c>
      <c r="I10" t="s">
        <v>109</v>
      </c>
      <c r="J10" t="s">
        <v>109</v>
      </c>
      <c r="K10" t="s">
        <v>109</v>
      </c>
    </row>
    <row r="11">
      <c r="A11" t="s">
        <v>220</v>
      </c>
      <c r="B11" t="s">
        <v>1949</v>
      </c>
      <c r="C11" t="s">
        <v>1950</v>
      </c>
      <c r="D11" t="s">
        <v>72</v>
      </c>
      <c r="E11" t="s">
        <v>1891</v>
      </c>
      <c r="F11" t="s">
        <v>1892</v>
      </c>
      <c r="G11" t="s">
        <v>1787</v>
      </c>
      <c r="H11" t="s">
        <v>72</v>
      </c>
      <c r="I11" t="s">
        <v>1868</v>
      </c>
      <c r="J11" t="s">
        <v>122</v>
      </c>
      <c r="K11" t="s">
        <v>1879</v>
      </c>
    </row>
    <row r="12">
      <c r="A12" t="s">
        <v>230</v>
      </c>
      <c r="B12" t="s">
        <v>1951</v>
      </c>
      <c r="C12" t="s">
        <v>1952</v>
      </c>
      <c r="D12" t="s">
        <v>516</v>
      </c>
      <c r="E12" t="s">
        <v>1891</v>
      </c>
      <c r="F12" t="s">
        <v>1892</v>
      </c>
      <c r="G12" t="s">
        <v>1789</v>
      </c>
      <c r="H12" t="s">
        <v>516</v>
      </c>
      <c r="I12" t="s">
        <v>1872</v>
      </c>
      <c r="J12" t="s">
        <v>550</v>
      </c>
      <c r="K12" t="s">
        <v>1880</v>
      </c>
    </row>
    <row r="13">
      <c r="A13" t="s">
        <v>240</v>
      </c>
      <c r="B13" t="s">
        <v>1953</v>
      </c>
      <c r="C13" t="s">
        <v>1954</v>
      </c>
      <c r="D13" t="s">
        <v>385</v>
      </c>
      <c r="E13" t="s">
        <v>1917</v>
      </c>
      <c r="F13" t="s">
        <v>1892</v>
      </c>
      <c r="G13" t="s">
        <v>109</v>
      </c>
      <c r="H13" t="s">
        <v>109</v>
      </c>
      <c r="I13" t="s">
        <v>109</v>
      </c>
      <c r="J13" t="s">
        <v>109</v>
      </c>
      <c r="K13" t="s">
        <v>109</v>
      </c>
    </row>
    <row r="14">
      <c r="A14" t="s">
        <v>246</v>
      </c>
      <c r="B14" t="s">
        <v>1955</v>
      </c>
      <c r="C14" t="s">
        <v>1954</v>
      </c>
      <c r="D14" t="s">
        <v>109</v>
      </c>
      <c r="E14" t="s">
        <v>109</v>
      </c>
      <c r="F14" t="s">
        <v>109</v>
      </c>
      <c r="G14" t="s">
        <v>109</v>
      </c>
      <c r="H14" t="s">
        <v>109</v>
      </c>
      <c r="I14" t="s">
        <v>109</v>
      </c>
      <c r="J14" t="s">
        <v>109</v>
      </c>
      <c r="K14" t="s">
        <v>109</v>
      </c>
    </row>
    <row r="15">
      <c r="A15" t="s">
        <v>250</v>
      </c>
      <c r="B15" t="s">
        <v>1956</v>
      </c>
      <c r="C15" t="s">
        <v>1957</v>
      </c>
      <c r="D15" t="s">
        <v>109</v>
      </c>
      <c r="E15" t="s">
        <v>109</v>
      </c>
      <c r="F15" t="s">
        <v>109</v>
      </c>
      <c r="G15" t="s">
        <v>109</v>
      </c>
      <c r="H15" t="s">
        <v>109</v>
      </c>
      <c r="I15" t="s">
        <v>109</v>
      </c>
      <c r="J15" t="s">
        <v>109</v>
      </c>
      <c r="K15" t="s">
        <v>109</v>
      </c>
    </row>
    <row r="16">
      <c r="A16" t="s">
        <v>256</v>
      </c>
      <c r="B16" t="s">
        <v>1958</v>
      </c>
      <c r="C16" t="s">
        <v>1959</v>
      </c>
      <c r="D16" t="s">
        <v>109</v>
      </c>
      <c r="E16" t="s">
        <v>109</v>
      </c>
      <c r="F16" t="s">
        <v>109</v>
      </c>
      <c r="G16" t="s">
        <v>109</v>
      </c>
      <c r="H16" t="s">
        <v>109</v>
      </c>
      <c r="I16" t="s">
        <v>109</v>
      </c>
      <c r="J16" t="s">
        <v>109</v>
      </c>
      <c r="K16" t="s">
        <v>109</v>
      </c>
    </row>
  </sheetData>
  <pageMargins left="0.7" right="0.7" top="0.75" bottom="0.75" header="0.3" footer="0.3"/>
  <pageSetup paperSize="9" orientation="portrait" horizontalDpi="300" verticalDpi="300"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38.71" hidden="0" customWidth="1"/>
    <col min="2" max="2" width="18.71" hidden="0" customWidth="1"/>
    <col min="3" max="3" width="18.71" hidden="0" customWidth="1"/>
    <col min="4" max="4" width="18.71" hidden="0" customWidth="1"/>
    <col min="5" max="5" width="18.71" hidden="0" customWidth="1"/>
    <col min="6" max="6" width="18.71" hidden="0" customWidth="1"/>
    <col min="7" max="7" width="18.71" hidden="0" customWidth="1"/>
    <col min="8" max="8" width="18.71" hidden="0" customWidth="1"/>
    <col min="9" max="9" width="18.71" hidden="0" customWidth="1"/>
  </cols>
  <sheetData>
    <row r="1">
      <c r="A1" s="10" t="s">
        <v>1885</v>
      </c>
    </row>
    <row r="3">
      <c r="A3" s="3" t="s">
        <v>37</v>
      </c>
      <c r="B3" s="3" t="s">
        <v>1887</v>
      </c>
      <c r="C3" s="3" t="s">
        <v>1888</v>
      </c>
      <c r="D3" s="3" t="s">
        <v>41</v>
      </c>
      <c r="E3" s="3" t="s">
        <v>44</v>
      </c>
      <c r="F3" s="3" t="s">
        <v>45</v>
      </c>
      <c r="G3" s="3" t="s">
        <v>164</v>
      </c>
      <c r="H3" s="3" t="s">
        <v>165</v>
      </c>
      <c r="I3" s="3" t="s">
        <v>166</v>
      </c>
    </row>
    <row r="4">
      <c r="A4" s="4" t="s">
        <v>260</v>
      </c>
      <c r="B4" s="4" t="s">
        <v>109</v>
      </c>
      <c r="C4" s="4" t="s">
        <v>109</v>
      </c>
      <c r="D4" s="4" t="s">
        <v>109</v>
      </c>
      <c r="E4" s="4" t="s">
        <v>109</v>
      </c>
      <c r="F4" s="4" t="s">
        <v>109</v>
      </c>
      <c r="G4" s="4" t="s">
        <v>109</v>
      </c>
      <c r="H4" s="4" t="s">
        <v>109</v>
      </c>
      <c r="I4" s="4" t="s">
        <v>109</v>
      </c>
    </row>
    <row r="5">
      <c r="A5" t="s">
        <v>46</v>
      </c>
      <c r="B5" t="s">
        <v>1889</v>
      </c>
      <c r="C5" t="s">
        <v>1890</v>
      </c>
      <c r="D5" t="s">
        <v>1623</v>
      </c>
      <c r="E5" t="s">
        <v>1747</v>
      </c>
      <c r="F5" t="s">
        <v>1893</v>
      </c>
      <c r="G5" t="s">
        <v>109</v>
      </c>
      <c r="H5" t="s">
        <v>109</v>
      </c>
      <c r="I5" t="s">
        <v>109</v>
      </c>
    </row>
    <row r="6">
      <c r="A6" t="s">
        <v>55</v>
      </c>
      <c r="B6" t="s">
        <v>1894</v>
      </c>
      <c r="C6" t="s">
        <v>1895</v>
      </c>
      <c r="D6" t="s">
        <v>207</v>
      </c>
      <c r="E6" t="s">
        <v>1750</v>
      </c>
      <c r="F6" t="s">
        <v>207</v>
      </c>
      <c r="G6" t="s">
        <v>109</v>
      </c>
      <c r="H6" t="s">
        <v>109</v>
      </c>
      <c r="I6" t="s">
        <v>109</v>
      </c>
    </row>
    <row r="7">
      <c r="A7" t="s">
        <v>62</v>
      </c>
      <c r="B7" t="s">
        <v>1896</v>
      </c>
      <c r="C7" t="s">
        <v>1897</v>
      </c>
      <c r="D7" t="s">
        <v>1523</v>
      </c>
      <c r="E7" t="s">
        <v>1752</v>
      </c>
      <c r="F7" t="s">
        <v>1523</v>
      </c>
      <c r="G7" t="s">
        <v>109</v>
      </c>
      <c r="H7" t="s">
        <v>109</v>
      </c>
      <c r="I7" t="s">
        <v>109</v>
      </c>
    </row>
    <row r="8">
      <c r="A8" t="s">
        <v>68</v>
      </c>
      <c r="B8" t="s">
        <v>1898</v>
      </c>
      <c r="C8" t="s">
        <v>1899</v>
      </c>
      <c r="D8" t="s">
        <v>494</v>
      </c>
      <c r="E8" t="s">
        <v>1754</v>
      </c>
      <c r="F8" t="s">
        <v>494</v>
      </c>
      <c r="G8" t="s">
        <v>109</v>
      </c>
      <c r="H8" t="s">
        <v>109</v>
      </c>
      <c r="I8" t="s">
        <v>109</v>
      </c>
    </row>
    <row r="9">
      <c r="A9" t="s">
        <v>76</v>
      </c>
      <c r="B9" t="s">
        <v>1900</v>
      </c>
      <c r="C9" t="s">
        <v>1901</v>
      </c>
      <c r="D9" t="s">
        <v>465</v>
      </c>
      <c r="E9" t="s">
        <v>1756</v>
      </c>
      <c r="F9" t="s">
        <v>465</v>
      </c>
      <c r="G9" t="s">
        <v>109</v>
      </c>
      <c r="H9" t="s">
        <v>109</v>
      </c>
      <c r="I9" t="s">
        <v>109</v>
      </c>
    </row>
    <row r="10">
      <c r="A10" t="s">
        <v>82</v>
      </c>
      <c r="B10" t="s">
        <v>1902</v>
      </c>
      <c r="C10" t="s">
        <v>84</v>
      </c>
      <c r="D10" t="s">
        <v>1657</v>
      </c>
      <c r="E10" t="s">
        <v>1758</v>
      </c>
      <c r="F10" t="s">
        <v>1657</v>
      </c>
      <c r="G10" t="s">
        <v>109</v>
      </c>
      <c r="H10" t="s">
        <v>109</v>
      </c>
      <c r="I10" t="s">
        <v>109</v>
      </c>
    </row>
    <row r="11">
      <c r="A11" t="s">
        <v>89</v>
      </c>
      <c r="B11" t="s">
        <v>1903</v>
      </c>
      <c r="C11" t="s">
        <v>1904</v>
      </c>
      <c r="D11" t="s">
        <v>1598</v>
      </c>
      <c r="E11" t="s">
        <v>1760</v>
      </c>
      <c r="F11" t="s">
        <v>1598</v>
      </c>
      <c r="G11" t="s">
        <v>109</v>
      </c>
      <c r="H11" t="s">
        <v>109</v>
      </c>
      <c r="I11" t="s">
        <v>109</v>
      </c>
    </row>
    <row r="12">
      <c r="A12" t="s">
        <v>95</v>
      </c>
      <c r="B12" t="s">
        <v>1905</v>
      </c>
      <c r="C12" t="s">
        <v>1906</v>
      </c>
      <c r="D12" t="s">
        <v>1667</v>
      </c>
      <c r="E12" t="s">
        <v>1762</v>
      </c>
      <c r="F12" t="s">
        <v>1667</v>
      </c>
      <c r="G12" t="s">
        <v>109</v>
      </c>
      <c r="H12" t="s">
        <v>109</v>
      </c>
      <c r="I12" t="s">
        <v>109</v>
      </c>
    </row>
    <row r="13">
      <c r="A13" t="s">
        <v>103</v>
      </c>
      <c r="B13" t="s">
        <v>1907</v>
      </c>
      <c r="C13" t="s">
        <v>105</v>
      </c>
      <c r="D13" t="s">
        <v>1648</v>
      </c>
      <c r="E13" t="s">
        <v>109</v>
      </c>
      <c r="F13" t="s">
        <v>109</v>
      </c>
      <c r="G13" t="s">
        <v>109</v>
      </c>
      <c r="H13" t="s">
        <v>109</v>
      </c>
      <c r="I13" t="s">
        <v>109</v>
      </c>
    </row>
    <row r="14">
      <c r="A14" t="s">
        <v>110</v>
      </c>
      <c r="B14" t="s">
        <v>1909</v>
      </c>
      <c r="C14" t="s">
        <v>1910</v>
      </c>
      <c r="D14" t="s">
        <v>1766</v>
      </c>
      <c r="E14" t="s">
        <v>1765</v>
      </c>
      <c r="F14" t="s">
        <v>1911</v>
      </c>
      <c r="G14" t="s">
        <v>109</v>
      </c>
      <c r="H14" t="s">
        <v>109</v>
      </c>
      <c r="I14" t="s">
        <v>109</v>
      </c>
    </row>
    <row r="15">
      <c r="A15" t="s">
        <v>118</v>
      </c>
      <c r="B15" t="s">
        <v>1912</v>
      </c>
      <c r="C15" t="s">
        <v>1913</v>
      </c>
      <c r="D15" t="s">
        <v>72</v>
      </c>
      <c r="E15" t="s">
        <v>1769</v>
      </c>
      <c r="F15" t="s">
        <v>1914</v>
      </c>
      <c r="G15" t="s">
        <v>109</v>
      </c>
      <c r="H15" t="s">
        <v>109</v>
      </c>
      <c r="I15" t="s">
        <v>109</v>
      </c>
    </row>
    <row r="16">
      <c r="A16" t="s">
        <v>125</v>
      </c>
      <c r="B16" t="s">
        <v>1915</v>
      </c>
      <c r="C16" t="s">
        <v>1916</v>
      </c>
      <c r="D16" t="s">
        <v>492</v>
      </c>
      <c r="E16" t="s">
        <v>109</v>
      </c>
      <c r="F16" t="s">
        <v>109</v>
      </c>
      <c r="G16" t="s">
        <v>109</v>
      </c>
      <c r="H16" t="s">
        <v>109</v>
      </c>
      <c r="I16" t="s">
        <v>109</v>
      </c>
    </row>
    <row r="17">
      <c r="A17" t="s">
        <v>130</v>
      </c>
      <c r="B17" t="s">
        <v>1918</v>
      </c>
      <c r="C17" t="s">
        <v>1919</v>
      </c>
      <c r="D17" t="s">
        <v>109</v>
      </c>
      <c r="E17" t="s">
        <v>109</v>
      </c>
      <c r="F17" t="s">
        <v>109</v>
      </c>
      <c r="G17" t="s">
        <v>109</v>
      </c>
      <c r="H17" t="s">
        <v>109</v>
      </c>
      <c r="I17" t="s">
        <v>109</v>
      </c>
    </row>
    <row r="18">
      <c r="A18" t="s">
        <v>134</v>
      </c>
      <c r="B18" t="s">
        <v>1920</v>
      </c>
      <c r="C18" t="s">
        <v>1921</v>
      </c>
      <c r="D18" t="s">
        <v>109</v>
      </c>
      <c r="E18" t="s">
        <v>109</v>
      </c>
      <c r="F18" t="s">
        <v>109</v>
      </c>
      <c r="G18" t="s">
        <v>109</v>
      </c>
      <c r="H18" t="s">
        <v>109</v>
      </c>
      <c r="I18" t="s">
        <v>109</v>
      </c>
    </row>
    <row r="19">
      <c r="A19" s="4" t="s">
        <v>138</v>
      </c>
      <c r="B19" s="4" t="s">
        <v>109</v>
      </c>
      <c r="C19" s="4" t="s">
        <v>109</v>
      </c>
      <c r="D19" s="4" t="s">
        <v>109</v>
      </c>
      <c r="E19" s="4" t="s">
        <v>109</v>
      </c>
      <c r="F19" s="4" t="s">
        <v>109</v>
      </c>
      <c r="G19" s="4" t="s">
        <v>109</v>
      </c>
      <c r="H19" s="4" t="s">
        <v>109</v>
      </c>
      <c r="I19" s="4" t="s">
        <v>109</v>
      </c>
    </row>
    <row r="20">
      <c r="A20" t="s">
        <v>139</v>
      </c>
      <c r="B20" t="s">
        <v>1923</v>
      </c>
      <c r="C20" t="s">
        <v>1924</v>
      </c>
      <c r="D20" t="s">
        <v>1698</v>
      </c>
      <c r="E20" t="s">
        <v>1772</v>
      </c>
      <c r="F20" t="s">
        <v>1925</v>
      </c>
      <c r="G20" t="s">
        <v>109</v>
      </c>
      <c r="H20" t="s">
        <v>109</v>
      </c>
      <c r="I20" t="s">
        <v>109</v>
      </c>
    </row>
    <row r="21">
      <c r="A21" t="s">
        <v>145</v>
      </c>
      <c r="B21" t="s">
        <v>1926</v>
      </c>
      <c r="C21" t="s">
        <v>1927</v>
      </c>
      <c r="D21" t="s">
        <v>444</v>
      </c>
      <c r="E21" t="s">
        <v>1774</v>
      </c>
      <c r="F21" t="s">
        <v>444</v>
      </c>
      <c r="G21" t="s">
        <v>109</v>
      </c>
      <c r="H21" t="s">
        <v>109</v>
      </c>
      <c r="I21" t="s">
        <v>109</v>
      </c>
    </row>
    <row r="22">
      <c r="A22" t="s">
        <v>151</v>
      </c>
      <c r="B22" t="s">
        <v>1928</v>
      </c>
      <c r="C22" t="s">
        <v>1929</v>
      </c>
      <c r="D22" t="s">
        <v>1843</v>
      </c>
      <c r="E22" t="s">
        <v>109</v>
      </c>
      <c r="F22" t="s">
        <v>109</v>
      </c>
      <c r="G22" t="s">
        <v>109</v>
      </c>
      <c r="H22" t="s">
        <v>109</v>
      </c>
      <c r="I22" t="s">
        <v>109</v>
      </c>
    </row>
    <row r="23">
      <c r="A23" t="s">
        <v>156</v>
      </c>
      <c r="B23" t="s">
        <v>1930</v>
      </c>
      <c r="C23" t="s">
        <v>1931</v>
      </c>
      <c r="D23" t="s">
        <v>109</v>
      </c>
      <c r="E23" t="s">
        <v>109</v>
      </c>
      <c r="F23" t="s">
        <v>109</v>
      </c>
      <c r="G23" t="s">
        <v>109</v>
      </c>
      <c r="H23" t="s">
        <v>109</v>
      </c>
      <c r="I23" t="s">
        <v>109</v>
      </c>
    </row>
    <row r="24">
      <c r="A24" t="s">
        <v>160</v>
      </c>
      <c r="B24" t="s">
        <v>1932</v>
      </c>
      <c r="C24" t="s">
        <v>1933</v>
      </c>
      <c r="D24" t="s">
        <v>109</v>
      </c>
      <c r="E24" t="s">
        <v>109</v>
      </c>
      <c r="F24" t="s">
        <v>109</v>
      </c>
      <c r="G24" t="s">
        <v>109</v>
      </c>
      <c r="H24" t="s">
        <v>109</v>
      </c>
      <c r="I24" t="s">
        <v>109</v>
      </c>
    </row>
    <row r="25">
      <c r="A25" s="4" t="s">
        <v>261</v>
      </c>
      <c r="B25" s="4" t="s">
        <v>109</v>
      </c>
      <c r="C25" s="4" t="s">
        <v>109</v>
      </c>
      <c r="D25" s="4" t="s">
        <v>109</v>
      </c>
      <c r="E25" s="4" t="s">
        <v>109</v>
      </c>
      <c r="F25" s="4" t="s">
        <v>109</v>
      </c>
      <c r="G25" s="4" t="s">
        <v>109</v>
      </c>
      <c r="H25" s="4" t="s">
        <v>109</v>
      </c>
      <c r="I25" s="4" t="s">
        <v>109</v>
      </c>
    </row>
    <row r="26">
      <c r="A26" t="s">
        <v>167</v>
      </c>
      <c r="B26" t="s">
        <v>1934</v>
      </c>
      <c r="C26" t="s">
        <v>1935</v>
      </c>
      <c r="D26" t="s">
        <v>437</v>
      </c>
      <c r="E26" t="s">
        <v>1777</v>
      </c>
      <c r="F26" t="s">
        <v>437</v>
      </c>
      <c r="G26" t="s">
        <v>1849</v>
      </c>
      <c r="H26" t="s">
        <v>72</v>
      </c>
      <c r="I26" t="s">
        <v>1877</v>
      </c>
    </row>
    <row r="27">
      <c r="A27" t="s">
        <v>177</v>
      </c>
      <c r="B27" t="s">
        <v>1936</v>
      </c>
      <c r="C27" t="s">
        <v>1937</v>
      </c>
      <c r="D27" t="s">
        <v>50</v>
      </c>
      <c r="E27" t="s">
        <v>1779</v>
      </c>
      <c r="F27" t="s">
        <v>50</v>
      </c>
      <c r="G27" t="s">
        <v>1854</v>
      </c>
      <c r="H27" t="s">
        <v>368</v>
      </c>
      <c r="I27" t="s">
        <v>1877</v>
      </c>
    </row>
    <row r="28">
      <c r="A28" t="s">
        <v>185</v>
      </c>
      <c r="B28" t="s">
        <v>1939</v>
      </c>
      <c r="C28" t="s">
        <v>1940</v>
      </c>
      <c r="D28" t="s">
        <v>423</v>
      </c>
      <c r="E28" t="s">
        <v>1781</v>
      </c>
      <c r="F28" t="s">
        <v>423</v>
      </c>
      <c r="G28" t="s">
        <v>1781</v>
      </c>
      <c r="H28" t="s">
        <v>423</v>
      </c>
      <c r="I28" t="s">
        <v>1877</v>
      </c>
    </row>
    <row r="29">
      <c r="A29" t="s">
        <v>194</v>
      </c>
      <c r="B29" t="s">
        <v>1941</v>
      </c>
      <c r="C29" t="s">
        <v>1942</v>
      </c>
      <c r="D29" t="s">
        <v>122</v>
      </c>
      <c r="E29" t="s">
        <v>1783</v>
      </c>
      <c r="F29" t="s">
        <v>122</v>
      </c>
      <c r="G29" t="s">
        <v>1861</v>
      </c>
      <c r="H29" t="s">
        <v>433</v>
      </c>
      <c r="I29" t="s">
        <v>1878</v>
      </c>
    </row>
    <row r="30">
      <c r="A30" t="s">
        <v>203</v>
      </c>
      <c r="B30" t="s">
        <v>1943</v>
      </c>
      <c r="C30" t="s">
        <v>1944</v>
      </c>
      <c r="D30" t="s">
        <v>446</v>
      </c>
      <c r="E30" t="s">
        <v>1551</v>
      </c>
      <c r="F30" t="s">
        <v>446</v>
      </c>
      <c r="G30" t="s">
        <v>1861</v>
      </c>
      <c r="H30" t="s">
        <v>419</v>
      </c>
      <c r="I30" t="s">
        <v>1877</v>
      </c>
    </row>
    <row r="31">
      <c r="A31" t="s">
        <v>212</v>
      </c>
      <c r="B31" t="s">
        <v>1945</v>
      </c>
      <c r="C31" t="s">
        <v>1946</v>
      </c>
      <c r="D31" t="s">
        <v>403</v>
      </c>
      <c r="E31" t="s">
        <v>109</v>
      </c>
      <c r="F31" t="s">
        <v>109</v>
      </c>
      <c r="G31" t="s">
        <v>109</v>
      </c>
      <c r="H31" t="s">
        <v>109</v>
      </c>
      <c r="I31" t="s">
        <v>109</v>
      </c>
    </row>
    <row r="32">
      <c r="A32" t="s">
        <v>216</v>
      </c>
      <c r="B32" t="s">
        <v>1947</v>
      </c>
      <c r="C32" t="s">
        <v>1948</v>
      </c>
      <c r="D32" t="s">
        <v>107</v>
      </c>
      <c r="E32" t="s">
        <v>109</v>
      </c>
      <c r="F32" t="s">
        <v>109</v>
      </c>
      <c r="G32" t="s">
        <v>109</v>
      </c>
      <c r="H32" t="s">
        <v>109</v>
      </c>
      <c r="I32" t="s">
        <v>109</v>
      </c>
    </row>
    <row r="33">
      <c r="A33" t="s">
        <v>220</v>
      </c>
      <c r="B33" t="s">
        <v>1949</v>
      </c>
      <c r="C33" t="s">
        <v>1950</v>
      </c>
      <c r="D33" t="s">
        <v>72</v>
      </c>
      <c r="E33" t="s">
        <v>1787</v>
      </c>
      <c r="F33" t="s">
        <v>72</v>
      </c>
      <c r="G33" t="s">
        <v>1868</v>
      </c>
      <c r="H33" t="s">
        <v>122</v>
      </c>
      <c r="I33" t="s">
        <v>1879</v>
      </c>
    </row>
    <row r="34">
      <c r="A34" t="s">
        <v>230</v>
      </c>
      <c r="B34" t="s">
        <v>1951</v>
      </c>
      <c r="C34" t="s">
        <v>1952</v>
      </c>
      <c r="D34" t="s">
        <v>516</v>
      </c>
      <c r="E34" t="s">
        <v>1789</v>
      </c>
      <c r="F34" t="s">
        <v>516</v>
      </c>
      <c r="G34" t="s">
        <v>1872</v>
      </c>
      <c r="H34" t="s">
        <v>550</v>
      </c>
      <c r="I34" t="s">
        <v>1880</v>
      </c>
    </row>
    <row r="35">
      <c r="A35" t="s">
        <v>240</v>
      </c>
      <c r="B35" t="s">
        <v>1953</v>
      </c>
      <c r="C35" t="s">
        <v>1954</v>
      </c>
      <c r="D35" t="s">
        <v>385</v>
      </c>
      <c r="E35" t="s">
        <v>109</v>
      </c>
      <c r="F35" t="s">
        <v>109</v>
      </c>
      <c r="G35" t="s">
        <v>109</v>
      </c>
      <c r="H35" t="s">
        <v>109</v>
      </c>
      <c r="I35" t="s">
        <v>109</v>
      </c>
    </row>
    <row r="36">
      <c r="A36" t="s">
        <v>246</v>
      </c>
      <c r="B36" t="s">
        <v>1955</v>
      </c>
      <c r="C36" t="s">
        <v>1954</v>
      </c>
      <c r="D36" t="s">
        <v>109</v>
      </c>
      <c r="E36" t="s">
        <v>109</v>
      </c>
      <c r="F36" t="s">
        <v>109</v>
      </c>
      <c r="G36" t="s">
        <v>109</v>
      </c>
      <c r="H36" t="s">
        <v>109</v>
      </c>
      <c r="I36" t="s">
        <v>109</v>
      </c>
    </row>
    <row r="37">
      <c r="A37" t="s">
        <v>250</v>
      </c>
      <c r="B37" t="s">
        <v>1956</v>
      </c>
      <c r="C37" t="s">
        <v>1957</v>
      </c>
      <c r="D37" t="s">
        <v>109</v>
      </c>
      <c r="E37" t="s">
        <v>109</v>
      </c>
      <c r="F37" t="s">
        <v>109</v>
      </c>
      <c r="G37" t="s">
        <v>109</v>
      </c>
      <c r="H37" t="s">
        <v>109</v>
      </c>
      <c r="I37" t="s">
        <v>109</v>
      </c>
    </row>
    <row r="38">
      <c r="A38" t="s">
        <v>256</v>
      </c>
      <c r="B38" t="s">
        <v>1958</v>
      </c>
      <c r="C38" t="s">
        <v>1959</v>
      </c>
      <c r="D38" t="s">
        <v>109</v>
      </c>
      <c r="E38" t="s">
        <v>109</v>
      </c>
      <c r="F38" t="s">
        <v>109</v>
      </c>
      <c r="G38" t="s">
        <v>109</v>
      </c>
      <c r="H38" t="s">
        <v>109</v>
      </c>
      <c r="I38" t="s">
        <v>109</v>
      </c>
    </row>
    <row r="40">
      <c r="A40" t="s">
        <v>262</v>
      </c>
    </row>
    <row r="41">
      <c r="A41" t="s">
        <v>263</v>
      </c>
    </row>
    <row r="42">
      <c r="A42" t="s">
        <v>264</v>
      </c>
    </row>
    <row r="43">
      <c r="A43" t="s">
        <v>265</v>
      </c>
    </row>
    <row r="44">
      <c r="A44" t="s">
        <v>266</v>
      </c>
    </row>
    <row r="45">
      <c r="A45" t="s">
        <v>267</v>
      </c>
    </row>
    <row r="46">
      <c r="A46" t="s">
        <v>269</v>
      </c>
    </row>
    <row r="47">
      <c r="A47" t="s">
        <v>1960</v>
      </c>
    </row>
    <row r="48">
      <c r="A48" t="s">
        <v>109</v>
      </c>
    </row>
    <row r="49">
      <c r="A49" t="s">
        <v>270</v>
      </c>
    </row>
    <row r="50">
      <c r="A50" t="s">
        <v>1961</v>
      </c>
    </row>
    <row r="51">
      <c r="A51" t="s">
        <v>1962</v>
      </c>
    </row>
    <row r="52">
      <c r="A52" t="s">
        <v>1963</v>
      </c>
    </row>
  </sheetData>
  <pageMargins left="0.7" right="0.7" top="0.75" bottom="0.75" header="0.3" footer="0.3"/>
  <pageSetup paperSize="9" orientation="portrait" horizontalDpi="300" verticalDpi="300"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5" t="s">
        <v>279</v>
      </c>
      <c r="B1" s="5" t="s">
        <v>280</v>
      </c>
      <c r="C1" s="5" t="s">
        <v>281</v>
      </c>
      <c r="D1" s="5" t="s">
        <v>282</v>
      </c>
      <c r="E1" s="6" t="s">
        <v>283</v>
      </c>
      <c r="F1" s="6" t="s">
        <v>284</v>
      </c>
      <c r="G1" s="6" t="s">
        <v>285</v>
      </c>
      <c r="H1" s="6" t="s">
        <v>286</v>
      </c>
      <c r="I1" s="6" t="s">
        <v>82</v>
      </c>
      <c r="J1" s="7" t="s">
        <v>287</v>
      </c>
      <c r="K1" s="7" t="s">
        <v>288</v>
      </c>
      <c r="L1" s="7" t="s">
        <v>289</v>
      </c>
      <c r="M1" s="7" t="s">
        <v>290</v>
      </c>
      <c r="N1" s="8" t="s">
        <v>291</v>
      </c>
      <c r="O1" s="8" t="s">
        <v>292</v>
      </c>
      <c r="P1" s="8" t="s">
        <v>293</v>
      </c>
      <c r="Q1" s="8" t="s">
        <v>294</v>
      </c>
      <c r="R1" s="8" t="s">
        <v>203</v>
      </c>
      <c r="S1" s="8" t="s">
        <v>194</v>
      </c>
      <c r="T1" s="9" t="s">
        <v>295</v>
      </c>
    </row>
    <row r="2">
      <c r="A2" t="s">
        <v>30</v>
      </c>
      <c r="B2" t="n">
        <v>0.8</v>
      </c>
      <c r="C2" t="n">
        <v>1</v>
      </c>
      <c r="D2" t="n">
        <v>1</v>
      </c>
      <c r="E2" t="n">
        <v>-4</v>
      </c>
      <c r="F2" t="n">
        <v>-0.5</v>
      </c>
      <c r="G2" t="n">
        <v>179</v>
      </c>
      <c r="H2" t="n">
        <v>12</v>
      </c>
      <c r="I2" t="s">
        <v>296</v>
      </c>
      <c r="J2" t="n">
        <v>0</v>
      </c>
      <c r="K2" t="n">
        <v>0</v>
      </c>
      <c r="L2" t="n">
        <v>0</v>
      </c>
      <c r="M2" t="n">
        <v>12</v>
      </c>
      <c r="N2" t="n">
        <v>0.25</v>
      </c>
      <c r="O2" t="n">
        <v>-0.25</v>
      </c>
      <c r="P2" t="n">
        <v>66</v>
      </c>
      <c r="Q2" t="n">
        <v>12</v>
      </c>
      <c r="R2" t="s">
        <v>297</v>
      </c>
      <c r="S2" t="s">
        <v>297</v>
      </c>
      <c r="T2" t="n">
        <v>0.125</v>
      </c>
    </row>
    <row r="3">
      <c r="A3" t="s">
        <v>30</v>
      </c>
      <c r="B3" t="n">
        <v>0.8</v>
      </c>
      <c r="C3" t="n">
        <v>0.8</v>
      </c>
      <c r="D3" t="n">
        <v>1</v>
      </c>
      <c r="E3" t="n">
        <v>-4</v>
      </c>
      <c r="F3" t="n">
        <v>-1</v>
      </c>
      <c r="G3" t="n">
        <v>170</v>
      </c>
      <c r="H3" t="n">
        <v>12</v>
      </c>
      <c r="I3" t="s">
        <v>296</v>
      </c>
      <c r="J3" t="n">
        <v>0</v>
      </c>
      <c r="K3" t="n">
        <v>0</v>
      </c>
      <c r="L3" t="n">
        <v>0</v>
      </c>
      <c r="M3" t="n">
        <v>12</v>
      </c>
      <c r="N3" t="n">
        <v>0.5</v>
      </c>
      <c r="O3" t="n">
        <v>-0.75</v>
      </c>
      <c r="P3" t="n">
        <v>131</v>
      </c>
      <c r="Q3" t="n">
        <v>12</v>
      </c>
      <c r="R3" t="s">
        <v>297</v>
      </c>
      <c r="S3" t="s">
        <v>296</v>
      </c>
      <c r="T3" t="n">
        <v>0.125</v>
      </c>
    </row>
    <row r="4">
      <c r="A4" t="s">
        <v>30</v>
      </c>
      <c r="B4" t="n">
        <v>1</v>
      </c>
      <c r="C4" t="n">
        <v>1.25</v>
      </c>
      <c r="D4" t="n">
        <v>1.25</v>
      </c>
      <c r="E4" t="n">
        <v>-3.5</v>
      </c>
      <c r="F4" t="n">
        <v>-0.75</v>
      </c>
      <c r="G4" t="n">
        <v>95</v>
      </c>
      <c r="H4" t="n">
        <v>12</v>
      </c>
      <c r="I4" t="s">
        <v>297</v>
      </c>
      <c r="J4" t="n">
        <v>0</v>
      </c>
      <c r="K4" t="n">
        <v>0</v>
      </c>
      <c r="L4" t="n">
        <v>0</v>
      </c>
      <c r="M4" t="n">
        <v>12</v>
      </c>
      <c r="N4" t="n">
        <v>0</v>
      </c>
      <c r="O4" t="n">
        <v>-0.25</v>
      </c>
      <c r="P4" t="n">
        <v>92</v>
      </c>
      <c r="Q4" t="n">
        <v>12</v>
      </c>
      <c r="R4" t="s">
        <v>298</v>
      </c>
      <c r="S4" t="s">
        <v>298</v>
      </c>
      <c r="T4" t="n">
        <v>-0.125</v>
      </c>
    </row>
    <row r="5">
      <c r="A5" t="s">
        <v>30</v>
      </c>
      <c r="B5" t="n">
        <v>1</v>
      </c>
      <c r="C5" t="n">
        <v>1.25</v>
      </c>
      <c r="D5" t="n">
        <v>1.25</v>
      </c>
      <c r="E5" t="n">
        <v>-4.75</v>
      </c>
      <c r="F5" t="n">
        <v>-0.5</v>
      </c>
      <c r="G5" t="n">
        <v>106</v>
      </c>
      <c r="H5" t="n">
        <v>12</v>
      </c>
      <c r="I5" t="s">
        <v>297</v>
      </c>
      <c r="J5" t="n">
        <v>0</v>
      </c>
      <c r="K5" t="n">
        <v>0</v>
      </c>
      <c r="L5" t="n">
        <v>0</v>
      </c>
      <c r="M5" t="n">
        <v>12</v>
      </c>
      <c r="N5" t="n">
        <v>0.25</v>
      </c>
      <c r="O5" t="n">
        <v>-0.25</v>
      </c>
      <c r="P5" t="n">
        <v>123</v>
      </c>
      <c r="Q5" t="n">
        <v>12</v>
      </c>
      <c r="R5" t="s">
        <v>298</v>
      </c>
      <c r="S5" t="s">
        <v>298</v>
      </c>
      <c r="T5" t="n">
        <v>0.125</v>
      </c>
    </row>
    <row r="6">
      <c r="A6" t="s">
        <v>30</v>
      </c>
      <c r="B6" t="n">
        <v>1</v>
      </c>
      <c r="C6" t="n">
        <v>1.25</v>
      </c>
      <c r="D6" t="n">
        <v>1.25</v>
      </c>
      <c r="E6" t="n">
        <v>-3.75</v>
      </c>
      <c r="F6" t="n">
        <v>-0.75</v>
      </c>
      <c r="G6" t="n">
        <v>4</v>
      </c>
      <c r="H6" t="n">
        <v>12</v>
      </c>
      <c r="I6" t="s">
        <v>297</v>
      </c>
      <c r="J6" t="n">
        <v>0</v>
      </c>
      <c r="K6" t="n">
        <v>0</v>
      </c>
      <c r="L6" t="n">
        <v>0</v>
      </c>
      <c r="M6" t="n">
        <v>12</v>
      </c>
      <c r="N6" t="n">
        <v>0</v>
      </c>
      <c r="O6" t="n">
        <v>-0.25</v>
      </c>
      <c r="P6" t="n">
        <v>156</v>
      </c>
      <c r="Q6" t="n">
        <v>12</v>
      </c>
      <c r="R6" t="s">
        <v>298</v>
      </c>
      <c r="S6" t="s">
        <v>298</v>
      </c>
      <c r="T6" t="n">
        <v>-0.125</v>
      </c>
    </row>
    <row r="7">
      <c r="A7" t="s">
        <v>30</v>
      </c>
      <c r="B7" t="n">
        <v>1</v>
      </c>
      <c r="C7" t="n">
        <v>1</v>
      </c>
      <c r="D7" t="n">
        <v>1.25</v>
      </c>
      <c r="E7" t="n">
        <v>-5</v>
      </c>
      <c r="F7" t="n">
        <v>-1.75</v>
      </c>
      <c r="G7" t="n">
        <v>23</v>
      </c>
      <c r="H7" t="n">
        <v>12</v>
      </c>
      <c r="I7" t="s">
        <v>297</v>
      </c>
      <c r="J7" t="n">
        <v>0</v>
      </c>
      <c r="K7" t="n">
        <v>0</v>
      </c>
      <c r="L7" t="n">
        <v>0</v>
      </c>
      <c r="M7" t="n">
        <v>12</v>
      </c>
      <c r="N7" t="n">
        <v>-0.5</v>
      </c>
      <c r="O7" t="n">
        <v>-0.25</v>
      </c>
      <c r="P7" t="n">
        <v>66</v>
      </c>
      <c r="Q7" t="n">
        <v>12</v>
      </c>
      <c r="R7" t="s">
        <v>298</v>
      </c>
      <c r="S7" t="s">
        <v>297</v>
      </c>
      <c r="T7" t="n">
        <v>-0.625</v>
      </c>
    </row>
    <row r="8">
      <c r="A8" t="s">
        <v>30</v>
      </c>
      <c r="B8" t="n">
        <v>0.8</v>
      </c>
      <c r="C8" t="n">
        <v>1</v>
      </c>
      <c r="D8" t="n">
        <v>1</v>
      </c>
      <c r="E8" t="n">
        <v>-6.5</v>
      </c>
      <c r="F8" t="n">
        <v>-1.5</v>
      </c>
      <c r="G8" t="n">
        <v>172</v>
      </c>
      <c r="H8" t="n">
        <v>12</v>
      </c>
      <c r="I8" t="s">
        <v>296</v>
      </c>
      <c r="J8" t="n">
        <v>0</v>
      </c>
      <c r="K8" t="n">
        <v>0</v>
      </c>
      <c r="L8" t="n">
        <v>0</v>
      </c>
      <c r="M8" t="n">
        <v>12</v>
      </c>
      <c r="N8" t="n">
        <v>-0.25</v>
      </c>
      <c r="O8" t="n">
        <v>-0.25</v>
      </c>
      <c r="P8" t="n">
        <v>37</v>
      </c>
      <c r="Q8" t="n">
        <v>12</v>
      </c>
      <c r="R8" t="s">
        <v>297</v>
      </c>
      <c r="S8" t="s">
        <v>297</v>
      </c>
      <c r="T8" t="n">
        <v>-0.375</v>
      </c>
    </row>
    <row r="9">
      <c r="A9" t="s">
        <v>30</v>
      </c>
      <c r="B9" t="n">
        <v>1</v>
      </c>
      <c r="C9" t="n">
        <v>1.25</v>
      </c>
      <c r="D9" t="n">
        <v>1.25</v>
      </c>
      <c r="E9" t="n">
        <v>-5</v>
      </c>
      <c r="F9" t="n">
        <v>-1.25</v>
      </c>
      <c r="G9" t="n">
        <v>171</v>
      </c>
      <c r="H9" t="n">
        <v>12</v>
      </c>
      <c r="I9" t="s">
        <v>297</v>
      </c>
      <c r="J9" t="n">
        <v>0</v>
      </c>
      <c r="K9" t="n">
        <v>0</v>
      </c>
      <c r="L9" t="n">
        <v>0</v>
      </c>
      <c r="M9" t="n">
        <v>12</v>
      </c>
      <c r="N9" t="n">
        <v>0.75</v>
      </c>
      <c r="O9" t="n">
        <v>-0.25</v>
      </c>
      <c r="P9" t="n">
        <v>162</v>
      </c>
      <c r="Q9" t="n">
        <v>12</v>
      </c>
      <c r="R9" t="s">
        <v>298</v>
      </c>
      <c r="S9" t="s">
        <v>298</v>
      </c>
      <c r="T9" t="n">
        <v>0.625</v>
      </c>
    </row>
    <row r="10">
      <c r="A10" t="s">
        <v>30</v>
      </c>
      <c r="B10" t="n">
        <v>1</v>
      </c>
      <c r="C10" t="n">
        <v>1</v>
      </c>
      <c r="D10" t="n">
        <v>1</v>
      </c>
      <c r="E10" t="n">
        <v>-4.5</v>
      </c>
      <c r="F10" t="n">
        <v>-0.5</v>
      </c>
      <c r="G10" t="n">
        <v>22</v>
      </c>
      <c r="H10" t="n">
        <v>12</v>
      </c>
      <c r="I10" t="s">
        <v>297</v>
      </c>
      <c r="J10" t="n">
        <v>0</v>
      </c>
      <c r="K10" t="n">
        <v>0</v>
      </c>
      <c r="L10" t="n">
        <v>0</v>
      </c>
      <c r="M10" t="n">
        <v>12</v>
      </c>
      <c r="N10" t="n">
        <v>0.75</v>
      </c>
      <c r="O10" t="n">
        <v>-0.25</v>
      </c>
      <c r="P10" t="n">
        <v>48</v>
      </c>
      <c r="Q10" t="n">
        <v>12</v>
      </c>
      <c r="R10" t="s">
        <v>297</v>
      </c>
      <c r="S10" t="s">
        <v>297</v>
      </c>
      <c r="T10" t="n">
        <v>0.625</v>
      </c>
    </row>
    <row r="11">
      <c r="A11" t="s">
        <v>30</v>
      </c>
      <c r="B11" t="n">
        <v>1.25</v>
      </c>
      <c r="C11" t="n">
        <v>1</v>
      </c>
      <c r="D11" t="n">
        <v>1.25</v>
      </c>
      <c r="E11" t="n">
        <v>-5</v>
      </c>
      <c r="F11" t="n">
        <v>-0.75</v>
      </c>
      <c r="G11" t="n">
        <v>50</v>
      </c>
      <c r="H11" t="n">
        <v>12</v>
      </c>
      <c r="I11" t="s">
        <v>298</v>
      </c>
      <c r="J11" t="n">
        <v>0</v>
      </c>
      <c r="K11" t="n">
        <v>0</v>
      </c>
      <c r="L11" t="n">
        <v>0</v>
      </c>
      <c r="M11" t="n">
        <v>12</v>
      </c>
      <c r="N11" t="n">
        <v>0.25</v>
      </c>
      <c r="O11" t="n">
        <v>-0.5</v>
      </c>
      <c r="P11" t="n">
        <v>31</v>
      </c>
      <c r="Q11" t="n">
        <v>12</v>
      </c>
      <c r="R11" t="s">
        <v>298</v>
      </c>
      <c r="S11" t="s">
        <v>297</v>
      </c>
      <c r="T11" t="n">
        <v>0</v>
      </c>
    </row>
    <row r="12">
      <c r="A12" t="s">
        <v>30</v>
      </c>
      <c r="B12" t="n">
        <v>1</v>
      </c>
      <c r="C12" t="n">
        <v>1.25</v>
      </c>
      <c r="D12" t="n">
        <v>1.6</v>
      </c>
      <c r="E12" t="n">
        <v>-3</v>
      </c>
      <c r="F12" t="n">
        <v>-0.5</v>
      </c>
      <c r="G12" t="n">
        <v>85</v>
      </c>
      <c r="H12" t="n">
        <v>12</v>
      </c>
      <c r="I12" t="s">
        <v>297</v>
      </c>
      <c r="J12" t="n">
        <v>0</v>
      </c>
      <c r="K12" t="n">
        <v>0</v>
      </c>
      <c r="L12" t="n">
        <v>0</v>
      </c>
      <c r="M12" t="n">
        <v>12</v>
      </c>
      <c r="N12" t="n">
        <v>0.5</v>
      </c>
      <c r="O12" t="n">
        <v>0</v>
      </c>
      <c r="P12" t="n">
        <v>131</v>
      </c>
      <c r="Q12" t="n">
        <v>12</v>
      </c>
      <c r="R12" t="s">
        <v>299</v>
      </c>
      <c r="S12" t="s">
        <v>298</v>
      </c>
      <c r="T12" t="n">
        <v>0.5</v>
      </c>
    </row>
    <row r="13">
      <c r="A13" t="s">
        <v>30</v>
      </c>
      <c r="B13" t="n">
        <v>1</v>
      </c>
      <c r="C13" t="n">
        <v>1</v>
      </c>
      <c r="D13" t="n">
        <v>1</v>
      </c>
      <c r="E13" t="n">
        <v>-2</v>
      </c>
      <c r="F13" t="n">
        <v>-1</v>
      </c>
      <c r="G13" t="n">
        <v>109</v>
      </c>
      <c r="H13" t="n">
        <v>12</v>
      </c>
      <c r="I13" t="s">
        <v>297</v>
      </c>
      <c r="J13" t="n">
        <v>0</v>
      </c>
      <c r="K13" t="n">
        <v>0</v>
      </c>
      <c r="L13" t="n">
        <v>0</v>
      </c>
      <c r="M13" t="n">
        <v>12</v>
      </c>
      <c r="N13" t="n">
        <v>0.25</v>
      </c>
      <c r="O13" t="n">
        <v>0</v>
      </c>
      <c r="P13" t="n">
        <v>159</v>
      </c>
      <c r="Q13" t="n">
        <v>12</v>
      </c>
      <c r="R13" t="s">
        <v>297</v>
      </c>
      <c r="S13" t="s">
        <v>297</v>
      </c>
      <c r="T13" t="n">
        <v>0.25</v>
      </c>
    </row>
    <row r="14">
      <c r="A14" t="s">
        <v>30</v>
      </c>
      <c r="B14" t="n">
        <v>1</v>
      </c>
      <c r="C14" t="n">
        <v>1</v>
      </c>
      <c r="D14" t="n">
        <v>1</v>
      </c>
      <c r="E14" t="n">
        <v>-5.5</v>
      </c>
      <c r="F14" t="n">
        <v>-0.25</v>
      </c>
      <c r="G14" t="n">
        <v>14</v>
      </c>
      <c r="H14" t="n">
        <v>12</v>
      </c>
      <c r="I14" t="s">
        <v>297</v>
      </c>
      <c r="J14" t="n">
        <v>0</v>
      </c>
      <c r="K14" t="n">
        <v>0</v>
      </c>
      <c r="L14" t="n">
        <v>0</v>
      </c>
      <c r="M14" t="n">
        <v>12</v>
      </c>
      <c r="N14" t="n">
        <v>-0.25</v>
      </c>
      <c r="O14" t="n">
        <v>-0.25</v>
      </c>
      <c r="P14" t="n">
        <v>84</v>
      </c>
      <c r="Q14" t="n">
        <v>12</v>
      </c>
      <c r="R14" t="s">
        <v>297</v>
      </c>
      <c r="S14" t="s">
        <v>297</v>
      </c>
      <c r="T14" t="n">
        <v>-0.375</v>
      </c>
    </row>
    <row r="15">
      <c r="A15" t="s">
        <v>30</v>
      </c>
      <c r="B15" t="n">
        <v>1</v>
      </c>
      <c r="C15"/>
      <c r="D15"/>
      <c r="E15" t="n">
        <v>-4</v>
      </c>
      <c r="F15" t="n">
        <v>-0.5</v>
      </c>
      <c r="G15" t="n">
        <v>179</v>
      </c>
      <c r="H15" t="n">
        <v>12</v>
      </c>
      <c r="I15" t="s">
        <v>297</v>
      </c>
      <c r="J15" t="n">
        <v>0</v>
      </c>
      <c r="K15" t="n">
        <v>0</v>
      </c>
      <c r="L15" t="n">
        <v>0</v>
      </c>
      <c r="M15" t="n">
        <v>12</v>
      </c>
      <c r="N15"/>
      <c r="O15"/>
      <c r="P15"/>
      <c r="Q15" t="n">
        <v>12</v>
      </c>
      <c r="R15" t="s">
        <v>109</v>
      </c>
      <c r="S15" t="s">
        <v>109</v>
      </c>
      <c r="T15"/>
    </row>
    <row r="16">
      <c r="A16" t="s">
        <v>30</v>
      </c>
      <c r="B16" t="n">
        <v>1</v>
      </c>
      <c r="C16"/>
      <c r="D16"/>
      <c r="E16" t="n">
        <v>-4.5</v>
      </c>
      <c r="F16" t="n">
        <v>-0.5</v>
      </c>
      <c r="G16" t="n">
        <v>176</v>
      </c>
      <c r="H16" t="n">
        <v>12</v>
      </c>
      <c r="I16" t="s">
        <v>297</v>
      </c>
      <c r="J16" t="n">
        <v>0</v>
      </c>
      <c r="K16" t="n">
        <v>0</v>
      </c>
      <c r="L16" t="n">
        <v>0</v>
      </c>
      <c r="M16" t="n">
        <v>12</v>
      </c>
      <c r="N16"/>
      <c r="O16"/>
      <c r="P16"/>
      <c r="Q16" t="n">
        <v>12</v>
      </c>
      <c r="R16" t="s">
        <v>109</v>
      </c>
      <c r="S16" t="s">
        <v>109</v>
      </c>
      <c r="T16"/>
    </row>
    <row r="17">
      <c r="A17" t="s">
        <v>30</v>
      </c>
      <c r="B17" t="n">
        <v>1</v>
      </c>
      <c r="C17" t="n">
        <v>1</v>
      </c>
      <c r="D17" t="n">
        <v>1</v>
      </c>
      <c r="E17" t="n">
        <v>-1.75</v>
      </c>
      <c r="F17" t="n">
        <v>-1.5</v>
      </c>
      <c r="G17" t="n">
        <v>176</v>
      </c>
      <c r="H17" t="n">
        <v>12</v>
      </c>
      <c r="I17" t="s">
        <v>297</v>
      </c>
      <c r="J17" t="n">
        <v>0</v>
      </c>
      <c r="K17" t="n">
        <v>0</v>
      </c>
      <c r="L17" t="n">
        <v>0</v>
      </c>
      <c r="M17" t="n">
        <v>12</v>
      </c>
      <c r="N17" t="n">
        <v>0.5</v>
      </c>
      <c r="O17" t="n">
        <v>-0.25</v>
      </c>
      <c r="P17" t="n">
        <v>20</v>
      </c>
      <c r="Q17" t="n">
        <v>12</v>
      </c>
      <c r="R17" t="s">
        <v>297</v>
      </c>
      <c r="S17" t="s">
        <v>297</v>
      </c>
      <c r="T17" t="n">
        <v>0.375</v>
      </c>
    </row>
    <row r="18">
      <c r="A18" t="s">
        <v>30</v>
      </c>
      <c r="B18" t="n">
        <v>1.25</v>
      </c>
      <c r="C18" t="n">
        <v>1.6</v>
      </c>
      <c r="D18" t="n">
        <v>1.6</v>
      </c>
      <c r="E18" t="n">
        <v>-2.5</v>
      </c>
      <c r="F18" t="n">
        <v>-1</v>
      </c>
      <c r="G18" t="n">
        <v>167</v>
      </c>
      <c r="H18" t="n">
        <v>12</v>
      </c>
      <c r="I18" t="s">
        <v>298</v>
      </c>
      <c r="J18" t="n">
        <v>0</v>
      </c>
      <c r="K18" t="n">
        <v>0</v>
      </c>
      <c r="L18" t="n">
        <v>0</v>
      </c>
      <c r="M18" t="n">
        <v>12</v>
      </c>
      <c r="N18" t="n">
        <v>0.25</v>
      </c>
      <c r="O18" t="n">
        <v>-0.25</v>
      </c>
      <c r="P18" t="n">
        <v>142</v>
      </c>
      <c r="Q18" t="n">
        <v>12</v>
      </c>
      <c r="R18" t="s">
        <v>299</v>
      </c>
      <c r="S18" t="s">
        <v>299</v>
      </c>
      <c r="T18" t="n">
        <v>0.125</v>
      </c>
    </row>
    <row r="19">
      <c r="A19" t="s">
        <v>30</v>
      </c>
      <c r="B19" t="n">
        <v>0.8</v>
      </c>
      <c r="C19"/>
      <c r="D19"/>
      <c r="E19" t="n">
        <v>-6</v>
      </c>
      <c r="F19" t="n">
        <v>-0.75</v>
      </c>
      <c r="G19" t="n">
        <v>116</v>
      </c>
      <c r="H19" t="n">
        <v>12</v>
      </c>
      <c r="I19" t="s">
        <v>296</v>
      </c>
      <c r="J19" t="n">
        <v>0</v>
      </c>
      <c r="K19" t="n">
        <v>0</v>
      </c>
      <c r="L19" t="n">
        <v>0</v>
      </c>
      <c r="M19" t="n">
        <v>12</v>
      </c>
      <c r="N19"/>
      <c r="O19"/>
      <c r="P19"/>
      <c r="Q19" t="n">
        <v>12</v>
      </c>
      <c r="R19" t="s">
        <v>109</v>
      </c>
      <c r="S19" t="s">
        <v>109</v>
      </c>
      <c r="T19"/>
    </row>
    <row r="20">
      <c r="A20" t="s">
        <v>30</v>
      </c>
      <c r="B20" t="n">
        <v>1</v>
      </c>
      <c r="C20"/>
      <c r="D20"/>
      <c r="E20" t="n">
        <v>-4</v>
      </c>
      <c r="F20" t="n">
        <v>-1</v>
      </c>
      <c r="G20" t="n">
        <v>59</v>
      </c>
      <c r="H20" t="n">
        <v>12</v>
      </c>
      <c r="I20" t="s">
        <v>297</v>
      </c>
      <c r="J20" t="n">
        <v>0</v>
      </c>
      <c r="K20" t="n">
        <v>0</v>
      </c>
      <c r="L20" t="n">
        <v>0</v>
      </c>
      <c r="M20" t="n">
        <v>12</v>
      </c>
      <c r="N20"/>
      <c r="O20"/>
      <c r="P20"/>
      <c r="Q20" t="n">
        <v>12</v>
      </c>
      <c r="R20" t="s">
        <v>109</v>
      </c>
      <c r="S20" t="s">
        <v>109</v>
      </c>
      <c r="T20"/>
    </row>
    <row r="21">
      <c r="A21" t="s">
        <v>30</v>
      </c>
      <c r="B21" t="n">
        <v>1.25</v>
      </c>
      <c r="C21"/>
      <c r="D21" t="n">
        <v>1.6</v>
      </c>
      <c r="E21" t="n">
        <v>-2.75</v>
      </c>
      <c r="F21" t="n">
        <v>-1</v>
      </c>
      <c r="G21" t="n">
        <v>83</v>
      </c>
      <c r="H21" t="n">
        <v>12</v>
      </c>
      <c r="I21" t="s">
        <v>298</v>
      </c>
      <c r="J21" t="n">
        <v>0</v>
      </c>
      <c r="K21" t="n">
        <v>0</v>
      </c>
      <c r="L21" t="n">
        <v>0</v>
      </c>
      <c r="M21" t="n">
        <v>12</v>
      </c>
      <c r="N21" t="n">
        <v>0.25</v>
      </c>
      <c r="O21" t="n">
        <v>-0.25</v>
      </c>
      <c r="P21" t="n">
        <v>165</v>
      </c>
      <c r="Q21" t="n">
        <v>12</v>
      </c>
      <c r="R21" t="s">
        <v>299</v>
      </c>
      <c r="S21" t="s">
        <v>109</v>
      </c>
      <c r="T21" t="n">
        <v>0.125</v>
      </c>
    </row>
    <row r="22">
      <c r="A22" t="s">
        <v>30</v>
      </c>
      <c r="B22" t="n">
        <v>1.25</v>
      </c>
      <c r="C22" t="n">
        <v>1.25</v>
      </c>
      <c r="D22" t="n">
        <v>1.25</v>
      </c>
      <c r="E22" t="n">
        <v>-2.25</v>
      </c>
      <c r="F22" t="n">
        <v>-1</v>
      </c>
      <c r="G22" t="n">
        <v>170</v>
      </c>
      <c r="H22" t="n">
        <v>12</v>
      </c>
      <c r="I22" t="s">
        <v>298</v>
      </c>
      <c r="J22" t="n">
        <v>0</v>
      </c>
      <c r="K22" t="n">
        <v>0</v>
      </c>
      <c r="L22" t="n">
        <v>0</v>
      </c>
      <c r="M22" t="n">
        <v>12</v>
      </c>
      <c r="N22" t="n">
        <v>0.25</v>
      </c>
      <c r="O22" t="n">
        <v>-0.25</v>
      </c>
      <c r="P22" t="n">
        <v>70</v>
      </c>
      <c r="Q22" t="n">
        <v>12</v>
      </c>
      <c r="R22" t="s">
        <v>298</v>
      </c>
      <c r="S22" t="s">
        <v>298</v>
      </c>
      <c r="T22" t="n">
        <v>0.125</v>
      </c>
    </row>
    <row r="23">
      <c r="A23" t="s">
        <v>30</v>
      </c>
      <c r="B23" t="n">
        <v>1</v>
      </c>
      <c r="C23" t="n">
        <v>1</v>
      </c>
      <c r="D23" t="n">
        <v>1</v>
      </c>
      <c r="E23" t="n">
        <v>-2</v>
      </c>
      <c r="F23" t="n">
        <v>-1.25</v>
      </c>
      <c r="G23" t="n">
        <v>170</v>
      </c>
      <c r="H23" t="n">
        <v>12</v>
      </c>
      <c r="I23" t="s">
        <v>297</v>
      </c>
      <c r="J23" t="n">
        <v>0</v>
      </c>
      <c r="K23" t="n">
        <v>0</v>
      </c>
      <c r="L23" t="n">
        <v>0</v>
      </c>
      <c r="M23" t="n">
        <v>12</v>
      </c>
      <c r="N23" t="n">
        <v>0.25</v>
      </c>
      <c r="O23" t="n">
        <v>-0.25</v>
      </c>
      <c r="P23" t="n">
        <v>108</v>
      </c>
      <c r="Q23" t="n">
        <v>12</v>
      </c>
      <c r="R23" t="s">
        <v>297</v>
      </c>
      <c r="S23" t="s">
        <v>297</v>
      </c>
      <c r="T23" t="n">
        <v>0.125</v>
      </c>
    </row>
    <row r="24">
      <c r="A24" t="s">
        <v>30</v>
      </c>
      <c r="B24" t="n">
        <v>1.25</v>
      </c>
      <c r="C24" t="n">
        <v>1.6</v>
      </c>
      <c r="D24" t="n">
        <v>1.6</v>
      </c>
      <c r="E24" t="n">
        <v>-4</v>
      </c>
      <c r="F24" t="n">
        <v>-0.5</v>
      </c>
      <c r="G24" t="n">
        <v>11</v>
      </c>
      <c r="H24" t="n">
        <v>12</v>
      </c>
      <c r="I24" t="s">
        <v>298</v>
      </c>
      <c r="J24" t="n">
        <v>0</v>
      </c>
      <c r="K24" t="n">
        <v>0</v>
      </c>
      <c r="L24" t="n">
        <v>0</v>
      </c>
      <c r="M24" t="n">
        <v>12</v>
      </c>
      <c r="N24" t="n">
        <v>0</v>
      </c>
      <c r="O24" t="n">
        <v>0</v>
      </c>
      <c r="P24" t="n">
        <v>111</v>
      </c>
      <c r="Q24" t="n">
        <v>12</v>
      </c>
      <c r="R24" t="s">
        <v>299</v>
      </c>
      <c r="S24" t="s">
        <v>299</v>
      </c>
      <c r="T24" t="n">
        <v>0</v>
      </c>
    </row>
    <row r="25">
      <c r="A25" t="s">
        <v>30</v>
      </c>
      <c r="B25" t="n">
        <v>1</v>
      </c>
      <c r="C25" t="n">
        <v>1</v>
      </c>
      <c r="D25" t="n">
        <v>1</v>
      </c>
      <c r="E25" t="n">
        <v>-4</v>
      </c>
      <c r="F25" t="n">
        <v>-2.5</v>
      </c>
      <c r="G25" t="n">
        <v>173</v>
      </c>
      <c r="H25" t="n">
        <v>12</v>
      </c>
      <c r="I25" t="s">
        <v>297</v>
      </c>
      <c r="J25" t="n">
        <v>0</v>
      </c>
      <c r="K25" t="n">
        <v>0</v>
      </c>
      <c r="L25" t="n">
        <v>0</v>
      </c>
      <c r="M25" t="n">
        <v>12</v>
      </c>
      <c r="N25" t="n">
        <v>0</v>
      </c>
      <c r="O25" t="n">
        <v>-0.25</v>
      </c>
      <c r="P25" t="n">
        <v>156</v>
      </c>
      <c r="Q25" t="n">
        <v>12</v>
      </c>
      <c r="R25" t="s">
        <v>297</v>
      </c>
      <c r="S25" t="s">
        <v>297</v>
      </c>
      <c r="T25" t="n">
        <v>-0.125</v>
      </c>
    </row>
    <row r="26">
      <c r="A26" t="s">
        <v>30</v>
      </c>
      <c r="B26" t="n">
        <v>1.25</v>
      </c>
      <c r="C26" t="n">
        <v>1</v>
      </c>
      <c r="D26" t="n">
        <v>1</v>
      </c>
      <c r="E26" t="n">
        <v>-3.75</v>
      </c>
      <c r="F26" t="n">
        <v>-1.5</v>
      </c>
      <c r="G26" t="n">
        <v>4</v>
      </c>
      <c r="H26" t="n">
        <v>12</v>
      </c>
      <c r="I26" t="s">
        <v>298</v>
      </c>
      <c r="J26" t="n">
        <v>0</v>
      </c>
      <c r="K26" t="n">
        <v>0</v>
      </c>
      <c r="L26" t="n">
        <v>0</v>
      </c>
      <c r="M26" t="n">
        <v>12</v>
      </c>
      <c r="N26" t="n">
        <v>-0.25</v>
      </c>
      <c r="O26" t="n">
        <v>0</v>
      </c>
      <c r="P26" t="n">
        <v>178</v>
      </c>
      <c r="Q26" t="n">
        <v>12</v>
      </c>
      <c r="R26" t="s">
        <v>297</v>
      </c>
      <c r="S26" t="s">
        <v>297</v>
      </c>
      <c r="T26" t="n">
        <v>-0.25</v>
      </c>
    </row>
    <row r="27">
      <c r="A27" t="s">
        <v>30</v>
      </c>
      <c r="B27" t="n">
        <v>0.8</v>
      </c>
      <c r="C27" t="n">
        <v>0.8</v>
      </c>
      <c r="D27" t="n">
        <v>0.8</v>
      </c>
      <c r="E27" t="n">
        <v>-8</v>
      </c>
      <c r="F27" t="n">
        <v>-1.25</v>
      </c>
      <c r="G27" t="n">
        <v>44</v>
      </c>
      <c r="H27" t="n">
        <v>12</v>
      </c>
      <c r="I27" t="s">
        <v>296</v>
      </c>
      <c r="J27" t="n">
        <v>0</v>
      </c>
      <c r="K27" t="n">
        <v>0</v>
      </c>
      <c r="L27" t="n">
        <v>0</v>
      </c>
      <c r="M27" t="n">
        <v>12</v>
      </c>
      <c r="N27" t="n">
        <v>0.75</v>
      </c>
      <c r="O27" t="n">
        <v>-0.5</v>
      </c>
      <c r="P27" t="n">
        <v>4</v>
      </c>
      <c r="Q27" t="n">
        <v>12</v>
      </c>
      <c r="R27" t="s">
        <v>296</v>
      </c>
      <c r="S27" t="s">
        <v>296</v>
      </c>
      <c r="T27" t="n">
        <v>0.5</v>
      </c>
    </row>
    <row r="28">
      <c r="A28" t="s">
        <v>30</v>
      </c>
      <c r="B28" t="n">
        <v>0.8</v>
      </c>
      <c r="C28" t="n">
        <v>0.8</v>
      </c>
      <c r="D28" t="n">
        <v>0.8</v>
      </c>
      <c r="E28" t="n">
        <v>-7.5</v>
      </c>
      <c r="F28" t="n">
        <v>-0.5</v>
      </c>
      <c r="G28" t="n">
        <v>142</v>
      </c>
      <c r="H28" t="n">
        <v>12</v>
      </c>
      <c r="I28" t="s">
        <v>296</v>
      </c>
      <c r="J28" t="n">
        <v>0</v>
      </c>
      <c r="K28" t="n">
        <v>0</v>
      </c>
      <c r="L28" t="n">
        <v>0</v>
      </c>
      <c r="M28" t="n">
        <v>12</v>
      </c>
      <c r="N28" t="n">
        <v>0</v>
      </c>
      <c r="O28" t="n">
        <v>-0.25</v>
      </c>
      <c r="P28" t="n">
        <v>175</v>
      </c>
      <c r="Q28" t="n">
        <v>12</v>
      </c>
      <c r="R28" t="s">
        <v>296</v>
      </c>
      <c r="S28" t="s">
        <v>296</v>
      </c>
      <c r="T28" t="n">
        <v>-0.125</v>
      </c>
    </row>
    <row r="29">
      <c r="A29" t="s">
        <v>30</v>
      </c>
      <c r="B29" t="n">
        <v>1</v>
      </c>
      <c r="C29" t="n">
        <v>1</v>
      </c>
      <c r="D29" t="n">
        <v>1.25</v>
      </c>
      <c r="E29" t="n">
        <v>-0.75</v>
      </c>
      <c r="F29" t="n">
        <v>-0.5</v>
      </c>
      <c r="G29" t="n">
        <v>11</v>
      </c>
      <c r="H29" t="n">
        <v>12</v>
      </c>
      <c r="I29" t="s">
        <v>297</v>
      </c>
      <c r="J29" t="n">
        <v>0</v>
      </c>
      <c r="K29" t="n">
        <v>0</v>
      </c>
      <c r="L29" t="n">
        <v>0</v>
      </c>
      <c r="M29" t="n">
        <v>12</v>
      </c>
      <c r="N29" t="n">
        <v>0.25</v>
      </c>
      <c r="O29" t="n">
        <v>-0.25</v>
      </c>
      <c r="P29" t="n">
        <v>120</v>
      </c>
      <c r="Q29" t="n">
        <v>12</v>
      </c>
      <c r="R29" t="s">
        <v>298</v>
      </c>
      <c r="S29" t="s">
        <v>297</v>
      </c>
      <c r="T29" t="n">
        <v>0.125</v>
      </c>
    </row>
    <row r="30">
      <c r="A30" t="s">
        <v>30</v>
      </c>
      <c r="B30" t="n">
        <v>1</v>
      </c>
      <c r="C30" t="n">
        <v>1</v>
      </c>
      <c r="D30" t="n">
        <v>1</v>
      </c>
      <c r="E30" t="n">
        <v>-0.75</v>
      </c>
      <c r="F30" t="n">
        <v>-2.25</v>
      </c>
      <c r="G30" t="n">
        <v>27</v>
      </c>
      <c r="H30" t="n">
        <v>12</v>
      </c>
      <c r="I30" t="s">
        <v>297</v>
      </c>
      <c r="J30" t="n">
        <v>0</v>
      </c>
      <c r="K30" t="n">
        <v>0</v>
      </c>
      <c r="L30" t="n">
        <v>0</v>
      </c>
      <c r="M30" t="n">
        <v>12</v>
      </c>
      <c r="N30" t="n">
        <v>0</v>
      </c>
      <c r="O30" t="n">
        <v>-0.25</v>
      </c>
      <c r="P30" t="n">
        <v>178</v>
      </c>
      <c r="Q30" t="n">
        <v>12</v>
      </c>
      <c r="R30" t="s">
        <v>297</v>
      </c>
      <c r="S30" t="s">
        <v>297</v>
      </c>
      <c r="T30" t="n">
        <v>-0.125</v>
      </c>
    </row>
    <row r="31">
      <c r="A31" t="s">
        <v>30</v>
      </c>
      <c r="B31" t="n">
        <v>1</v>
      </c>
      <c r="C31" t="n">
        <v>1.25</v>
      </c>
      <c r="D31" t="n">
        <v>1.25</v>
      </c>
      <c r="E31" t="n">
        <v>-7.25</v>
      </c>
      <c r="F31" t="n">
        <v>-0.75</v>
      </c>
      <c r="G31" t="n">
        <v>165</v>
      </c>
      <c r="H31" t="n">
        <v>12</v>
      </c>
      <c r="I31" t="s">
        <v>297</v>
      </c>
      <c r="J31" t="n">
        <v>0</v>
      </c>
      <c r="K31" t="n">
        <v>0</v>
      </c>
      <c r="L31" t="n">
        <v>0</v>
      </c>
      <c r="M31" t="n">
        <v>12</v>
      </c>
      <c r="N31" t="n">
        <v>0</v>
      </c>
      <c r="O31" t="n">
        <v>-0.25</v>
      </c>
      <c r="P31" t="n">
        <v>133</v>
      </c>
      <c r="Q31" t="n">
        <v>12</v>
      </c>
      <c r="R31" t="s">
        <v>298</v>
      </c>
      <c r="S31" t="s">
        <v>298</v>
      </c>
      <c r="T31" t="n">
        <v>-0.125</v>
      </c>
    </row>
    <row r="32">
      <c r="A32" t="s">
        <v>30</v>
      </c>
      <c r="B32" t="n">
        <v>1</v>
      </c>
      <c r="C32" t="n">
        <v>1.25</v>
      </c>
      <c r="D32" t="n">
        <v>1.25</v>
      </c>
      <c r="E32" t="n">
        <v>-4</v>
      </c>
      <c r="F32" t="n">
        <v>-1</v>
      </c>
      <c r="G32" t="n">
        <v>21</v>
      </c>
      <c r="H32" t="n">
        <v>12</v>
      </c>
      <c r="I32" t="s">
        <v>297</v>
      </c>
      <c r="J32" t="n">
        <v>0</v>
      </c>
      <c r="K32" t="n">
        <v>0</v>
      </c>
      <c r="L32" t="n">
        <v>0</v>
      </c>
      <c r="M32" t="n">
        <v>12</v>
      </c>
      <c r="N32" t="n">
        <v>0.5</v>
      </c>
      <c r="O32" t="n">
        <v>-0.5</v>
      </c>
      <c r="P32" t="n">
        <v>156</v>
      </c>
      <c r="Q32" t="n">
        <v>12</v>
      </c>
      <c r="R32" t="s">
        <v>298</v>
      </c>
      <c r="S32" t="s">
        <v>298</v>
      </c>
      <c r="T32" t="n">
        <v>0.25</v>
      </c>
    </row>
    <row r="33">
      <c r="A33" t="s">
        <v>30</v>
      </c>
      <c r="B33" t="n">
        <v>1</v>
      </c>
      <c r="C33"/>
      <c r="D33"/>
      <c r="E33" t="n">
        <v>-3</v>
      </c>
      <c r="F33" t="n">
        <v>-0.75</v>
      </c>
      <c r="G33" t="n">
        <v>9</v>
      </c>
      <c r="H33" t="n">
        <v>12</v>
      </c>
      <c r="I33" t="s">
        <v>297</v>
      </c>
      <c r="J33" t="n">
        <v>0</v>
      </c>
      <c r="K33" t="n">
        <v>0</v>
      </c>
      <c r="L33" t="n">
        <v>0</v>
      </c>
      <c r="M33" t="n">
        <v>12</v>
      </c>
      <c r="N33"/>
      <c r="O33"/>
      <c r="P33"/>
      <c r="Q33" t="n">
        <v>12</v>
      </c>
      <c r="R33" t="s">
        <v>109</v>
      </c>
      <c r="S33" t="s">
        <v>109</v>
      </c>
      <c r="T33"/>
    </row>
    <row r="34">
      <c r="A34" t="s">
        <v>30</v>
      </c>
      <c r="B34" t="n">
        <v>1</v>
      </c>
      <c r="C34" t="n">
        <v>1.25</v>
      </c>
      <c r="D34" t="n">
        <v>1.25</v>
      </c>
      <c r="E34" t="n">
        <v>-3.75</v>
      </c>
      <c r="F34" t="n">
        <v>-0.5</v>
      </c>
      <c r="G34" t="n">
        <v>174</v>
      </c>
      <c r="H34" t="n">
        <v>12</v>
      </c>
      <c r="I34" t="s">
        <v>297</v>
      </c>
      <c r="J34" t="n">
        <v>0</v>
      </c>
      <c r="K34" t="n">
        <v>0</v>
      </c>
      <c r="L34" t="n">
        <v>0</v>
      </c>
      <c r="M34" t="n">
        <v>12</v>
      </c>
      <c r="N34" t="n">
        <v>0.25</v>
      </c>
      <c r="O34" t="n">
        <v>0</v>
      </c>
      <c r="P34" t="n">
        <v>51</v>
      </c>
      <c r="Q34" t="n">
        <v>12</v>
      </c>
      <c r="R34" t="s">
        <v>298</v>
      </c>
      <c r="S34" t="s">
        <v>298</v>
      </c>
      <c r="T34" t="n">
        <v>0.25</v>
      </c>
    </row>
    <row r="35">
      <c r="A35" t="s">
        <v>30</v>
      </c>
      <c r="B35" t="n">
        <v>1.25</v>
      </c>
      <c r="C35" t="n">
        <v>1.25</v>
      </c>
      <c r="D35" t="n">
        <v>1.25</v>
      </c>
      <c r="E35" t="n">
        <v>-4</v>
      </c>
      <c r="F35" t="n">
        <v>-0.75</v>
      </c>
      <c r="G35" t="n">
        <v>171</v>
      </c>
      <c r="H35" t="n">
        <v>12</v>
      </c>
      <c r="I35" t="s">
        <v>298</v>
      </c>
      <c r="J35" t="n">
        <v>0</v>
      </c>
      <c r="K35" t="n">
        <v>0</v>
      </c>
      <c r="L35" t="n">
        <v>0</v>
      </c>
      <c r="M35" t="n">
        <v>12</v>
      </c>
      <c r="N35" t="n">
        <v>0</v>
      </c>
      <c r="O35" t="n">
        <v>-0.25</v>
      </c>
      <c r="P35" t="n">
        <v>2</v>
      </c>
      <c r="Q35" t="n">
        <v>12</v>
      </c>
      <c r="R35" t="s">
        <v>298</v>
      </c>
      <c r="S35" t="s">
        <v>298</v>
      </c>
      <c r="T35" t="n">
        <v>-0.125</v>
      </c>
    </row>
    <row r="36">
      <c r="A36" t="s">
        <v>30</v>
      </c>
      <c r="B36" t="n">
        <v>1</v>
      </c>
      <c r="C36" t="n">
        <v>1.25</v>
      </c>
      <c r="D36" t="n">
        <v>1.6</v>
      </c>
      <c r="E36" t="n">
        <v>-5.5</v>
      </c>
      <c r="F36" t="n">
        <v>-1</v>
      </c>
      <c r="G36" t="n">
        <v>156</v>
      </c>
      <c r="H36" t="n">
        <v>12</v>
      </c>
      <c r="I36" t="s">
        <v>297</v>
      </c>
      <c r="J36" t="n">
        <v>0</v>
      </c>
      <c r="K36" t="n">
        <v>0</v>
      </c>
      <c r="L36" t="n">
        <v>0</v>
      </c>
      <c r="M36" t="n">
        <v>12</v>
      </c>
      <c r="N36" t="n">
        <v>0.5</v>
      </c>
      <c r="O36" t="n">
        <v>-0.5</v>
      </c>
      <c r="P36" t="n">
        <v>126</v>
      </c>
      <c r="Q36" t="n">
        <v>12</v>
      </c>
      <c r="R36" t="s">
        <v>299</v>
      </c>
      <c r="S36" t="s">
        <v>298</v>
      </c>
      <c r="T36" t="n">
        <v>0.25</v>
      </c>
    </row>
    <row r="37">
      <c r="A37" t="s">
        <v>30</v>
      </c>
      <c r="B37" t="n">
        <v>1.25</v>
      </c>
      <c r="C37" t="n">
        <v>1.6</v>
      </c>
      <c r="D37" t="n">
        <v>1.6</v>
      </c>
      <c r="E37" t="n">
        <v>-5.75</v>
      </c>
      <c r="F37" t="n">
        <v>-1.25</v>
      </c>
      <c r="G37" t="n">
        <v>7</v>
      </c>
      <c r="H37" t="n">
        <v>12</v>
      </c>
      <c r="I37" t="s">
        <v>298</v>
      </c>
      <c r="J37" t="n">
        <v>0</v>
      </c>
      <c r="K37" t="n">
        <v>0</v>
      </c>
      <c r="L37" t="n">
        <v>0</v>
      </c>
      <c r="M37" t="n">
        <v>12</v>
      </c>
      <c r="N37" t="n">
        <v>0.25</v>
      </c>
      <c r="O37" t="n">
        <v>-0.25</v>
      </c>
      <c r="P37" t="n">
        <v>35</v>
      </c>
      <c r="Q37" t="n">
        <v>12</v>
      </c>
      <c r="R37" t="s">
        <v>299</v>
      </c>
      <c r="S37" t="s">
        <v>299</v>
      </c>
      <c r="T37" t="n">
        <v>0.125</v>
      </c>
    </row>
    <row r="38">
      <c r="A38" t="s">
        <v>30</v>
      </c>
      <c r="B38" t="n">
        <v>1</v>
      </c>
      <c r="C38" t="n">
        <v>1.25</v>
      </c>
      <c r="D38" t="n">
        <v>1.25</v>
      </c>
      <c r="E38" t="n">
        <v>-1</v>
      </c>
      <c r="F38" t="n">
        <v>-0.5</v>
      </c>
      <c r="G38" t="n">
        <v>176</v>
      </c>
      <c r="H38" t="n">
        <v>12</v>
      </c>
      <c r="I38" t="s">
        <v>297</v>
      </c>
      <c r="J38" t="n">
        <v>0</v>
      </c>
      <c r="K38" t="n">
        <v>0</v>
      </c>
      <c r="L38" t="n">
        <v>0</v>
      </c>
      <c r="M38" t="n">
        <v>12</v>
      </c>
      <c r="N38" t="n">
        <v>0.5</v>
      </c>
      <c r="O38" t="n">
        <v>-0.25</v>
      </c>
      <c r="P38" t="n">
        <v>123</v>
      </c>
      <c r="Q38" t="n">
        <v>12</v>
      </c>
      <c r="R38" t="s">
        <v>298</v>
      </c>
      <c r="S38" t="s">
        <v>298</v>
      </c>
      <c r="T38" t="n">
        <v>0.375</v>
      </c>
    </row>
    <row r="39">
      <c r="A39" t="s">
        <v>30</v>
      </c>
      <c r="B39" t="n">
        <v>1.25</v>
      </c>
      <c r="C39" t="n">
        <v>1.25</v>
      </c>
      <c r="D39" t="n">
        <v>1.25</v>
      </c>
      <c r="E39" t="n">
        <v>-2.5</v>
      </c>
      <c r="F39" t="n">
        <v>-1</v>
      </c>
      <c r="G39" t="n">
        <v>100</v>
      </c>
      <c r="H39" t="n">
        <v>12</v>
      </c>
      <c r="I39" t="s">
        <v>298</v>
      </c>
      <c r="J39" t="n">
        <v>0</v>
      </c>
      <c r="K39" t="n">
        <v>0</v>
      </c>
      <c r="L39" t="n">
        <v>0</v>
      </c>
      <c r="M39" t="n">
        <v>12</v>
      </c>
      <c r="N39" t="n">
        <v>0.25</v>
      </c>
      <c r="O39" t="n">
        <v>-0.25</v>
      </c>
      <c r="P39" t="n">
        <v>161</v>
      </c>
      <c r="Q39" t="n">
        <v>12</v>
      </c>
      <c r="R39" t="s">
        <v>298</v>
      </c>
      <c r="S39" t="s">
        <v>298</v>
      </c>
      <c r="T39" t="n">
        <v>0.125</v>
      </c>
    </row>
    <row r="40">
      <c r="A40" t="s">
        <v>30</v>
      </c>
      <c r="B40" t="n">
        <v>1.25</v>
      </c>
      <c r="C40" t="n">
        <v>1.25</v>
      </c>
      <c r="D40" t="n">
        <v>1.25</v>
      </c>
      <c r="E40" t="n">
        <v>-4</v>
      </c>
      <c r="F40" t="n">
        <v>-0.75</v>
      </c>
      <c r="G40" t="n">
        <v>86</v>
      </c>
      <c r="H40" t="n">
        <v>12</v>
      </c>
      <c r="I40" t="s">
        <v>298</v>
      </c>
      <c r="J40" t="n">
        <v>0</v>
      </c>
      <c r="K40" t="n">
        <v>0</v>
      </c>
      <c r="L40" t="n">
        <v>0</v>
      </c>
      <c r="M40" t="n">
        <v>12</v>
      </c>
      <c r="N40" t="n">
        <v>-0.25</v>
      </c>
      <c r="O40" t="n">
        <v>0</v>
      </c>
      <c r="P40" t="n">
        <v>52</v>
      </c>
      <c r="Q40" t="n">
        <v>12</v>
      </c>
      <c r="R40" t="s">
        <v>298</v>
      </c>
      <c r="S40" t="s">
        <v>298</v>
      </c>
      <c r="T40" t="n">
        <v>-0.25</v>
      </c>
    </row>
    <row r="41">
      <c r="A41" t="s">
        <v>30</v>
      </c>
      <c r="B41" t="n">
        <v>1</v>
      </c>
      <c r="C41"/>
      <c r="D41"/>
      <c r="E41" t="n">
        <v>-4.5</v>
      </c>
      <c r="F41" t="n">
        <v>-0.75</v>
      </c>
      <c r="G41" t="n">
        <v>177</v>
      </c>
      <c r="H41" t="n">
        <v>12</v>
      </c>
      <c r="I41" t="s">
        <v>297</v>
      </c>
      <c r="J41" t="n">
        <v>0</v>
      </c>
      <c r="K41" t="n">
        <v>0</v>
      </c>
      <c r="L41" t="n">
        <v>0</v>
      </c>
      <c r="M41" t="n">
        <v>12</v>
      </c>
      <c r="N41"/>
      <c r="O41"/>
      <c r="P41"/>
      <c r="Q41" t="n">
        <v>12</v>
      </c>
      <c r="R41" t="s">
        <v>109</v>
      </c>
      <c r="S41" t="s">
        <v>109</v>
      </c>
      <c r="T41"/>
    </row>
    <row r="42">
      <c r="A42" t="s">
        <v>30</v>
      </c>
      <c r="B42" t="n">
        <v>1.25</v>
      </c>
      <c r="C42" t="n">
        <v>1.25</v>
      </c>
      <c r="D42" t="n">
        <v>1.25</v>
      </c>
      <c r="E42" t="n">
        <v>-5.25</v>
      </c>
      <c r="F42" t="n">
        <v>-1.25</v>
      </c>
      <c r="G42" t="n">
        <v>179</v>
      </c>
      <c r="H42" t="n">
        <v>12</v>
      </c>
      <c r="I42" t="s">
        <v>298</v>
      </c>
      <c r="J42" t="n">
        <v>0</v>
      </c>
      <c r="K42" t="n">
        <v>0</v>
      </c>
      <c r="L42" t="n">
        <v>0</v>
      </c>
      <c r="M42" t="n">
        <v>12</v>
      </c>
      <c r="N42" t="n">
        <v>0</v>
      </c>
      <c r="O42" t="n">
        <v>-0.25</v>
      </c>
      <c r="P42" t="n">
        <v>16</v>
      </c>
      <c r="Q42" t="n">
        <v>12</v>
      </c>
      <c r="R42" t="s">
        <v>298</v>
      </c>
      <c r="S42" t="s">
        <v>298</v>
      </c>
      <c r="T42" t="n">
        <v>-0.125</v>
      </c>
    </row>
    <row r="43">
      <c r="A43" t="s">
        <v>30</v>
      </c>
      <c r="B43" t="n">
        <v>1.25</v>
      </c>
      <c r="C43" t="n">
        <v>1.6</v>
      </c>
      <c r="D43" t="n">
        <v>1.6</v>
      </c>
      <c r="E43" t="n">
        <v>-3.25</v>
      </c>
      <c r="F43" t="n">
        <v>-0.5</v>
      </c>
      <c r="G43" t="n">
        <v>18</v>
      </c>
      <c r="H43" t="n">
        <v>12</v>
      </c>
      <c r="I43" t="s">
        <v>298</v>
      </c>
      <c r="J43" t="n">
        <v>0</v>
      </c>
      <c r="K43" t="n">
        <v>0</v>
      </c>
      <c r="L43" t="n">
        <v>0</v>
      </c>
      <c r="M43" t="n">
        <v>12</v>
      </c>
      <c r="N43" t="n">
        <v>0.25</v>
      </c>
      <c r="O43" t="n">
        <v>-0.25</v>
      </c>
      <c r="P43" t="n">
        <v>141</v>
      </c>
      <c r="Q43" t="n">
        <v>12</v>
      </c>
      <c r="R43" t="s">
        <v>299</v>
      </c>
      <c r="S43" t="s">
        <v>299</v>
      </c>
      <c r="T43" t="n">
        <v>0.125</v>
      </c>
    </row>
    <row r="44">
      <c r="A44" t="s">
        <v>30</v>
      </c>
      <c r="B44" t="n">
        <v>1.25</v>
      </c>
      <c r="C44" t="n">
        <v>1.25</v>
      </c>
      <c r="D44" t="n">
        <v>1.25</v>
      </c>
      <c r="E44" t="n">
        <v>-3.75</v>
      </c>
      <c r="F44" t="n">
        <v>-1</v>
      </c>
      <c r="G44" t="n">
        <v>162</v>
      </c>
      <c r="H44" t="n">
        <v>12</v>
      </c>
      <c r="I44" t="s">
        <v>298</v>
      </c>
      <c r="J44" t="n">
        <v>0</v>
      </c>
      <c r="K44" t="n">
        <v>0</v>
      </c>
      <c r="L44" t="n">
        <v>0</v>
      </c>
      <c r="M44" t="n">
        <v>12</v>
      </c>
      <c r="N44" t="n">
        <v>0</v>
      </c>
      <c r="O44" t="n">
        <v>0</v>
      </c>
      <c r="P44" t="n">
        <v>45</v>
      </c>
      <c r="Q44" t="n">
        <v>12</v>
      </c>
      <c r="R44" t="s">
        <v>298</v>
      </c>
      <c r="S44" t="s">
        <v>298</v>
      </c>
      <c r="T44" t="n">
        <v>0</v>
      </c>
    </row>
    <row r="45">
      <c r="A45" t="s">
        <v>30</v>
      </c>
      <c r="B45" t="n">
        <v>1.25</v>
      </c>
      <c r="C45"/>
      <c r="D45"/>
      <c r="E45" t="n">
        <v>-2.5</v>
      </c>
      <c r="F45" t="n">
        <v>-0.25</v>
      </c>
      <c r="G45" t="n">
        <v>36</v>
      </c>
      <c r="H45" t="n">
        <v>12</v>
      </c>
      <c r="I45" t="s">
        <v>298</v>
      </c>
      <c r="J45" t="n">
        <v>0</v>
      </c>
      <c r="K45" t="n">
        <v>0</v>
      </c>
      <c r="L45" t="n">
        <v>0</v>
      </c>
      <c r="M45" t="n">
        <v>12</v>
      </c>
      <c r="N45"/>
      <c r="O45"/>
      <c r="P45"/>
      <c r="Q45" t="n">
        <v>12</v>
      </c>
      <c r="R45" t="s">
        <v>109</v>
      </c>
      <c r="S45" t="s">
        <v>109</v>
      </c>
      <c r="T45"/>
    </row>
    <row r="46">
      <c r="A46" t="s">
        <v>30</v>
      </c>
      <c r="B46" t="n">
        <v>1</v>
      </c>
      <c r="C46"/>
      <c r="D46"/>
      <c r="E46" t="n">
        <v>-3</v>
      </c>
      <c r="F46" t="n">
        <v>-0.5</v>
      </c>
      <c r="G46" t="n">
        <v>145</v>
      </c>
      <c r="H46" t="n">
        <v>12</v>
      </c>
      <c r="I46" t="s">
        <v>297</v>
      </c>
      <c r="J46" t="n">
        <v>0</v>
      </c>
      <c r="K46" t="n">
        <v>0</v>
      </c>
      <c r="L46" t="n">
        <v>0</v>
      </c>
      <c r="M46" t="n">
        <v>12</v>
      </c>
      <c r="N46"/>
      <c r="O46"/>
      <c r="P46"/>
      <c r="Q46" t="n">
        <v>12</v>
      </c>
      <c r="R46" t="s">
        <v>109</v>
      </c>
      <c r="S46" t="s">
        <v>109</v>
      </c>
      <c r="T46"/>
    </row>
    <row r="47">
      <c r="A47" t="s">
        <v>30</v>
      </c>
      <c r="B47" t="n">
        <v>1</v>
      </c>
      <c r="C47" t="n">
        <v>0.63</v>
      </c>
      <c r="D47" t="n">
        <v>0.8</v>
      </c>
      <c r="E47" t="n">
        <v>-1</v>
      </c>
      <c r="F47" t="n">
        <v>-1.75</v>
      </c>
      <c r="G47" t="n">
        <v>179</v>
      </c>
      <c r="H47" t="n">
        <v>12</v>
      </c>
      <c r="I47" t="s">
        <v>297</v>
      </c>
      <c r="J47" t="n">
        <v>-0.5</v>
      </c>
      <c r="K47" t="n">
        <v>0</v>
      </c>
      <c r="L47" t="n">
        <v>0</v>
      </c>
      <c r="M47" t="n">
        <v>12</v>
      </c>
      <c r="N47" t="n">
        <v>-0.25</v>
      </c>
      <c r="O47" t="n">
        <v>-0.5</v>
      </c>
      <c r="P47" t="n">
        <v>127</v>
      </c>
      <c r="Q47" t="n">
        <v>12</v>
      </c>
      <c r="R47" t="s">
        <v>296</v>
      </c>
      <c r="S47" t="s">
        <v>301</v>
      </c>
      <c r="T47" t="n">
        <v>-0.5</v>
      </c>
    </row>
    <row r="48">
      <c r="A48" t="s">
        <v>30</v>
      </c>
      <c r="B48" t="n">
        <v>1</v>
      </c>
      <c r="C48" t="n">
        <v>1</v>
      </c>
      <c r="D48" t="n">
        <v>1</v>
      </c>
      <c r="E48" t="n">
        <v>-2.5</v>
      </c>
      <c r="F48" t="n">
        <v>-2</v>
      </c>
      <c r="G48" t="n">
        <v>1</v>
      </c>
      <c r="H48" t="n">
        <v>12</v>
      </c>
      <c r="I48" t="s">
        <v>297</v>
      </c>
      <c r="J48" t="n">
        <v>0</v>
      </c>
      <c r="K48" t="n">
        <v>0</v>
      </c>
      <c r="L48" t="n">
        <v>0</v>
      </c>
      <c r="M48" t="n">
        <v>12</v>
      </c>
      <c r="N48" t="n">
        <v>0</v>
      </c>
      <c r="O48" t="n">
        <v>-0.25</v>
      </c>
      <c r="P48" t="n">
        <v>71</v>
      </c>
      <c r="Q48" t="n">
        <v>12</v>
      </c>
      <c r="R48" t="s">
        <v>297</v>
      </c>
      <c r="S48" t="s">
        <v>297</v>
      </c>
      <c r="T48" t="n">
        <v>-0.125</v>
      </c>
    </row>
    <row r="49">
      <c r="A49" t="s">
        <v>30</v>
      </c>
      <c r="B49" t="n">
        <v>0.8</v>
      </c>
      <c r="C49" t="n">
        <v>0.8</v>
      </c>
      <c r="D49" t="n">
        <v>0.8</v>
      </c>
      <c r="E49" t="n">
        <v>-3.5</v>
      </c>
      <c r="F49" t="n">
        <v>-1</v>
      </c>
      <c r="G49" t="n">
        <v>12</v>
      </c>
      <c r="H49" t="n">
        <v>12</v>
      </c>
      <c r="I49" t="s">
        <v>296</v>
      </c>
      <c r="J49" t="n">
        <v>0</v>
      </c>
      <c r="K49" t="n">
        <v>0</v>
      </c>
      <c r="L49" t="n">
        <v>0</v>
      </c>
      <c r="M49" t="n">
        <v>12</v>
      </c>
      <c r="N49" t="n">
        <v>0.5</v>
      </c>
      <c r="O49" t="n">
        <v>-0.25</v>
      </c>
      <c r="P49" t="n">
        <v>31</v>
      </c>
      <c r="Q49" t="n">
        <v>12</v>
      </c>
      <c r="R49" t="s">
        <v>296</v>
      </c>
      <c r="S49" t="s">
        <v>296</v>
      </c>
      <c r="T49" t="n">
        <v>0.375</v>
      </c>
    </row>
    <row r="50">
      <c r="A50" t="s">
        <v>30</v>
      </c>
      <c r="B50" t="n">
        <v>0.8</v>
      </c>
      <c r="C50" t="n">
        <v>0.63</v>
      </c>
      <c r="D50" t="n">
        <v>0.8</v>
      </c>
      <c r="E50" t="n">
        <v>-5.75</v>
      </c>
      <c r="F50" t="n">
        <v>-1</v>
      </c>
      <c r="G50" t="n">
        <v>174</v>
      </c>
      <c r="H50" t="n">
        <v>12</v>
      </c>
      <c r="I50" t="s">
        <v>296</v>
      </c>
      <c r="J50" t="n">
        <v>0</v>
      </c>
      <c r="K50" t="n">
        <v>0</v>
      </c>
      <c r="L50" t="n">
        <v>0</v>
      </c>
      <c r="M50" t="n">
        <v>12</v>
      </c>
      <c r="N50" t="n">
        <v>-0.25</v>
      </c>
      <c r="O50" t="n">
        <v>-0.25</v>
      </c>
      <c r="P50" t="n">
        <v>127</v>
      </c>
      <c r="Q50" t="n">
        <v>12</v>
      </c>
      <c r="R50" t="s">
        <v>296</v>
      </c>
      <c r="S50" t="s">
        <v>301</v>
      </c>
      <c r="T50" t="n">
        <v>-0.375</v>
      </c>
    </row>
    <row r="51">
      <c r="A51" t="s">
        <v>30</v>
      </c>
      <c r="B51" t="n">
        <v>0.8</v>
      </c>
      <c r="C51"/>
      <c r="D51"/>
      <c r="E51" t="n">
        <v>-3</v>
      </c>
      <c r="F51" t="n">
        <v>-0.75</v>
      </c>
      <c r="G51" t="n">
        <v>172</v>
      </c>
      <c r="H51" t="n">
        <v>12</v>
      </c>
      <c r="I51" t="s">
        <v>296</v>
      </c>
      <c r="J51" t="n">
        <v>0</v>
      </c>
      <c r="K51" t="n">
        <v>0</v>
      </c>
      <c r="L51" t="n">
        <v>0</v>
      </c>
      <c r="M51" t="n">
        <v>12</v>
      </c>
      <c r="N51"/>
      <c r="O51"/>
      <c r="P51"/>
      <c r="Q51" t="n">
        <v>12</v>
      </c>
      <c r="R51" t="s">
        <v>109</v>
      </c>
      <c r="S51" t="s">
        <v>109</v>
      </c>
      <c r="T51"/>
    </row>
    <row r="52">
      <c r="A52" t="s">
        <v>30</v>
      </c>
      <c r="B52" t="n">
        <v>1</v>
      </c>
      <c r="C52" t="n">
        <v>1</v>
      </c>
      <c r="D52" t="n">
        <v>1</v>
      </c>
      <c r="E52" t="n">
        <v>-2</v>
      </c>
      <c r="F52" t="n">
        <v>-1</v>
      </c>
      <c r="G52" t="n">
        <v>178</v>
      </c>
      <c r="H52" t="n">
        <v>12</v>
      </c>
      <c r="I52" t="s">
        <v>297</v>
      </c>
      <c r="J52" t="n">
        <v>0</v>
      </c>
      <c r="K52" t="n">
        <v>0</v>
      </c>
      <c r="L52" t="n">
        <v>0</v>
      </c>
      <c r="M52" t="n">
        <v>12</v>
      </c>
      <c r="N52" t="n">
        <v>0</v>
      </c>
      <c r="O52" t="n">
        <v>-0.25</v>
      </c>
      <c r="P52" t="n">
        <v>84</v>
      </c>
      <c r="Q52" t="n">
        <v>12</v>
      </c>
      <c r="R52" t="s">
        <v>297</v>
      </c>
      <c r="S52" t="s">
        <v>297</v>
      </c>
      <c r="T52" t="n">
        <v>-0.125</v>
      </c>
    </row>
    <row r="53">
      <c r="A53" t="s">
        <v>30</v>
      </c>
      <c r="B53" t="n">
        <v>1.25</v>
      </c>
      <c r="C53" t="n">
        <v>1.25</v>
      </c>
      <c r="D53" t="n">
        <v>1.6</v>
      </c>
      <c r="E53" t="n">
        <v>-5.75</v>
      </c>
      <c r="F53" t="n">
        <v>-0.5</v>
      </c>
      <c r="G53" t="n">
        <v>41</v>
      </c>
      <c r="H53" t="n">
        <v>12</v>
      </c>
      <c r="I53" t="s">
        <v>298</v>
      </c>
      <c r="J53" t="n">
        <v>0</v>
      </c>
      <c r="K53" t="n">
        <v>0</v>
      </c>
      <c r="L53" t="n">
        <v>0</v>
      </c>
      <c r="M53" t="n">
        <v>12</v>
      </c>
      <c r="N53" t="n">
        <v>-0.25</v>
      </c>
      <c r="O53" t="n">
        <v>0</v>
      </c>
      <c r="P53" t="n">
        <v>82</v>
      </c>
      <c r="Q53" t="n">
        <v>12</v>
      </c>
      <c r="R53" t="s">
        <v>299</v>
      </c>
      <c r="S53" t="s">
        <v>298</v>
      </c>
      <c r="T53" t="n">
        <v>-0.25</v>
      </c>
    </row>
    <row r="54">
      <c r="A54" t="s">
        <v>30</v>
      </c>
      <c r="B54" t="n">
        <v>1</v>
      </c>
      <c r="C54" t="n">
        <v>1</v>
      </c>
      <c r="D54" t="n">
        <v>1</v>
      </c>
      <c r="E54" t="n">
        <v>-5.5</v>
      </c>
      <c r="F54" t="n">
        <v>-0.75</v>
      </c>
      <c r="G54" t="n">
        <v>100</v>
      </c>
      <c r="H54" t="n">
        <v>12</v>
      </c>
      <c r="I54" t="s">
        <v>297</v>
      </c>
      <c r="J54" t="n">
        <v>0</v>
      </c>
      <c r="K54" t="n">
        <v>0</v>
      </c>
      <c r="L54" t="n">
        <v>0</v>
      </c>
      <c r="M54" t="n">
        <v>12</v>
      </c>
      <c r="N54" t="n">
        <v>0.5</v>
      </c>
      <c r="O54" t="n">
        <v>0</v>
      </c>
      <c r="P54" t="n">
        <v>166</v>
      </c>
      <c r="Q54" t="n">
        <v>12</v>
      </c>
      <c r="R54" t="s">
        <v>297</v>
      </c>
      <c r="S54" t="s">
        <v>297</v>
      </c>
      <c r="T54" t="n">
        <v>0.5</v>
      </c>
    </row>
    <row r="55">
      <c r="A55" t="s">
        <v>30</v>
      </c>
      <c r="B55" t="n">
        <v>1</v>
      </c>
      <c r="C55" t="n">
        <v>1</v>
      </c>
      <c r="D55" t="n">
        <v>1</v>
      </c>
      <c r="E55" t="n">
        <v>-5.5</v>
      </c>
      <c r="F55" t="n">
        <v>-0.5</v>
      </c>
      <c r="G55" t="n">
        <v>96</v>
      </c>
      <c r="H55" t="n">
        <v>12</v>
      </c>
      <c r="I55" t="s">
        <v>297</v>
      </c>
      <c r="J55" t="n">
        <v>0</v>
      </c>
      <c r="K55" t="n">
        <v>0</v>
      </c>
      <c r="L55" t="n">
        <v>0</v>
      </c>
      <c r="M55" t="n">
        <v>12</v>
      </c>
      <c r="N55" t="n">
        <v>0.25</v>
      </c>
      <c r="O55" t="n">
        <v>0</v>
      </c>
      <c r="P55" t="n">
        <v>6</v>
      </c>
      <c r="Q55" t="n">
        <v>12</v>
      </c>
      <c r="R55" t="s">
        <v>297</v>
      </c>
      <c r="S55" t="s">
        <v>297</v>
      </c>
      <c r="T55" t="n">
        <v>0.25</v>
      </c>
    </row>
    <row r="56">
      <c r="A56" t="s">
        <v>30</v>
      </c>
      <c r="B56" t="n">
        <v>1</v>
      </c>
      <c r="C56" t="n">
        <v>1.25</v>
      </c>
      <c r="D56" t="n">
        <v>1.25</v>
      </c>
      <c r="E56" t="n">
        <v>-0.25</v>
      </c>
      <c r="F56" t="n">
        <v>-2</v>
      </c>
      <c r="G56" t="n">
        <v>23</v>
      </c>
      <c r="H56" t="n">
        <v>12</v>
      </c>
      <c r="I56" t="s">
        <v>297</v>
      </c>
      <c r="J56" t="n">
        <v>0</v>
      </c>
      <c r="K56" t="n">
        <v>0</v>
      </c>
      <c r="L56" t="n">
        <v>0</v>
      </c>
      <c r="M56" t="n">
        <v>12</v>
      </c>
      <c r="N56" t="n">
        <v>1</v>
      </c>
      <c r="O56" t="n">
        <v>-0.75</v>
      </c>
      <c r="P56" t="n">
        <v>42</v>
      </c>
      <c r="Q56" t="n">
        <v>12</v>
      </c>
      <c r="R56" t="s">
        <v>298</v>
      </c>
      <c r="S56" t="s">
        <v>298</v>
      </c>
      <c r="T56" t="n">
        <v>0.625</v>
      </c>
    </row>
    <row r="57">
      <c r="A57" t="s">
        <v>30</v>
      </c>
      <c r="B57" t="n">
        <v>1.6</v>
      </c>
      <c r="C57" t="n">
        <v>1.25</v>
      </c>
      <c r="D57" t="n">
        <v>1.6</v>
      </c>
      <c r="E57" t="n">
        <v>-1</v>
      </c>
      <c r="F57" t="n">
        <v>-0.75</v>
      </c>
      <c r="G57" t="n">
        <v>4</v>
      </c>
      <c r="H57" t="n">
        <v>12</v>
      </c>
      <c r="I57" t="s">
        <v>299</v>
      </c>
      <c r="J57" t="n">
        <v>0</v>
      </c>
      <c r="K57" t="n">
        <v>0</v>
      </c>
      <c r="L57" t="n">
        <v>0</v>
      </c>
      <c r="M57" t="n">
        <v>12</v>
      </c>
      <c r="N57" t="n">
        <v>-0.5</v>
      </c>
      <c r="O57" t="n">
        <v>0</v>
      </c>
      <c r="P57" t="n">
        <v>130</v>
      </c>
      <c r="Q57" t="n">
        <v>12</v>
      </c>
      <c r="R57" t="s">
        <v>299</v>
      </c>
      <c r="S57" t="s">
        <v>298</v>
      </c>
      <c r="T57" t="n">
        <v>-0.5</v>
      </c>
    </row>
    <row r="58">
      <c r="A58" t="s">
        <v>30</v>
      </c>
      <c r="B58" t="n">
        <v>1.25</v>
      </c>
      <c r="C58" t="n">
        <v>1.25</v>
      </c>
      <c r="D58" t="n">
        <v>1.6</v>
      </c>
      <c r="E58" t="n">
        <v>-1.5</v>
      </c>
      <c r="F58" t="n">
        <v>-1.25</v>
      </c>
      <c r="G58" t="n">
        <v>2</v>
      </c>
      <c r="H58" t="n">
        <v>12</v>
      </c>
      <c r="I58" t="s">
        <v>298</v>
      </c>
      <c r="J58" t="n">
        <v>0</v>
      </c>
      <c r="K58" t="n">
        <v>0</v>
      </c>
      <c r="L58" t="n">
        <v>0</v>
      </c>
      <c r="M58" t="n">
        <v>12</v>
      </c>
      <c r="N58" t="n">
        <v>-0.25</v>
      </c>
      <c r="O58" t="n">
        <v>-0.5</v>
      </c>
      <c r="P58" t="n">
        <v>37</v>
      </c>
      <c r="Q58" t="n">
        <v>12</v>
      </c>
      <c r="R58" t="s">
        <v>299</v>
      </c>
      <c r="S58" t="s">
        <v>298</v>
      </c>
      <c r="T58" t="n">
        <v>-0.5</v>
      </c>
    </row>
    <row r="59">
      <c r="A59" t="s">
        <v>30</v>
      </c>
      <c r="B59" t="n">
        <v>1.25</v>
      </c>
      <c r="C59" t="n">
        <v>1.6</v>
      </c>
      <c r="D59" t="n">
        <v>1.6</v>
      </c>
      <c r="E59" t="n">
        <v>-1.75</v>
      </c>
      <c r="F59" t="n">
        <v>-0.25</v>
      </c>
      <c r="G59" t="n">
        <v>170</v>
      </c>
      <c r="H59" t="n">
        <v>12</v>
      </c>
      <c r="I59" t="s">
        <v>298</v>
      </c>
      <c r="J59" t="n">
        <v>0</v>
      </c>
      <c r="K59" t="n">
        <v>0</v>
      </c>
      <c r="L59" t="n">
        <v>0</v>
      </c>
      <c r="M59" t="n">
        <v>12</v>
      </c>
      <c r="N59" t="n">
        <v>-0.25</v>
      </c>
      <c r="O59" t="n">
        <v>-0.25</v>
      </c>
      <c r="P59" t="n">
        <v>24</v>
      </c>
      <c r="Q59" t="n">
        <v>12</v>
      </c>
      <c r="R59" t="s">
        <v>299</v>
      </c>
      <c r="S59" t="s">
        <v>299</v>
      </c>
      <c r="T59" t="n">
        <v>-0.375</v>
      </c>
    </row>
    <row r="60">
      <c r="A60" t="s">
        <v>30</v>
      </c>
      <c r="B60" t="n">
        <v>1.25</v>
      </c>
      <c r="C60" t="n">
        <v>1.6</v>
      </c>
      <c r="D60" t="n">
        <v>1.6</v>
      </c>
      <c r="E60" t="n">
        <v>-0.75</v>
      </c>
      <c r="F60" t="n">
        <v>-0.25</v>
      </c>
      <c r="G60" t="n">
        <v>179</v>
      </c>
      <c r="H60" t="n">
        <v>12</v>
      </c>
      <c r="I60" t="s">
        <v>298</v>
      </c>
      <c r="J60" t="n">
        <v>0</v>
      </c>
      <c r="K60" t="n">
        <v>0</v>
      </c>
      <c r="L60" t="n">
        <v>0</v>
      </c>
      <c r="M60" t="n">
        <v>12</v>
      </c>
      <c r="N60" t="n">
        <v>0</v>
      </c>
      <c r="O60" t="n">
        <v>-0.25</v>
      </c>
      <c r="P60" t="n">
        <v>21</v>
      </c>
      <c r="Q60" t="n">
        <v>12</v>
      </c>
      <c r="R60" t="s">
        <v>299</v>
      </c>
      <c r="S60" t="s">
        <v>299</v>
      </c>
      <c r="T60" t="n">
        <v>-0.125</v>
      </c>
    </row>
    <row r="61">
      <c r="A61" t="s">
        <v>30</v>
      </c>
      <c r="B61" t="n">
        <v>1</v>
      </c>
      <c r="C61" t="n">
        <v>1</v>
      </c>
      <c r="D61" t="n">
        <v>1</v>
      </c>
      <c r="E61" t="n">
        <v>-5.75</v>
      </c>
      <c r="F61" t="n">
        <v>-1.25</v>
      </c>
      <c r="G61" t="n">
        <v>156</v>
      </c>
      <c r="H61" t="n">
        <v>12</v>
      </c>
      <c r="I61" t="s">
        <v>297</v>
      </c>
      <c r="J61" t="n">
        <v>0</v>
      </c>
      <c r="K61" t="n">
        <v>0</v>
      </c>
      <c r="L61" t="n">
        <v>0</v>
      </c>
      <c r="M61" t="n">
        <v>12</v>
      </c>
      <c r="N61" t="n">
        <v>-0.25</v>
      </c>
      <c r="O61" t="n">
        <v>-0.25</v>
      </c>
      <c r="P61" t="n">
        <v>92</v>
      </c>
      <c r="Q61" t="n">
        <v>12</v>
      </c>
      <c r="R61" t="s">
        <v>297</v>
      </c>
      <c r="S61" t="s">
        <v>297</v>
      </c>
      <c r="T61" t="n">
        <v>-0.375</v>
      </c>
    </row>
    <row r="62">
      <c r="A62" t="s">
        <v>30</v>
      </c>
      <c r="B62" t="n">
        <v>1</v>
      </c>
      <c r="C62" t="n">
        <v>1</v>
      </c>
      <c r="D62" t="n">
        <v>1</v>
      </c>
      <c r="E62" t="n">
        <v>-4.75</v>
      </c>
      <c r="F62" t="n">
        <v>-2</v>
      </c>
      <c r="G62" t="n">
        <v>36</v>
      </c>
      <c r="H62" t="n">
        <v>12</v>
      </c>
      <c r="I62" t="s">
        <v>297</v>
      </c>
      <c r="J62" t="n">
        <v>0</v>
      </c>
      <c r="K62" t="n">
        <v>0</v>
      </c>
      <c r="L62" t="n">
        <v>0</v>
      </c>
      <c r="M62" t="n">
        <v>12</v>
      </c>
      <c r="N62" t="n">
        <v>-0.25</v>
      </c>
      <c r="O62" t="n">
        <v>-0.25</v>
      </c>
      <c r="P62" t="n">
        <v>80</v>
      </c>
      <c r="Q62" t="n">
        <v>12</v>
      </c>
      <c r="R62" t="s">
        <v>297</v>
      </c>
      <c r="S62" t="s">
        <v>297</v>
      </c>
      <c r="T62" t="n">
        <v>-0.375</v>
      </c>
    </row>
    <row r="63">
      <c r="A63" t="s">
        <v>30</v>
      </c>
      <c r="B63" t="n">
        <v>1</v>
      </c>
      <c r="C63" t="n">
        <v>1</v>
      </c>
      <c r="D63" t="n">
        <v>1</v>
      </c>
      <c r="E63" t="n">
        <v>-3.75</v>
      </c>
      <c r="F63" t="n">
        <v>-0.75</v>
      </c>
      <c r="G63" t="n">
        <v>35</v>
      </c>
      <c r="H63" t="n">
        <v>12</v>
      </c>
      <c r="I63" t="s">
        <v>297</v>
      </c>
      <c r="J63" t="n">
        <v>0</v>
      </c>
      <c r="K63" t="n">
        <v>0</v>
      </c>
      <c r="L63" t="n">
        <v>0</v>
      </c>
      <c r="M63" t="n">
        <v>12</v>
      </c>
      <c r="N63" t="n">
        <v>0.75</v>
      </c>
      <c r="O63" t="n">
        <v>-0.25</v>
      </c>
      <c r="P63" t="n">
        <v>7</v>
      </c>
      <c r="Q63" t="n">
        <v>12</v>
      </c>
      <c r="R63" t="s">
        <v>297</v>
      </c>
      <c r="S63" t="s">
        <v>297</v>
      </c>
      <c r="T63" t="n">
        <v>0.625</v>
      </c>
    </row>
    <row r="64">
      <c r="A64" t="s">
        <v>30</v>
      </c>
      <c r="B64" t="n">
        <v>1</v>
      </c>
      <c r="C64" t="n">
        <v>1</v>
      </c>
      <c r="D64" t="n">
        <v>1</v>
      </c>
      <c r="E64" t="n">
        <v>-3.75</v>
      </c>
      <c r="F64" t="n">
        <v>-0.5</v>
      </c>
      <c r="G64" t="n">
        <v>143</v>
      </c>
      <c r="H64" t="n">
        <v>12</v>
      </c>
      <c r="I64" t="s">
        <v>297</v>
      </c>
      <c r="J64" t="n">
        <v>0</v>
      </c>
      <c r="K64" t="n">
        <v>0</v>
      </c>
      <c r="L64" t="n">
        <v>0</v>
      </c>
      <c r="M64" t="n">
        <v>12</v>
      </c>
      <c r="N64" t="n">
        <v>0.25</v>
      </c>
      <c r="O64" t="n">
        <v>-0.25</v>
      </c>
      <c r="P64" t="n">
        <v>33</v>
      </c>
      <c r="Q64" t="n">
        <v>12</v>
      </c>
      <c r="R64" t="s">
        <v>297</v>
      </c>
      <c r="S64" t="s">
        <v>297</v>
      </c>
      <c r="T64" t="n">
        <v>0.125</v>
      </c>
    </row>
    <row r="65">
      <c r="A65" t="s">
        <v>30</v>
      </c>
      <c r="B65" t="n">
        <v>1</v>
      </c>
      <c r="C65" t="n">
        <v>1.25</v>
      </c>
      <c r="D65" t="n">
        <v>1.25</v>
      </c>
      <c r="E65" t="n">
        <v>-0.25</v>
      </c>
      <c r="F65" t="n">
        <v>-0.5</v>
      </c>
      <c r="G65" t="n">
        <v>68</v>
      </c>
      <c r="H65" t="n">
        <v>12</v>
      </c>
      <c r="I65" t="s">
        <v>297</v>
      </c>
      <c r="J65" t="n">
        <v>0</v>
      </c>
      <c r="K65" t="n">
        <v>0</v>
      </c>
      <c r="L65" t="n">
        <v>0</v>
      </c>
      <c r="M65" t="n">
        <v>12</v>
      </c>
      <c r="N65" t="n">
        <v>-0.25</v>
      </c>
      <c r="O65" t="n">
        <v>-0.25</v>
      </c>
      <c r="P65" t="n">
        <v>126</v>
      </c>
      <c r="Q65" t="n">
        <v>12</v>
      </c>
      <c r="R65" t="s">
        <v>298</v>
      </c>
      <c r="S65" t="s">
        <v>298</v>
      </c>
      <c r="T65" t="n">
        <v>-0.375</v>
      </c>
    </row>
    <row r="66">
      <c r="A66" t="s">
        <v>30</v>
      </c>
      <c r="B66" t="n">
        <v>0.8</v>
      </c>
      <c r="C66"/>
      <c r="D66"/>
      <c r="E66" t="n">
        <v>-4</v>
      </c>
      <c r="F66" t="n">
        <v>-1.25</v>
      </c>
      <c r="G66" t="n">
        <v>118</v>
      </c>
      <c r="H66" t="n">
        <v>12</v>
      </c>
      <c r="I66" t="s">
        <v>296</v>
      </c>
      <c r="J66" t="n">
        <v>0</v>
      </c>
      <c r="K66" t="n">
        <v>0</v>
      </c>
      <c r="L66" t="n">
        <v>0</v>
      </c>
      <c r="M66" t="n">
        <v>12</v>
      </c>
      <c r="N66"/>
      <c r="O66"/>
      <c r="P66"/>
      <c r="Q66" t="n">
        <v>12</v>
      </c>
      <c r="R66" t="s">
        <v>109</v>
      </c>
      <c r="S66" t="s">
        <v>109</v>
      </c>
      <c r="T66"/>
    </row>
    <row r="67">
      <c r="A67" t="s">
        <v>30</v>
      </c>
      <c r="B67" t="n">
        <v>1</v>
      </c>
      <c r="C67"/>
      <c r="D67"/>
      <c r="E67" t="n">
        <v>-3.25</v>
      </c>
      <c r="F67" t="n">
        <v>-0.75</v>
      </c>
      <c r="G67" t="n">
        <v>45</v>
      </c>
      <c r="H67" t="n">
        <v>12</v>
      </c>
      <c r="I67" t="s">
        <v>297</v>
      </c>
      <c r="J67" t="n">
        <v>0</v>
      </c>
      <c r="K67" t="n">
        <v>0</v>
      </c>
      <c r="L67" t="n">
        <v>0</v>
      </c>
      <c r="M67" t="n">
        <v>12</v>
      </c>
      <c r="N67"/>
      <c r="O67"/>
      <c r="P67"/>
      <c r="Q67" t="n">
        <v>12</v>
      </c>
      <c r="R67" t="s">
        <v>109</v>
      </c>
      <c r="S67" t="s">
        <v>109</v>
      </c>
      <c r="T67"/>
    </row>
    <row r="68">
      <c r="A68" t="s">
        <v>30</v>
      </c>
      <c r="B68" t="n">
        <v>1.25</v>
      </c>
      <c r="C68" t="n">
        <v>1.6</v>
      </c>
      <c r="D68" t="n">
        <v>1.6</v>
      </c>
      <c r="E68" t="n">
        <v>-5.5</v>
      </c>
      <c r="F68" t="n">
        <v>-0.75</v>
      </c>
      <c r="G68" t="n">
        <v>81</v>
      </c>
      <c r="H68" t="n">
        <v>12</v>
      </c>
      <c r="I68" t="s">
        <v>298</v>
      </c>
      <c r="J68" t="n">
        <v>0</v>
      </c>
      <c r="K68" t="n">
        <v>0</v>
      </c>
      <c r="L68" t="n">
        <v>0</v>
      </c>
      <c r="M68" t="n">
        <v>12</v>
      </c>
      <c r="N68" t="n">
        <v>0.5</v>
      </c>
      <c r="O68" t="n">
        <v>-0.25</v>
      </c>
      <c r="P68" t="n">
        <v>130</v>
      </c>
      <c r="Q68" t="n">
        <v>12</v>
      </c>
      <c r="R68" t="s">
        <v>299</v>
      </c>
      <c r="S68" t="s">
        <v>299</v>
      </c>
      <c r="T68" t="n">
        <v>0.375</v>
      </c>
    </row>
    <row r="69">
      <c r="A69" t="s">
        <v>30</v>
      </c>
      <c r="B69" t="n">
        <v>1</v>
      </c>
      <c r="C69" t="n">
        <v>1</v>
      </c>
      <c r="D69" t="n">
        <v>1</v>
      </c>
      <c r="E69" t="n">
        <v>-3.5</v>
      </c>
      <c r="F69" t="n">
        <v>-1</v>
      </c>
      <c r="G69" t="n">
        <v>180</v>
      </c>
      <c r="H69" t="n">
        <v>12</v>
      </c>
      <c r="I69" t="s">
        <v>297</v>
      </c>
      <c r="J69" t="n">
        <v>0</v>
      </c>
      <c r="K69" t="n">
        <v>0</v>
      </c>
      <c r="L69" t="n">
        <v>0</v>
      </c>
      <c r="M69" t="n">
        <v>12</v>
      </c>
      <c r="N69" t="n">
        <v>0.5</v>
      </c>
      <c r="O69" t="n">
        <v>-0.25</v>
      </c>
      <c r="P69" t="n">
        <v>135</v>
      </c>
      <c r="Q69" t="n">
        <v>12</v>
      </c>
      <c r="R69" t="s">
        <v>297</v>
      </c>
      <c r="S69" t="s">
        <v>297</v>
      </c>
      <c r="T69" t="n">
        <v>0.375</v>
      </c>
    </row>
    <row r="70">
      <c r="A70" t="s">
        <v>30</v>
      </c>
      <c r="B70" t="n">
        <v>1.25</v>
      </c>
      <c r="C70" t="n">
        <v>1.25</v>
      </c>
      <c r="D70" t="n">
        <v>1.25</v>
      </c>
      <c r="E70" t="n">
        <v>-4.5</v>
      </c>
      <c r="F70" t="n">
        <v>-1</v>
      </c>
      <c r="G70" t="n">
        <v>4</v>
      </c>
      <c r="H70" t="n">
        <v>12</v>
      </c>
      <c r="I70" t="s">
        <v>298</v>
      </c>
      <c r="J70" t="n">
        <v>0</v>
      </c>
      <c r="K70" t="n">
        <v>0</v>
      </c>
      <c r="L70" t="n">
        <v>0</v>
      </c>
      <c r="M70" t="n">
        <v>12</v>
      </c>
      <c r="N70" t="n">
        <v>0.5</v>
      </c>
      <c r="O70" t="n">
        <v>-0.5</v>
      </c>
      <c r="P70" t="n">
        <v>17</v>
      </c>
      <c r="Q70" t="n">
        <v>12</v>
      </c>
      <c r="R70" t="s">
        <v>298</v>
      </c>
      <c r="S70" t="s">
        <v>298</v>
      </c>
      <c r="T70" t="n">
        <v>0.25</v>
      </c>
    </row>
    <row r="71">
      <c r="A71" t="s">
        <v>30</v>
      </c>
      <c r="B71" t="n">
        <v>1.25</v>
      </c>
      <c r="C71" t="n">
        <v>1</v>
      </c>
      <c r="D71" t="n">
        <v>1</v>
      </c>
      <c r="E71" t="n">
        <v>-2.25</v>
      </c>
      <c r="F71" t="n">
        <v>-0.75</v>
      </c>
      <c r="G71" t="n">
        <v>8</v>
      </c>
      <c r="H71" t="n">
        <v>12</v>
      </c>
      <c r="I71" t="s">
        <v>298</v>
      </c>
      <c r="J71" t="n">
        <v>0</v>
      </c>
      <c r="K71" t="n">
        <v>0</v>
      </c>
      <c r="L71" t="n">
        <v>0</v>
      </c>
      <c r="M71" t="n">
        <v>12</v>
      </c>
      <c r="N71" t="n">
        <v>0.25</v>
      </c>
      <c r="O71" t="n">
        <v>-0.25</v>
      </c>
      <c r="P71" t="n">
        <v>8</v>
      </c>
      <c r="Q71" t="n">
        <v>12</v>
      </c>
      <c r="R71" t="s">
        <v>297</v>
      </c>
      <c r="S71" t="s">
        <v>297</v>
      </c>
      <c r="T71" t="n">
        <v>0.125</v>
      </c>
    </row>
    <row r="72">
      <c r="A72" t="s">
        <v>30</v>
      </c>
      <c r="B72" t="n">
        <v>1</v>
      </c>
      <c r="C72" t="n">
        <v>0.8</v>
      </c>
      <c r="D72" t="n">
        <v>1</v>
      </c>
      <c r="E72" t="n">
        <v>-2.25</v>
      </c>
      <c r="F72" t="n">
        <v>-1.25</v>
      </c>
      <c r="G72" t="n">
        <v>13</v>
      </c>
      <c r="H72" t="n">
        <v>12</v>
      </c>
      <c r="I72" t="s">
        <v>297</v>
      </c>
      <c r="J72" t="n">
        <v>0</v>
      </c>
      <c r="K72" t="n">
        <v>0</v>
      </c>
      <c r="L72" t="n">
        <v>0</v>
      </c>
      <c r="M72" t="n">
        <v>12</v>
      </c>
      <c r="N72" t="n">
        <v>-0.25</v>
      </c>
      <c r="O72" t="n">
        <v>-0.5</v>
      </c>
      <c r="P72" t="n">
        <v>153</v>
      </c>
      <c r="Q72" t="n">
        <v>12</v>
      </c>
      <c r="R72" t="s">
        <v>297</v>
      </c>
      <c r="S72" t="s">
        <v>296</v>
      </c>
      <c r="T72" t="n">
        <v>-0.5</v>
      </c>
    </row>
    <row r="73">
      <c r="A73" t="s">
        <v>30</v>
      </c>
      <c r="B73" t="n">
        <v>1.25</v>
      </c>
      <c r="C73" t="n">
        <v>1.6</v>
      </c>
      <c r="D73" t="n">
        <v>1.6</v>
      </c>
      <c r="E73" t="n">
        <v>-1.75</v>
      </c>
      <c r="F73" t="n">
        <v>-0.5</v>
      </c>
      <c r="G73" t="n">
        <v>44</v>
      </c>
      <c r="H73" t="n">
        <v>12</v>
      </c>
      <c r="I73" t="s">
        <v>298</v>
      </c>
      <c r="J73" t="n">
        <v>0</v>
      </c>
      <c r="K73" t="n">
        <v>0</v>
      </c>
      <c r="L73" t="n">
        <v>0</v>
      </c>
      <c r="M73" t="n">
        <v>12</v>
      </c>
      <c r="N73" t="n">
        <v>0.25</v>
      </c>
      <c r="O73" t="n">
        <v>-0.25</v>
      </c>
      <c r="P73" t="n">
        <v>21</v>
      </c>
      <c r="Q73" t="n">
        <v>12</v>
      </c>
      <c r="R73" t="s">
        <v>299</v>
      </c>
      <c r="S73" t="s">
        <v>299</v>
      </c>
      <c r="T73" t="n">
        <v>0.125</v>
      </c>
    </row>
    <row r="74">
      <c r="A74" t="s">
        <v>30</v>
      </c>
      <c r="B74" t="n">
        <v>1</v>
      </c>
      <c r="C74" t="n">
        <v>1.25</v>
      </c>
      <c r="D74" t="n">
        <v>1.6</v>
      </c>
      <c r="E74" t="n">
        <v>-4.25</v>
      </c>
      <c r="F74" t="n">
        <v>-0.5</v>
      </c>
      <c r="G74" t="n">
        <v>125</v>
      </c>
      <c r="H74" t="n">
        <v>12</v>
      </c>
      <c r="I74" t="s">
        <v>297</v>
      </c>
      <c r="J74" t="n">
        <v>0</v>
      </c>
      <c r="K74" t="n">
        <v>0</v>
      </c>
      <c r="L74" t="n">
        <v>0</v>
      </c>
      <c r="M74" t="n">
        <v>12</v>
      </c>
      <c r="N74" t="n">
        <v>-0.5</v>
      </c>
      <c r="O74" t="n">
        <v>-0.5</v>
      </c>
      <c r="P74" t="n">
        <v>158</v>
      </c>
      <c r="Q74" t="n">
        <v>12</v>
      </c>
      <c r="R74" t="s">
        <v>299</v>
      </c>
      <c r="S74" t="s">
        <v>298</v>
      </c>
      <c r="T74" t="n">
        <v>-0.75</v>
      </c>
    </row>
    <row r="75">
      <c r="A75" t="s">
        <v>30</v>
      </c>
      <c r="B75" t="n">
        <v>1</v>
      </c>
      <c r="C75" t="n">
        <v>1</v>
      </c>
      <c r="D75" t="n">
        <v>1</v>
      </c>
      <c r="E75" t="n">
        <v>-4.75</v>
      </c>
      <c r="F75" t="n">
        <v>-1.5</v>
      </c>
      <c r="G75" t="n">
        <v>166</v>
      </c>
      <c r="H75" t="n">
        <v>12</v>
      </c>
      <c r="I75" t="s">
        <v>297</v>
      </c>
      <c r="J75" t="n">
        <v>0</v>
      </c>
      <c r="K75" t="n">
        <v>0</v>
      </c>
      <c r="L75" t="n">
        <v>0</v>
      </c>
      <c r="M75" t="n">
        <v>12</v>
      </c>
      <c r="N75" t="n">
        <v>0.25</v>
      </c>
      <c r="O75" t="n">
        <v>-0.5</v>
      </c>
      <c r="P75" t="n">
        <v>162</v>
      </c>
      <c r="Q75" t="n">
        <v>12</v>
      </c>
      <c r="R75" t="s">
        <v>297</v>
      </c>
      <c r="S75" t="s">
        <v>297</v>
      </c>
      <c r="T75" t="n">
        <v>0</v>
      </c>
    </row>
    <row r="76">
      <c r="A76" t="s">
        <v>30</v>
      </c>
      <c r="B76" t="n">
        <v>1</v>
      </c>
      <c r="C76" t="n">
        <v>1</v>
      </c>
      <c r="D76" t="n">
        <v>1</v>
      </c>
      <c r="E76" t="n">
        <v>-3.75</v>
      </c>
      <c r="F76" t="n">
        <v>-0.75</v>
      </c>
      <c r="G76" t="n">
        <v>7</v>
      </c>
      <c r="H76" t="n">
        <v>12</v>
      </c>
      <c r="I76" t="s">
        <v>297</v>
      </c>
      <c r="J76" t="n">
        <v>0</v>
      </c>
      <c r="K76" t="n">
        <v>0</v>
      </c>
      <c r="L76" t="n">
        <v>0</v>
      </c>
      <c r="M76" t="n">
        <v>12</v>
      </c>
      <c r="N76" t="n">
        <v>-0.25</v>
      </c>
      <c r="O76" t="n">
        <v>0</v>
      </c>
      <c r="P76" t="n">
        <v>139</v>
      </c>
      <c r="Q76" t="n">
        <v>12</v>
      </c>
      <c r="R76" t="s">
        <v>297</v>
      </c>
      <c r="S76" t="s">
        <v>297</v>
      </c>
      <c r="T76" t="n">
        <v>-0.25</v>
      </c>
    </row>
    <row r="77">
      <c r="A77" t="s">
        <v>30</v>
      </c>
      <c r="B77" t="n">
        <v>1.25</v>
      </c>
      <c r="C77" t="n">
        <v>1.25</v>
      </c>
      <c r="D77" t="n">
        <v>1.25</v>
      </c>
      <c r="E77" t="n">
        <v>-2.25</v>
      </c>
      <c r="F77" t="n">
        <v>-0.5</v>
      </c>
      <c r="G77" t="n">
        <v>165</v>
      </c>
      <c r="H77" t="n">
        <v>12</v>
      </c>
      <c r="I77" t="s">
        <v>298</v>
      </c>
      <c r="J77" t="n">
        <v>0</v>
      </c>
      <c r="K77" t="n">
        <v>0</v>
      </c>
      <c r="L77" t="n">
        <v>0</v>
      </c>
      <c r="M77" t="n">
        <v>12</v>
      </c>
      <c r="N77" t="n">
        <v>0</v>
      </c>
      <c r="O77" t="n">
        <v>-0.25</v>
      </c>
      <c r="P77" t="n">
        <v>170</v>
      </c>
      <c r="Q77" t="n">
        <v>12</v>
      </c>
      <c r="R77" t="s">
        <v>298</v>
      </c>
      <c r="S77" t="s">
        <v>298</v>
      </c>
      <c r="T77" t="n">
        <v>-0.125</v>
      </c>
    </row>
    <row r="78">
      <c r="A78" t="s">
        <v>30</v>
      </c>
      <c r="B78" t="n">
        <v>1</v>
      </c>
      <c r="C78" t="n">
        <v>1</v>
      </c>
      <c r="D78" t="n">
        <v>1</v>
      </c>
      <c r="E78" t="n">
        <v>-3.25</v>
      </c>
      <c r="F78" t="n">
        <v>-0.5</v>
      </c>
      <c r="G78" t="n">
        <v>21</v>
      </c>
      <c r="H78" t="n">
        <v>12</v>
      </c>
      <c r="I78" t="s">
        <v>297</v>
      </c>
      <c r="J78" t="n">
        <v>0</v>
      </c>
      <c r="K78" t="n">
        <v>0</v>
      </c>
      <c r="L78" t="n">
        <v>0</v>
      </c>
      <c r="M78" t="n">
        <v>12</v>
      </c>
      <c r="N78" t="n">
        <v>0.5</v>
      </c>
      <c r="O78" t="n">
        <v>-0.25</v>
      </c>
      <c r="P78" t="n">
        <v>19</v>
      </c>
      <c r="Q78" t="n">
        <v>12</v>
      </c>
      <c r="R78" t="s">
        <v>297</v>
      </c>
      <c r="S78" t="s">
        <v>297</v>
      </c>
      <c r="T78" t="n">
        <v>0.375</v>
      </c>
    </row>
    <row r="79">
      <c r="A79" t="s">
        <v>30</v>
      </c>
      <c r="B79" t="n">
        <v>1</v>
      </c>
      <c r="C79" t="n">
        <v>1.25</v>
      </c>
      <c r="D79" t="n">
        <v>1.25</v>
      </c>
      <c r="E79" t="n">
        <v>-3</v>
      </c>
      <c r="F79" t="n">
        <v>-0.5</v>
      </c>
      <c r="G79" t="n">
        <v>10</v>
      </c>
      <c r="H79" t="n">
        <v>12</v>
      </c>
      <c r="I79" t="s">
        <v>297</v>
      </c>
      <c r="J79" t="n">
        <v>0</v>
      </c>
      <c r="K79" t="n">
        <v>0</v>
      </c>
      <c r="L79" t="n">
        <v>0</v>
      </c>
      <c r="M79" t="n">
        <v>12</v>
      </c>
      <c r="N79" t="n">
        <v>0.25</v>
      </c>
      <c r="O79" t="n">
        <v>0</v>
      </c>
      <c r="P79" t="n">
        <v>82</v>
      </c>
      <c r="Q79" t="n">
        <v>12</v>
      </c>
      <c r="R79" t="s">
        <v>298</v>
      </c>
      <c r="S79" t="s">
        <v>298</v>
      </c>
      <c r="T79" t="n">
        <v>0.25</v>
      </c>
    </row>
    <row r="80">
      <c r="A80" t="s">
        <v>30</v>
      </c>
      <c r="B80" t="n">
        <v>1.6</v>
      </c>
      <c r="C80" t="n">
        <v>1.25</v>
      </c>
      <c r="D80" t="n">
        <v>1.25</v>
      </c>
      <c r="E80" t="n">
        <v>-2.25</v>
      </c>
      <c r="F80" t="n">
        <v>-0.25</v>
      </c>
      <c r="G80" t="n">
        <v>147</v>
      </c>
      <c r="H80" t="n">
        <v>12</v>
      </c>
      <c r="I80" t="s">
        <v>299</v>
      </c>
      <c r="J80" t="n">
        <v>0</v>
      </c>
      <c r="K80" t="n">
        <v>0</v>
      </c>
      <c r="L80" t="n">
        <v>0</v>
      </c>
      <c r="M80" t="n">
        <v>12</v>
      </c>
      <c r="N80" t="n">
        <v>0.25</v>
      </c>
      <c r="O80" t="n">
        <v>0</v>
      </c>
      <c r="P80" t="n">
        <v>29</v>
      </c>
      <c r="Q80" t="n">
        <v>12</v>
      </c>
      <c r="R80" t="s">
        <v>298</v>
      </c>
      <c r="S80" t="s">
        <v>298</v>
      </c>
      <c r="T80" t="n">
        <v>0.25</v>
      </c>
    </row>
    <row r="81">
      <c r="A81" t="s">
        <v>30</v>
      </c>
      <c r="B81" t="n">
        <v>1</v>
      </c>
      <c r="C81" t="n">
        <v>0.63</v>
      </c>
      <c r="D81" t="n">
        <v>0.63</v>
      </c>
      <c r="E81" t="n">
        <v>-1.75</v>
      </c>
      <c r="F81" t="n">
        <v>-0.25</v>
      </c>
      <c r="G81" t="n">
        <v>97</v>
      </c>
      <c r="H81" t="n">
        <v>12</v>
      </c>
      <c r="I81" t="s">
        <v>297</v>
      </c>
      <c r="J81" t="n">
        <v>0</v>
      </c>
      <c r="K81" t="n">
        <v>0</v>
      </c>
      <c r="L81" t="n">
        <v>0</v>
      </c>
      <c r="M81" t="n">
        <v>12</v>
      </c>
      <c r="N81" t="n">
        <v>0.75</v>
      </c>
      <c r="O81" t="n">
        <v>0</v>
      </c>
      <c r="P81" t="n">
        <v>141</v>
      </c>
      <c r="Q81" t="n">
        <v>12</v>
      </c>
      <c r="R81" t="s">
        <v>301</v>
      </c>
      <c r="S81" t="s">
        <v>301</v>
      </c>
      <c r="T81" t="n">
        <v>0.75</v>
      </c>
    </row>
    <row r="82">
      <c r="A82" t="s">
        <v>30</v>
      </c>
      <c r="B82" t="n">
        <v>1</v>
      </c>
      <c r="C82" t="n">
        <v>1</v>
      </c>
      <c r="D82" t="n">
        <v>1</v>
      </c>
      <c r="E82" t="n">
        <v>-0.75</v>
      </c>
      <c r="F82" t="n">
        <v>-0.75</v>
      </c>
      <c r="G82" t="n">
        <v>166</v>
      </c>
      <c r="H82" t="n">
        <v>12</v>
      </c>
      <c r="I82" t="s">
        <v>297</v>
      </c>
      <c r="J82" t="n">
        <v>0</v>
      </c>
      <c r="K82" t="n">
        <v>0</v>
      </c>
      <c r="L82" t="n">
        <v>0</v>
      </c>
      <c r="M82" t="n">
        <v>12</v>
      </c>
      <c r="N82" t="n">
        <v>0.75</v>
      </c>
      <c r="O82" t="n">
        <v>-0.25</v>
      </c>
      <c r="P82" t="n">
        <v>110</v>
      </c>
      <c r="Q82" t="n">
        <v>12</v>
      </c>
      <c r="R82" t="s">
        <v>297</v>
      </c>
      <c r="S82" t="s">
        <v>297</v>
      </c>
      <c r="T82" t="n">
        <v>0.625</v>
      </c>
    </row>
    <row r="83">
      <c r="A83" t="s">
        <v>30</v>
      </c>
      <c r="B83" t="n">
        <v>1</v>
      </c>
      <c r="C83" t="n">
        <v>1</v>
      </c>
      <c r="D83" t="n">
        <v>1</v>
      </c>
      <c r="E83" t="n">
        <v>0</v>
      </c>
      <c r="F83" t="n">
        <v>-1</v>
      </c>
      <c r="G83" t="n">
        <v>180</v>
      </c>
      <c r="H83" t="n">
        <v>12</v>
      </c>
      <c r="I83" t="s">
        <v>297</v>
      </c>
      <c r="J83" t="n">
        <v>0</v>
      </c>
      <c r="K83" t="n">
        <v>0</v>
      </c>
      <c r="L83" t="n">
        <v>0</v>
      </c>
      <c r="M83" t="n">
        <v>12</v>
      </c>
      <c r="N83" t="n">
        <v>0.25</v>
      </c>
      <c r="O83" t="n">
        <v>-0.25</v>
      </c>
      <c r="P83" t="n">
        <v>69</v>
      </c>
      <c r="Q83" t="n">
        <v>12</v>
      </c>
      <c r="R83" t="s">
        <v>297</v>
      </c>
      <c r="S83" t="s">
        <v>297</v>
      </c>
      <c r="T83" t="n">
        <v>0.125</v>
      </c>
    </row>
    <row r="84">
      <c r="A84" t="s">
        <v>30</v>
      </c>
      <c r="B84" t="n">
        <v>1</v>
      </c>
      <c r="C84" t="n">
        <v>0.8</v>
      </c>
      <c r="D84" t="n">
        <v>1</v>
      </c>
      <c r="E84" t="n">
        <v>-4.25</v>
      </c>
      <c r="F84" t="n">
        <v>-1.75</v>
      </c>
      <c r="G84" t="n">
        <v>61</v>
      </c>
      <c r="H84" t="n">
        <v>12</v>
      </c>
      <c r="I84" t="s">
        <v>297</v>
      </c>
      <c r="J84" t="n">
        <v>0</v>
      </c>
      <c r="K84" t="n">
        <v>0</v>
      </c>
      <c r="L84" t="n">
        <v>0</v>
      </c>
      <c r="M84" t="n">
        <v>12</v>
      </c>
      <c r="N84" t="n">
        <v>-0.25</v>
      </c>
      <c r="O84" t="n">
        <v>-0.25</v>
      </c>
      <c r="P84" t="n">
        <v>6</v>
      </c>
      <c r="Q84" t="n">
        <v>12</v>
      </c>
      <c r="R84" t="s">
        <v>297</v>
      </c>
      <c r="S84" t="s">
        <v>296</v>
      </c>
      <c r="T84" t="n">
        <v>-0.375</v>
      </c>
    </row>
    <row r="85">
      <c r="A85" t="s">
        <v>30</v>
      </c>
      <c r="B85" t="n">
        <v>1</v>
      </c>
      <c r="C85" t="n">
        <v>1</v>
      </c>
      <c r="D85" t="n">
        <v>1</v>
      </c>
      <c r="E85" t="n">
        <v>-3.5</v>
      </c>
      <c r="F85" t="n">
        <v>-2</v>
      </c>
      <c r="G85" t="n">
        <v>134</v>
      </c>
      <c r="H85" t="n">
        <v>12</v>
      </c>
      <c r="I85" t="s">
        <v>297</v>
      </c>
      <c r="J85" t="n">
        <v>0</v>
      </c>
      <c r="K85" t="n">
        <v>0</v>
      </c>
      <c r="L85" t="n">
        <v>0</v>
      </c>
      <c r="M85" t="n">
        <v>12</v>
      </c>
      <c r="N85" t="n">
        <v>0</v>
      </c>
      <c r="O85" t="n">
        <v>-0.25</v>
      </c>
      <c r="P85" t="n">
        <v>79</v>
      </c>
      <c r="Q85" t="n">
        <v>12</v>
      </c>
      <c r="R85" t="s">
        <v>297</v>
      </c>
      <c r="S85" t="s">
        <v>297</v>
      </c>
      <c r="T85" t="n">
        <v>-0.125</v>
      </c>
    </row>
    <row r="86">
      <c r="A86" t="s">
        <v>30</v>
      </c>
      <c r="B86" t="n">
        <v>1.25</v>
      </c>
      <c r="C86" t="n">
        <v>1.25</v>
      </c>
      <c r="D86" t="n">
        <v>1.25</v>
      </c>
      <c r="E86" t="n">
        <v>-5.25</v>
      </c>
      <c r="F86" t="n">
        <v>-1.5</v>
      </c>
      <c r="G86" t="n">
        <v>171</v>
      </c>
      <c r="H86" t="n">
        <v>12</v>
      </c>
      <c r="I86" t="s">
        <v>298</v>
      </c>
      <c r="J86" t="n">
        <v>0</v>
      </c>
      <c r="K86" t="n">
        <v>0</v>
      </c>
      <c r="L86" t="n">
        <v>0</v>
      </c>
      <c r="M86" t="n">
        <v>12</v>
      </c>
      <c r="N86" t="n">
        <v>0.75</v>
      </c>
      <c r="O86" t="n">
        <v>-0.5</v>
      </c>
      <c r="P86" t="n">
        <v>8</v>
      </c>
      <c r="Q86" t="n">
        <v>12</v>
      </c>
      <c r="R86" t="s">
        <v>298</v>
      </c>
      <c r="S86" t="s">
        <v>298</v>
      </c>
      <c r="T86" t="n">
        <v>0.5</v>
      </c>
    </row>
    <row r="87">
      <c r="A87" t="s">
        <v>30</v>
      </c>
      <c r="B87" t="n">
        <v>1.25</v>
      </c>
      <c r="C87" t="n">
        <v>1.6</v>
      </c>
      <c r="D87" t="n">
        <v>1.6</v>
      </c>
      <c r="E87" t="n">
        <v>-5.5</v>
      </c>
      <c r="F87" t="n">
        <v>-1</v>
      </c>
      <c r="G87" t="n">
        <v>15</v>
      </c>
      <c r="H87" t="n">
        <v>12</v>
      </c>
      <c r="I87" t="s">
        <v>298</v>
      </c>
      <c r="J87" t="n">
        <v>0</v>
      </c>
      <c r="K87" t="n">
        <v>0</v>
      </c>
      <c r="L87" t="n">
        <v>0</v>
      </c>
      <c r="M87" t="n">
        <v>12</v>
      </c>
      <c r="N87" t="n">
        <v>0.25</v>
      </c>
      <c r="O87" t="n">
        <v>-0.25</v>
      </c>
      <c r="P87" t="n">
        <v>177</v>
      </c>
      <c r="Q87" t="n">
        <v>12</v>
      </c>
      <c r="R87" t="s">
        <v>299</v>
      </c>
      <c r="S87" t="s">
        <v>299</v>
      </c>
      <c r="T87" t="n">
        <v>0.125</v>
      </c>
    </row>
    <row r="88">
      <c r="A88" t="s">
        <v>30</v>
      </c>
      <c r="B88" t="n">
        <v>1</v>
      </c>
      <c r="C88"/>
      <c r="D88"/>
      <c r="E88" t="n">
        <v>-5.5</v>
      </c>
      <c r="F88" t="n">
        <v>-0.25</v>
      </c>
      <c r="G88" t="n">
        <v>7</v>
      </c>
      <c r="H88" t="n">
        <v>12</v>
      </c>
      <c r="I88" t="s">
        <v>297</v>
      </c>
      <c r="J88" t="n">
        <v>0</v>
      </c>
      <c r="K88" t="n">
        <v>0</v>
      </c>
      <c r="L88" t="n">
        <v>0</v>
      </c>
      <c r="M88" t="n">
        <v>12</v>
      </c>
      <c r="N88"/>
      <c r="O88"/>
      <c r="P88"/>
      <c r="Q88" t="n">
        <v>12</v>
      </c>
      <c r="R88" t="s">
        <v>109</v>
      </c>
      <c r="S88" t="s">
        <v>109</v>
      </c>
      <c r="T88"/>
    </row>
    <row r="89">
      <c r="A89" t="s">
        <v>30</v>
      </c>
      <c r="B89" t="n">
        <v>1</v>
      </c>
      <c r="C89"/>
      <c r="D89"/>
      <c r="E89" t="n">
        <v>-4.5</v>
      </c>
      <c r="F89" t="n">
        <v>-0.25</v>
      </c>
      <c r="G89" t="n">
        <v>169</v>
      </c>
      <c r="H89" t="n">
        <v>12</v>
      </c>
      <c r="I89" t="s">
        <v>297</v>
      </c>
      <c r="J89" t="n">
        <v>0</v>
      </c>
      <c r="K89" t="n">
        <v>0</v>
      </c>
      <c r="L89" t="n">
        <v>0</v>
      </c>
      <c r="M89" t="n">
        <v>12</v>
      </c>
      <c r="N89"/>
      <c r="O89"/>
      <c r="P89"/>
      <c r="Q89" t="n">
        <v>12</v>
      </c>
      <c r="R89" t="s">
        <v>109</v>
      </c>
      <c r="S89" t="s">
        <v>109</v>
      </c>
      <c r="T89"/>
    </row>
    <row r="90">
      <c r="A90" t="s">
        <v>30</v>
      </c>
      <c r="B90" t="n">
        <v>1</v>
      </c>
      <c r="C90" t="n">
        <v>1.25</v>
      </c>
      <c r="D90" t="n">
        <v>1.25</v>
      </c>
      <c r="E90" t="n">
        <v>-4.5</v>
      </c>
      <c r="F90" t="n">
        <v>-0.5</v>
      </c>
      <c r="G90" t="n">
        <v>91</v>
      </c>
      <c r="H90" t="n">
        <v>12</v>
      </c>
      <c r="I90" t="s">
        <v>297</v>
      </c>
      <c r="J90" t="n">
        <v>0</v>
      </c>
      <c r="K90" t="n">
        <v>0</v>
      </c>
      <c r="L90" t="n">
        <v>0</v>
      </c>
      <c r="M90" t="n">
        <v>12</v>
      </c>
      <c r="N90" t="n">
        <v>0.5</v>
      </c>
      <c r="O90" t="n">
        <v>-0.25</v>
      </c>
      <c r="P90" t="n">
        <v>76</v>
      </c>
      <c r="Q90" t="n">
        <v>12</v>
      </c>
      <c r="R90" t="s">
        <v>298</v>
      </c>
      <c r="S90" t="s">
        <v>298</v>
      </c>
      <c r="T90" t="n">
        <v>0.375</v>
      </c>
    </row>
    <row r="91">
      <c r="A91" t="s">
        <v>30</v>
      </c>
      <c r="B91" t="n">
        <v>1</v>
      </c>
      <c r="C91" t="n">
        <v>1</v>
      </c>
      <c r="D91" t="n">
        <v>1</v>
      </c>
      <c r="E91" t="n">
        <v>-5.25</v>
      </c>
      <c r="F91" t="n">
        <v>-0.75</v>
      </c>
      <c r="G91" t="n">
        <v>168</v>
      </c>
      <c r="H91" t="n">
        <v>12</v>
      </c>
      <c r="I91" t="s">
        <v>297</v>
      </c>
      <c r="J91" t="n">
        <v>0</v>
      </c>
      <c r="K91" t="n">
        <v>0</v>
      </c>
      <c r="L91" t="n">
        <v>0</v>
      </c>
      <c r="M91" t="n">
        <v>12</v>
      </c>
      <c r="N91" t="n">
        <v>0</v>
      </c>
      <c r="O91" t="n">
        <v>0</v>
      </c>
      <c r="P91" t="n">
        <v>137</v>
      </c>
      <c r="Q91" t="n">
        <v>12</v>
      </c>
      <c r="R91" t="s">
        <v>297</v>
      </c>
      <c r="S91" t="s">
        <v>297</v>
      </c>
      <c r="T91" t="n">
        <v>0</v>
      </c>
    </row>
    <row r="92">
      <c r="A92" t="s">
        <v>30</v>
      </c>
      <c r="B92" t="n">
        <v>1</v>
      </c>
      <c r="C92" t="n">
        <v>0.8</v>
      </c>
      <c r="D92" t="n">
        <v>1</v>
      </c>
      <c r="E92" t="n">
        <v>-4.25</v>
      </c>
      <c r="F92" t="n">
        <v>-0.75</v>
      </c>
      <c r="G92" t="n">
        <v>17</v>
      </c>
      <c r="H92" t="n">
        <v>12</v>
      </c>
      <c r="I92" t="s">
        <v>297</v>
      </c>
      <c r="J92" t="n">
        <v>0</v>
      </c>
      <c r="K92" t="n">
        <v>0</v>
      </c>
      <c r="L92" t="n">
        <v>0</v>
      </c>
      <c r="M92" t="n">
        <v>12</v>
      </c>
      <c r="N92" t="n">
        <v>-0.5</v>
      </c>
      <c r="O92" t="n">
        <v>0</v>
      </c>
      <c r="P92" t="n">
        <v>31</v>
      </c>
      <c r="Q92" t="n">
        <v>12</v>
      </c>
      <c r="R92" t="s">
        <v>297</v>
      </c>
      <c r="S92" t="s">
        <v>296</v>
      </c>
      <c r="T92" t="n">
        <v>-0.5</v>
      </c>
    </row>
    <row r="93">
      <c r="A93" t="s">
        <v>30</v>
      </c>
      <c r="B93" t="n">
        <v>1.25</v>
      </c>
      <c r="C93" t="n">
        <v>1</v>
      </c>
      <c r="D93" t="n">
        <v>1.25</v>
      </c>
      <c r="E93" t="n">
        <v>-0.75</v>
      </c>
      <c r="F93" t="n">
        <v>-0.75</v>
      </c>
      <c r="G93" t="n">
        <v>167</v>
      </c>
      <c r="H93" t="n">
        <v>12</v>
      </c>
      <c r="I93" t="s">
        <v>298</v>
      </c>
      <c r="J93" t="n">
        <v>0</v>
      </c>
      <c r="K93" t="n">
        <v>0</v>
      </c>
      <c r="L93" t="n">
        <v>0</v>
      </c>
      <c r="M93" t="n">
        <v>12</v>
      </c>
      <c r="N93" t="n">
        <v>0.75</v>
      </c>
      <c r="O93" t="n">
        <v>-0.5</v>
      </c>
      <c r="P93" t="n">
        <v>39</v>
      </c>
      <c r="Q93" t="n">
        <v>12</v>
      </c>
      <c r="R93" t="s">
        <v>298</v>
      </c>
      <c r="S93" t="s">
        <v>297</v>
      </c>
      <c r="T93" t="n">
        <v>0.5</v>
      </c>
    </row>
    <row r="94">
      <c r="A94" t="s">
        <v>30</v>
      </c>
      <c r="B94" t="n">
        <v>0.8</v>
      </c>
      <c r="C94" t="n">
        <v>0.63</v>
      </c>
      <c r="D94" t="n">
        <v>0.8</v>
      </c>
      <c r="E94" t="n">
        <v>-3.25</v>
      </c>
      <c r="F94" t="n">
        <v>-1.5</v>
      </c>
      <c r="G94" t="n">
        <v>8</v>
      </c>
      <c r="H94" t="n">
        <v>12</v>
      </c>
      <c r="I94" t="s">
        <v>296</v>
      </c>
      <c r="J94" t="n">
        <v>0</v>
      </c>
      <c r="K94" t="n">
        <v>0</v>
      </c>
      <c r="L94" t="n">
        <v>0</v>
      </c>
      <c r="M94" t="n">
        <v>12</v>
      </c>
      <c r="N94" t="n">
        <v>-0.25</v>
      </c>
      <c r="O94" t="n">
        <v>-0.25</v>
      </c>
      <c r="P94" t="n">
        <v>34</v>
      </c>
      <c r="Q94" t="n">
        <v>12</v>
      </c>
      <c r="R94" t="s">
        <v>296</v>
      </c>
      <c r="S94" t="s">
        <v>301</v>
      </c>
      <c r="T94" t="n">
        <v>-0.375</v>
      </c>
    </row>
    <row r="95">
      <c r="A95" t="s">
        <v>30</v>
      </c>
      <c r="B95" t="n">
        <v>1</v>
      </c>
      <c r="C95" t="n">
        <v>1</v>
      </c>
      <c r="D95" t="n">
        <v>1</v>
      </c>
      <c r="E95" t="n">
        <v>-4.25</v>
      </c>
      <c r="F95" t="n">
        <v>-0.75</v>
      </c>
      <c r="G95" t="n">
        <v>171</v>
      </c>
      <c r="H95" t="n">
        <v>12</v>
      </c>
      <c r="I95" t="s">
        <v>297</v>
      </c>
      <c r="J95" t="n">
        <v>0</v>
      </c>
      <c r="K95" t="n">
        <v>0</v>
      </c>
      <c r="L95" t="n">
        <v>0</v>
      </c>
      <c r="M95" t="n">
        <v>12</v>
      </c>
      <c r="N95" t="n">
        <v>0.25</v>
      </c>
      <c r="O95" t="n">
        <v>0</v>
      </c>
      <c r="P95" t="n">
        <v>138</v>
      </c>
      <c r="Q95" t="n">
        <v>12</v>
      </c>
      <c r="R95" t="s">
        <v>297</v>
      </c>
      <c r="S95" t="s">
        <v>297</v>
      </c>
      <c r="T95" t="n">
        <v>0.25</v>
      </c>
    </row>
    <row r="96">
      <c r="A96" t="s">
        <v>30</v>
      </c>
      <c r="B96" t="n">
        <v>0.8</v>
      </c>
      <c r="C96" t="n">
        <v>1</v>
      </c>
      <c r="D96" t="n">
        <v>1</v>
      </c>
      <c r="E96" t="n">
        <v>-4.75</v>
      </c>
      <c r="F96" t="n">
        <v>-0.5</v>
      </c>
      <c r="G96" t="n">
        <v>6</v>
      </c>
      <c r="H96" t="n">
        <v>12</v>
      </c>
      <c r="I96" t="s">
        <v>296</v>
      </c>
      <c r="J96" t="n">
        <v>0</v>
      </c>
      <c r="K96" t="n">
        <v>0</v>
      </c>
      <c r="L96" t="n">
        <v>0</v>
      </c>
      <c r="M96" t="n">
        <v>12</v>
      </c>
      <c r="N96" t="n">
        <v>0.5</v>
      </c>
      <c r="O96" t="n">
        <v>-0.25</v>
      </c>
      <c r="P96" t="n">
        <v>31</v>
      </c>
      <c r="Q96" t="n">
        <v>12</v>
      </c>
      <c r="R96" t="s">
        <v>297</v>
      </c>
      <c r="S96" t="s">
        <v>297</v>
      </c>
      <c r="T96" t="n">
        <v>0.375</v>
      </c>
    </row>
    <row r="97">
      <c r="A97" t="s">
        <v>30</v>
      </c>
      <c r="B97" t="n">
        <v>1.25</v>
      </c>
      <c r="C97" t="n">
        <v>1</v>
      </c>
      <c r="D97" t="n">
        <v>1.25</v>
      </c>
      <c r="E97" t="n">
        <v>0.25</v>
      </c>
      <c r="F97" t="n">
        <v>-1.5</v>
      </c>
      <c r="G97" t="n">
        <v>7</v>
      </c>
      <c r="H97" t="n">
        <v>12</v>
      </c>
      <c r="I97" t="s">
        <v>298</v>
      </c>
      <c r="J97" t="n">
        <v>0</v>
      </c>
      <c r="K97" t="n">
        <v>0</v>
      </c>
      <c r="L97" t="n">
        <v>0</v>
      </c>
      <c r="M97" t="n">
        <v>12</v>
      </c>
      <c r="N97" t="n">
        <v>0</v>
      </c>
      <c r="O97" t="n">
        <v>-0.25</v>
      </c>
      <c r="P97" t="n">
        <v>123</v>
      </c>
      <c r="Q97" t="n">
        <v>12</v>
      </c>
      <c r="R97" t="s">
        <v>298</v>
      </c>
      <c r="S97" t="s">
        <v>297</v>
      </c>
      <c r="T97" t="n">
        <v>-0.125</v>
      </c>
    </row>
    <row r="98">
      <c r="A98" t="s">
        <v>30</v>
      </c>
      <c r="B98" t="n">
        <v>1.25</v>
      </c>
      <c r="C98" t="n">
        <v>1.25</v>
      </c>
      <c r="D98" t="n">
        <v>1.25</v>
      </c>
      <c r="E98" t="n">
        <v>-0.5</v>
      </c>
      <c r="F98" t="n">
        <v>-1</v>
      </c>
      <c r="G98" t="n">
        <v>4</v>
      </c>
      <c r="H98" t="n">
        <v>12</v>
      </c>
      <c r="I98" t="s">
        <v>298</v>
      </c>
      <c r="J98" t="n">
        <v>0</v>
      </c>
      <c r="K98" t="n">
        <v>0</v>
      </c>
      <c r="L98" t="n">
        <v>0</v>
      </c>
      <c r="M98" t="n">
        <v>12</v>
      </c>
      <c r="N98" t="n">
        <v>0</v>
      </c>
      <c r="O98" t="n">
        <v>0</v>
      </c>
      <c r="P98" t="n">
        <v>71</v>
      </c>
      <c r="Q98" t="n">
        <v>12</v>
      </c>
      <c r="R98" t="s">
        <v>298</v>
      </c>
      <c r="S98" t="s">
        <v>298</v>
      </c>
      <c r="T98" t="n">
        <v>0</v>
      </c>
    </row>
    <row r="99">
      <c r="A99" t="s">
        <v>30</v>
      </c>
      <c r="B99" t="n">
        <v>1.25</v>
      </c>
      <c r="C99" t="n">
        <v>1.25</v>
      </c>
      <c r="D99" t="n">
        <v>1.25</v>
      </c>
      <c r="E99" t="n">
        <v>0</v>
      </c>
      <c r="F99" t="n">
        <v>-0.75</v>
      </c>
      <c r="G99" t="n">
        <v>152</v>
      </c>
      <c r="H99" t="n">
        <v>12</v>
      </c>
      <c r="I99" t="s">
        <v>298</v>
      </c>
      <c r="J99" t="n">
        <v>0</v>
      </c>
      <c r="K99" t="n">
        <v>0</v>
      </c>
      <c r="L99" t="n">
        <v>0</v>
      </c>
      <c r="M99" t="n">
        <v>12</v>
      </c>
      <c r="N99" t="n">
        <v>0.25</v>
      </c>
      <c r="O99" t="n">
        <v>-0.25</v>
      </c>
      <c r="P99" t="n">
        <v>13</v>
      </c>
      <c r="Q99" t="n">
        <v>12</v>
      </c>
      <c r="R99" t="s">
        <v>298</v>
      </c>
      <c r="S99" t="s">
        <v>298</v>
      </c>
      <c r="T99" t="n">
        <v>0.125</v>
      </c>
    </row>
    <row r="100">
      <c r="A100" t="s">
        <v>30</v>
      </c>
      <c r="B100" t="n">
        <v>1.25</v>
      </c>
      <c r="C100" t="n">
        <v>1.25</v>
      </c>
      <c r="D100" t="n">
        <v>1.25</v>
      </c>
      <c r="E100" t="n">
        <v>-1.25</v>
      </c>
      <c r="F100" t="n">
        <v>-1</v>
      </c>
      <c r="G100" t="n">
        <v>29</v>
      </c>
      <c r="H100" t="n">
        <v>12</v>
      </c>
      <c r="I100" t="s">
        <v>298</v>
      </c>
      <c r="J100" t="n">
        <v>0</v>
      </c>
      <c r="K100" t="n">
        <v>0</v>
      </c>
      <c r="L100" t="n">
        <v>0</v>
      </c>
      <c r="M100" t="n">
        <v>12</v>
      </c>
      <c r="N100" t="n">
        <v>0.5</v>
      </c>
      <c r="O100" t="n">
        <v>-0.25</v>
      </c>
      <c r="P100" t="n">
        <v>47</v>
      </c>
      <c r="Q100" t="n">
        <v>12</v>
      </c>
      <c r="R100" t="s">
        <v>298</v>
      </c>
      <c r="S100" t="s">
        <v>298</v>
      </c>
      <c r="T100" t="n">
        <v>0.375</v>
      </c>
    </row>
    <row r="101">
      <c r="A101" t="s">
        <v>30</v>
      </c>
      <c r="B101" t="n">
        <v>1.25</v>
      </c>
      <c r="C101"/>
      <c r="D101"/>
      <c r="E101" t="n">
        <v>-2</v>
      </c>
      <c r="F101" t="n">
        <v>-1.75</v>
      </c>
      <c r="G101" t="n">
        <v>71</v>
      </c>
      <c r="H101" t="n">
        <v>12</v>
      </c>
      <c r="I101" t="s">
        <v>298</v>
      </c>
      <c r="J101" t="n">
        <v>0</v>
      </c>
      <c r="K101" t="n">
        <v>0</v>
      </c>
      <c r="L101" t="n">
        <v>0</v>
      </c>
      <c r="M101" t="n">
        <v>12</v>
      </c>
      <c r="N101"/>
      <c r="O101"/>
      <c r="P101"/>
      <c r="Q101" t="n">
        <v>12</v>
      </c>
      <c r="R101" t="s">
        <v>109</v>
      </c>
      <c r="S101" t="s">
        <v>109</v>
      </c>
      <c r="T101"/>
    </row>
    <row r="102">
      <c r="A102" t="s">
        <v>30</v>
      </c>
      <c r="B102" t="n">
        <v>1</v>
      </c>
      <c r="C102"/>
      <c r="D102"/>
      <c r="E102" t="n">
        <v>-3.25</v>
      </c>
      <c r="F102" t="n">
        <v>-0.75</v>
      </c>
      <c r="G102" t="n">
        <v>116</v>
      </c>
      <c r="H102" t="n">
        <v>12</v>
      </c>
      <c r="I102" t="s">
        <v>297</v>
      </c>
      <c r="J102" t="n">
        <v>0</v>
      </c>
      <c r="K102" t="n">
        <v>0</v>
      </c>
      <c r="L102" t="n">
        <v>0</v>
      </c>
      <c r="M102" t="n">
        <v>12</v>
      </c>
      <c r="N102"/>
      <c r="O102"/>
      <c r="P102"/>
      <c r="Q102" t="n">
        <v>12</v>
      </c>
      <c r="R102" t="s">
        <v>109</v>
      </c>
      <c r="S102" t="s">
        <v>109</v>
      </c>
      <c r="T102"/>
    </row>
    <row r="103">
      <c r="A103" t="s">
        <v>30</v>
      </c>
      <c r="B103" t="n">
        <v>1</v>
      </c>
      <c r="C103" t="n">
        <v>1</v>
      </c>
      <c r="D103" t="n">
        <v>1</v>
      </c>
      <c r="E103" t="n">
        <v>-5.5</v>
      </c>
      <c r="F103" t="n">
        <v>-0.25</v>
      </c>
      <c r="G103" t="n">
        <v>175</v>
      </c>
      <c r="H103" t="n">
        <v>12</v>
      </c>
      <c r="I103" t="s">
        <v>297</v>
      </c>
      <c r="J103" t="n">
        <v>0</v>
      </c>
      <c r="K103" t="n">
        <v>0</v>
      </c>
      <c r="L103" t="n">
        <v>0</v>
      </c>
      <c r="M103" t="n">
        <v>12</v>
      </c>
      <c r="N103" t="n">
        <v>-0.25</v>
      </c>
      <c r="O103" t="n">
        <v>0</v>
      </c>
      <c r="P103" t="n">
        <v>132</v>
      </c>
      <c r="Q103" t="n">
        <v>12</v>
      </c>
      <c r="R103" t="s">
        <v>297</v>
      </c>
      <c r="S103" t="s">
        <v>297</v>
      </c>
      <c r="T103" t="n">
        <v>-0.25</v>
      </c>
    </row>
    <row r="104">
      <c r="A104" t="s">
        <v>30</v>
      </c>
      <c r="B104" t="n">
        <v>1.25</v>
      </c>
      <c r="C104" t="n">
        <v>1.25</v>
      </c>
      <c r="D104" t="n">
        <v>1.25</v>
      </c>
      <c r="E104" t="n">
        <v>-5.75</v>
      </c>
      <c r="F104" t="n">
        <v>-0.25</v>
      </c>
      <c r="G104" t="n">
        <v>1</v>
      </c>
      <c r="H104" t="n">
        <v>12</v>
      </c>
      <c r="I104" t="s">
        <v>298</v>
      </c>
      <c r="J104" t="n">
        <v>0</v>
      </c>
      <c r="K104" t="n">
        <v>0</v>
      </c>
      <c r="L104" t="n">
        <v>0</v>
      </c>
      <c r="M104" t="n">
        <v>12</v>
      </c>
      <c r="N104" t="n">
        <v>-0.25</v>
      </c>
      <c r="O104" t="n">
        <v>0</v>
      </c>
      <c r="P104" t="n">
        <v>1</v>
      </c>
      <c r="Q104" t="n">
        <v>12</v>
      </c>
      <c r="R104" t="s">
        <v>298</v>
      </c>
      <c r="S104" t="s">
        <v>298</v>
      </c>
      <c r="T104" t="n">
        <v>-0.25</v>
      </c>
    </row>
    <row r="105">
      <c r="A105" t="s">
        <v>30</v>
      </c>
      <c r="B105" t="n">
        <v>0.8</v>
      </c>
      <c r="C105" t="n">
        <v>0.63</v>
      </c>
      <c r="D105" t="n">
        <v>0.63</v>
      </c>
      <c r="E105" t="n">
        <v>-3.5</v>
      </c>
      <c r="F105" t="n">
        <v>-1</v>
      </c>
      <c r="G105" t="n">
        <v>88</v>
      </c>
      <c r="H105" t="n">
        <v>12</v>
      </c>
      <c r="I105" t="s">
        <v>296</v>
      </c>
      <c r="J105" t="n">
        <v>0</v>
      </c>
      <c r="K105" t="n">
        <v>0</v>
      </c>
      <c r="L105" t="n">
        <v>0</v>
      </c>
      <c r="M105" t="n">
        <v>12</v>
      </c>
      <c r="N105" t="n">
        <v>0</v>
      </c>
      <c r="O105" t="n">
        <v>-0.25</v>
      </c>
      <c r="P105" t="n">
        <v>132</v>
      </c>
      <c r="Q105" t="n">
        <v>12</v>
      </c>
      <c r="R105" t="s">
        <v>301</v>
      </c>
      <c r="S105" t="s">
        <v>301</v>
      </c>
      <c r="T105" t="n">
        <v>-0.125</v>
      </c>
    </row>
    <row r="106">
      <c r="A106" t="s">
        <v>30</v>
      </c>
      <c r="B106" t="n">
        <v>1.25</v>
      </c>
      <c r="C106" t="n">
        <v>1</v>
      </c>
      <c r="D106" t="n">
        <v>1.6</v>
      </c>
      <c r="E106" t="n">
        <v>-5.75</v>
      </c>
      <c r="F106" t="n">
        <v>-1</v>
      </c>
      <c r="G106" t="n">
        <v>164</v>
      </c>
      <c r="H106" t="n">
        <v>12</v>
      </c>
      <c r="I106" t="s">
        <v>298</v>
      </c>
      <c r="J106" t="n">
        <v>0</v>
      </c>
      <c r="K106" t="n">
        <v>0</v>
      </c>
      <c r="L106" t="n">
        <v>0</v>
      </c>
      <c r="M106" t="n">
        <v>12</v>
      </c>
      <c r="N106" t="n">
        <v>-0.25</v>
      </c>
      <c r="O106" t="n">
        <v>-0.75</v>
      </c>
      <c r="P106" t="n">
        <v>131</v>
      </c>
      <c r="Q106" t="n">
        <v>12</v>
      </c>
      <c r="R106" t="s">
        <v>299</v>
      </c>
      <c r="S106" t="s">
        <v>297</v>
      </c>
      <c r="T106" t="n">
        <v>-0.625</v>
      </c>
    </row>
    <row r="107">
      <c r="A107" t="s">
        <v>30</v>
      </c>
      <c r="B107" t="n">
        <v>1</v>
      </c>
      <c r="C107"/>
      <c r="D107" t="n">
        <v>1.6</v>
      </c>
      <c r="E107" t="n">
        <v>-5</v>
      </c>
      <c r="F107" t="n">
        <v>-0.5</v>
      </c>
      <c r="G107" t="n">
        <v>163</v>
      </c>
      <c r="H107" t="n">
        <v>12</v>
      </c>
      <c r="I107" t="s">
        <v>297</v>
      </c>
      <c r="J107" t="n">
        <v>0</v>
      </c>
      <c r="K107" t="n">
        <v>0</v>
      </c>
      <c r="L107" t="n">
        <v>0</v>
      </c>
      <c r="M107" t="n">
        <v>12</v>
      </c>
      <c r="N107" t="n">
        <v>0.25</v>
      </c>
      <c r="O107" t="n">
        <v>-0.5</v>
      </c>
      <c r="P107" t="n">
        <v>127</v>
      </c>
      <c r="Q107" t="n">
        <v>12</v>
      </c>
      <c r="R107" t="s">
        <v>299</v>
      </c>
      <c r="S107" t="s">
        <v>109</v>
      </c>
      <c r="T107" t="n">
        <v>0</v>
      </c>
    </row>
    <row r="108">
      <c r="A108" t="s">
        <v>30</v>
      </c>
      <c r="B108" t="n">
        <v>1.25</v>
      </c>
      <c r="C108" t="n">
        <v>1.6</v>
      </c>
      <c r="D108" t="n">
        <v>1.6</v>
      </c>
      <c r="E108" t="n">
        <v>-1.75</v>
      </c>
      <c r="F108" t="n">
        <v>-0.75</v>
      </c>
      <c r="G108" t="n">
        <v>26</v>
      </c>
      <c r="H108" t="n">
        <v>12</v>
      </c>
      <c r="I108" t="s">
        <v>298</v>
      </c>
      <c r="J108" t="n">
        <v>0</v>
      </c>
      <c r="K108" t="n">
        <v>0</v>
      </c>
      <c r="L108" t="n">
        <v>0</v>
      </c>
      <c r="M108" t="n">
        <v>12</v>
      </c>
      <c r="N108" t="n">
        <v>0.25</v>
      </c>
      <c r="O108" t="n">
        <v>0</v>
      </c>
      <c r="P108" t="n">
        <v>66</v>
      </c>
      <c r="Q108" t="n">
        <v>12</v>
      </c>
      <c r="R108" t="s">
        <v>299</v>
      </c>
      <c r="S108" t="s">
        <v>299</v>
      </c>
      <c r="T108" t="n">
        <v>0.25</v>
      </c>
    </row>
    <row r="109">
      <c r="A109" t="s">
        <v>30</v>
      </c>
      <c r="B109" t="n">
        <v>1.25</v>
      </c>
      <c r="C109" t="n">
        <v>1.25</v>
      </c>
      <c r="D109" t="n">
        <v>1.25</v>
      </c>
      <c r="E109" t="n">
        <v>-2</v>
      </c>
      <c r="F109" t="n">
        <v>-1.75</v>
      </c>
      <c r="G109" t="n">
        <v>148</v>
      </c>
      <c r="H109" t="n">
        <v>12</v>
      </c>
      <c r="I109" t="s">
        <v>298</v>
      </c>
      <c r="J109" t="n">
        <v>0</v>
      </c>
      <c r="K109" t="n">
        <v>0</v>
      </c>
      <c r="L109" t="n">
        <v>0</v>
      </c>
      <c r="M109" t="n">
        <v>12</v>
      </c>
      <c r="N109" t="n">
        <v>0.25</v>
      </c>
      <c r="O109" t="n">
        <v>-0.25</v>
      </c>
      <c r="P109" t="n">
        <v>112</v>
      </c>
      <c r="Q109" t="n">
        <v>12</v>
      </c>
      <c r="R109" t="s">
        <v>298</v>
      </c>
      <c r="S109" t="s">
        <v>298</v>
      </c>
      <c r="T109" t="n">
        <v>0.125</v>
      </c>
    </row>
    <row r="110">
      <c r="A110" t="s">
        <v>30</v>
      </c>
      <c r="B110" t="n">
        <v>1</v>
      </c>
      <c r="C110" t="n">
        <v>1</v>
      </c>
      <c r="D110" t="n">
        <v>1</v>
      </c>
      <c r="E110" t="n">
        <v>-6.75</v>
      </c>
      <c r="F110" t="n">
        <v>-0.75</v>
      </c>
      <c r="G110" t="n">
        <v>38</v>
      </c>
      <c r="H110" t="n">
        <v>12</v>
      </c>
      <c r="I110" t="s">
        <v>297</v>
      </c>
      <c r="J110" t="n">
        <v>0</v>
      </c>
      <c r="K110" t="n">
        <v>0</v>
      </c>
      <c r="L110" t="n">
        <v>0</v>
      </c>
      <c r="M110" t="n">
        <v>12</v>
      </c>
      <c r="N110" t="n">
        <v>0</v>
      </c>
      <c r="O110" t="n">
        <v>-0.25</v>
      </c>
      <c r="P110" t="n">
        <v>156</v>
      </c>
      <c r="Q110" t="n">
        <v>12</v>
      </c>
      <c r="R110" t="s">
        <v>297</v>
      </c>
      <c r="S110" t="s">
        <v>297</v>
      </c>
      <c r="T110" t="n">
        <v>-0.125</v>
      </c>
    </row>
    <row r="111">
      <c r="A111" t="s">
        <v>30</v>
      </c>
      <c r="B111" t="n">
        <v>1.25</v>
      </c>
      <c r="C111" t="n">
        <v>1.6</v>
      </c>
      <c r="D111" t="n">
        <v>1.6</v>
      </c>
      <c r="E111" t="n">
        <v>-6.25</v>
      </c>
      <c r="F111" t="n">
        <v>-0.25</v>
      </c>
      <c r="G111" t="n">
        <v>97</v>
      </c>
      <c r="H111" t="n">
        <v>12</v>
      </c>
      <c r="I111" t="s">
        <v>298</v>
      </c>
      <c r="J111" t="n">
        <v>0</v>
      </c>
      <c r="K111" t="n">
        <v>0</v>
      </c>
      <c r="L111" t="n">
        <v>0</v>
      </c>
      <c r="M111" t="n">
        <v>12</v>
      </c>
      <c r="N111" t="n">
        <v>-0.25</v>
      </c>
      <c r="O111" t="n">
        <v>0</v>
      </c>
      <c r="P111" t="n">
        <v>166</v>
      </c>
      <c r="Q111" t="n">
        <v>12</v>
      </c>
      <c r="R111" t="s">
        <v>299</v>
      </c>
      <c r="S111" t="s">
        <v>299</v>
      </c>
      <c r="T111" t="n">
        <v>-0.25</v>
      </c>
    </row>
    <row r="112">
      <c r="A112" t="s">
        <v>30</v>
      </c>
      <c r="B112" t="n">
        <v>1.25</v>
      </c>
      <c r="C112"/>
      <c r="D112"/>
      <c r="E112" t="n">
        <v>-4.5</v>
      </c>
      <c r="F112" t="n">
        <v>-1</v>
      </c>
      <c r="G112" t="n">
        <v>129</v>
      </c>
      <c r="H112" t="n">
        <v>12</v>
      </c>
      <c r="I112" t="s">
        <v>298</v>
      </c>
      <c r="J112" t="n">
        <v>0</v>
      </c>
      <c r="K112" t="n">
        <v>0</v>
      </c>
      <c r="L112" t="n">
        <v>0</v>
      </c>
      <c r="M112" t="n">
        <v>12</v>
      </c>
      <c r="N112"/>
      <c r="O112"/>
      <c r="P112"/>
      <c r="Q112" t="n">
        <v>12</v>
      </c>
      <c r="R112" t="s">
        <v>109</v>
      </c>
      <c r="S112" t="s">
        <v>109</v>
      </c>
      <c r="T112"/>
    </row>
    <row r="113">
      <c r="A113" t="s">
        <v>30</v>
      </c>
      <c r="B113" t="n">
        <v>1.25</v>
      </c>
      <c r="C113"/>
      <c r="D113"/>
      <c r="E113" t="n">
        <v>-3.75</v>
      </c>
      <c r="F113" t="n">
        <v>-0.75</v>
      </c>
      <c r="G113" t="n">
        <v>54</v>
      </c>
      <c r="H113" t="n">
        <v>12</v>
      </c>
      <c r="I113" t="s">
        <v>298</v>
      </c>
      <c r="J113" t="n">
        <v>0</v>
      </c>
      <c r="K113" t="n">
        <v>0</v>
      </c>
      <c r="L113" t="n">
        <v>0</v>
      </c>
      <c r="M113" t="n">
        <v>12</v>
      </c>
      <c r="N113"/>
      <c r="O113"/>
      <c r="P113"/>
      <c r="Q113" t="n">
        <v>12</v>
      </c>
      <c r="R113" t="s">
        <v>109</v>
      </c>
      <c r="S113" t="s">
        <v>109</v>
      </c>
      <c r="T113"/>
    </row>
    <row r="114">
      <c r="A114" t="s">
        <v>30</v>
      </c>
      <c r="B114" t="n">
        <v>1</v>
      </c>
      <c r="C114" t="n">
        <v>1.25</v>
      </c>
      <c r="D114" t="n">
        <v>1.25</v>
      </c>
      <c r="E114" t="n">
        <v>-3.25</v>
      </c>
      <c r="F114" t="n">
        <v>-1.5</v>
      </c>
      <c r="G114" t="n">
        <v>157</v>
      </c>
      <c r="H114" t="n">
        <v>12</v>
      </c>
      <c r="I114" t="s">
        <v>297</v>
      </c>
      <c r="J114" t="n">
        <v>0</v>
      </c>
      <c r="K114" t="n">
        <v>0</v>
      </c>
      <c r="L114" t="n">
        <v>0</v>
      </c>
      <c r="M114" t="n">
        <v>12</v>
      </c>
      <c r="N114" t="n">
        <v>0.5</v>
      </c>
      <c r="O114" t="n">
        <v>-0.5</v>
      </c>
      <c r="P114" t="n">
        <v>177</v>
      </c>
      <c r="Q114" t="n">
        <v>12</v>
      </c>
      <c r="R114" t="s">
        <v>298</v>
      </c>
      <c r="S114" t="s">
        <v>298</v>
      </c>
      <c r="T114" t="n">
        <v>0.25</v>
      </c>
    </row>
    <row r="115">
      <c r="A115" t="s">
        <v>30</v>
      </c>
      <c r="B115" t="n">
        <v>1</v>
      </c>
      <c r="C115" t="n">
        <v>1</v>
      </c>
      <c r="D115" t="n">
        <v>1</v>
      </c>
      <c r="E115" t="n">
        <v>0.25</v>
      </c>
      <c r="F115" t="n">
        <v>-1.5</v>
      </c>
      <c r="G115" t="n">
        <v>165</v>
      </c>
      <c r="H115" t="n">
        <v>12</v>
      </c>
      <c r="I115" t="s">
        <v>297</v>
      </c>
      <c r="J115" t="n">
        <v>0</v>
      </c>
      <c r="K115" t="n">
        <v>0</v>
      </c>
      <c r="L115" t="n">
        <v>0</v>
      </c>
      <c r="M115" t="n">
        <v>12</v>
      </c>
      <c r="N115" t="n">
        <v>0.25</v>
      </c>
      <c r="O115" t="n">
        <v>-0.25</v>
      </c>
      <c r="P115" t="n">
        <v>157</v>
      </c>
      <c r="Q115" t="n">
        <v>12</v>
      </c>
      <c r="R115" t="s">
        <v>297</v>
      </c>
      <c r="S115" t="s">
        <v>297</v>
      </c>
      <c r="T115" t="n">
        <v>0.125</v>
      </c>
    </row>
    <row r="116">
      <c r="A116" t="s">
        <v>30</v>
      </c>
      <c r="B116" t="n">
        <v>1</v>
      </c>
      <c r="C116" t="n">
        <v>1</v>
      </c>
      <c r="D116" t="n">
        <v>1.25</v>
      </c>
      <c r="E116" t="n">
        <v>0</v>
      </c>
      <c r="F116" t="n">
        <v>-0.75</v>
      </c>
      <c r="G116" t="n">
        <v>15</v>
      </c>
      <c r="H116" t="n">
        <v>12</v>
      </c>
      <c r="I116" t="s">
        <v>297</v>
      </c>
      <c r="J116" t="n">
        <v>-0.75</v>
      </c>
      <c r="K116" t="n">
        <v>0</v>
      </c>
      <c r="L116" t="n">
        <v>0</v>
      </c>
      <c r="M116" t="n">
        <v>12</v>
      </c>
      <c r="N116" t="n">
        <v>-0.5</v>
      </c>
      <c r="O116" t="n">
        <v>0</v>
      </c>
      <c r="P116" t="n">
        <v>110</v>
      </c>
      <c r="Q116" t="n">
        <v>12</v>
      </c>
      <c r="R116" t="s">
        <v>298</v>
      </c>
      <c r="S116" t="s">
        <v>297</v>
      </c>
      <c r="T116" t="n">
        <v>-0.5</v>
      </c>
    </row>
    <row r="117">
      <c r="A117" t="s">
        <v>30</v>
      </c>
      <c r="B117" t="n">
        <v>1</v>
      </c>
      <c r="C117" t="n">
        <v>1.25</v>
      </c>
      <c r="D117" t="n">
        <v>1.25</v>
      </c>
      <c r="E117" t="n">
        <v>-3.25</v>
      </c>
      <c r="F117" t="n">
        <v>-0.5</v>
      </c>
      <c r="G117" t="n">
        <v>84</v>
      </c>
      <c r="H117" t="n">
        <v>12</v>
      </c>
      <c r="I117" t="s">
        <v>297</v>
      </c>
      <c r="J117" t="n">
        <v>0</v>
      </c>
      <c r="K117" t="n">
        <v>0</v>
      </c>
      <c r="L117" t="n">
        <v>0</v>
      </c>
      <c r="M117" t="n">
        <v>12</v>
      </c>
      <c r="N117" t="n">
        <v>0</v>
      </c>
      <c r="O117" t="n">
        <v>-0.25</v>
      </c>
      <c r="P117" t="n">
        <v>54</v>
      </c>
      <c r="Q117" t="n">
        <v>12</v>
      </c>
      <c r="R117" t="s">
        <v>298</v>
      </c>
      <c r="S117" t="s">
        <v>298</v>
      </c>
      <c r="T117" t="n">
        <v>-0.125</v>
      </c>
    </row>
    <row r="118">
      <c r="A118" t="s">
        <v>30</v>
      </c>
      <c r="B118" t="n">
        <v>1</v>
      </c>
      <c r="C118" t="n">
        <v>1</v>
      </c>
      <c r="D118" t="n">
        <v>1</v>
      </c>
      <c r="E118" t="n">
        <v>-4.5</v>
      </c>
      <c r="F118" t="n">
        <v>-0.25</v>
      </c>
      <c r="G118" t="n">
        <v>83</v>
      </c>
      <c r="H118" t="n">
        <v>12</v>
      </c>
      <c r="I118" t="s">
        <v>297</v>
      </c>
      <c r="J118" t="n">
        <v>0</v>
      </c>
      <c r="K118" t="n">
        <v>0</v>
      </c>
      <c r="L118" t="n">
        <v>0</v>
      </c>
      <c r="M118" t="n">
        <v>12</v>
      </c>
      <c r="N118" t="n">
        <v>0.25</v>
      </c>
      <c r="O118" t="n">
        <v>-0.25</v>
      </c>
      <c r="P118" t="n">
        <v>154</v>
      </c>
      <c r="Q118" t="n">
        <v>12</v>
      </c>
      <c r="R118" t="s">
        <v>297</v>
      </c>
      <c r="S118" t="s">
        <v>297</v>
      </c>
      <c r="T118" t="n">
        <v>0.125</v>
      </c>
    </row>
    <row r="119">
      <c r="A119" t="s">
        <v>30</v>
      </c>
      <c r="B119" t="n">
        <v>1.25</v>
      </c>
      <c r="C119" t="n">
        <v>1.25</v>
      </c>
      <c r="D119" t="n">
        <v>1.25</v>
      </c>
      <c r="E119" t="n">
        <v>-1.75</v>
      </c>
      <c r="F119" t="n">
        <v>-0.75</v>
      </c>
      <c r="G119" t="n">
        <v>10</v>
      </c>
      <c r="H119" t="n">
        <v>12</v>
      </c>
      <c r="I119" t="s">
        <v>298</v>
      </c>
      <c r="J119" t="n">
        <v>0</v>
      </c>
      <c r="K119" t="n">
        <v>0</v>
      </c>
      <c r="L119" t="n">
        <v>0</v>
      </c>
      <c r="M119" t="n">
        <v>12</v>
      </c>
      <c r="N119" t="n">
        <v>0.25</v>
      </c>
      <c r="O119" t="n">
        <v>-0.25</v>
      </c>
      <c r="P119" t="n">
        <v>68</v>
      </c>
      <c r="Q119" t="n">
        <v>12</v>
      </c>
      <c r="R119" t="s">
        <v>298</v>
      </c>
      <c r="S119" t="s">
        <v>298</v>
      </c>
      <c r="T119" t="n">
        <v>0.125</v>
      </c>
    </row>
    <row r="120">
      <c r="A120" t="s">
        <v>30</v>
      </c>
      <c r="B120" t="n">
        <v>1.25</v>
      </c>
      <c r="C120" t="n">
        <v>1.25</v>
      </c>
      <c r="D120" t="n">
        <v>1.25</v>
      </c>
      <c r="E120" t="n">
        <v>-0.5</v>
      </c>
      <c r="F120" t="n">
        <v>-1.25</v>
      </c>
      <c r="G120" t="n">
        <v>171</v>
      </c>
      <c r="H120" t="n">
        <v>12</v>
      </c>
      <c r="I120" t="s">
        <v>298</v>
      </c>
      <c r="J120" t="n">
        <v>0</v>
      </c>
      <c r="K120" t="n">
        <v>0</v>
      </c>
      <c r="L120" t="n">
        <v>0</v>
      </c>
      <c r="M120" t="n">
        <v>12</v>
      </c>
      <c r="N120" t="n">
        <v>0.25</v>
      </c>
      <c r="O120" t="n">
        <v>-0.25</v>
      </c>
      <c r="P120" t="n">
        <v>41</v>
      </c>
      <c r="Q120" t="n">
        <v>12</v>
      </c>
      <c r="R120" t="s">
        <v>298</v>
      </c>
      <c r="S120" t="s">
        <v>298</v>
      </c>
      <c r="T120" t="n">
        <v>0.125</v>
      </c>
    </row>
    <row r="121">
      <c r="A121" t="s">
        <v>30</v>
      </c>
      <c r="B121" t="n">
        <v>1.25</v>
      </c>
      <c r="C121" t="n">
        <v>1.25</v>
      </c>
      <c r="D121" t="n">
        <v>1.25</v>
      </c>
      <c r="E121" t="n">
        <v>-4.25</v>
      </c>
      <c r="F121" t="n">
        <v>-0.25</v>
      </c>
      <c r="G121" t="n">
        <v>165</v>
      </c>
      <c r="H121" t="n">
        <v>12</v>
      </c>
      <c r="I121" t="s">
        <v>298</v>
      </c>
      <c r="J121" t="n">
        <v>0</v>
      </c>
      <c r="K121" t="n">
        <v>0</v>
      </c>
      <c r="L121" t="n">
        <v>0</v>
      </c>
      <c r="M121" t="n">
        <v>12</v>
      </c>
      <c r="N121" t="n">
        <v>0.5</v>
      </c>
      <c r="O121" t="n">
        <v>-0.25</v>
      </c>
      <c r="P121" t="n">
        <v>117</v>
      </c>
      <c r="Q121" t="n">
        <v>12</v>
      </c>
      <c r="R121" t="s">
        <v>298</v>
      </c>
      <c r="S121" t="s">
        <v>298</v>
      </c>
      <c r="T121" t="n">
        <v>0.375</v>
      </c>
    </row>
    <row r="122">
      <c r="A122" t="s">
        <v>30</v>
      </c>
      <c r="B122" t="n">
        <v>1</v>
      </c>
      <c r="C122" t="n">
        <v>0.8</v>
      </c>
      <c r="D122" t="n">
        <v>1.6</v>
      </c>
      <c r="E122" t="n">
        <v>-5</v>
      </c>
      <c r="F122" t="n">
        <v>-0.5</v>
      </c>
      <c r="G122" t="n">
        <v>157</v>
      </c>
      <c r="H122" t="n">
        <v>12</v>
      </c>
      <c r="I122" t="s">
        <v>297</v>
      </c>
      <c r="J122" t="n">
        <v>0</v>
      </c>
      <c r="K122" t="n">
        <v>0</v>
      </c>
      <c r="L122" t="n">
        <v>0</v>
      </c>
      <c r="M122" t="n">
        <v>12</v>
      </c>
      <c r="N122" t="n">
        <v>-1</v>
      </c>
      <c r="O122" t="n">
        <v>0</v>
      </c>
      <c r="P122" t="n">
        <v>108</v>
      </c>
      <c r="Q122" t="n">
        <v>12</v>
      </c>
      <c r="R122" t="s">
        <v>299</v>
      </c>
      <c r="S122" t="s">
        <v>296</v>
      </c>
      <c r="T122" t="n">
        <v>-1</v>
      </c>
    </row>
    <row r="123">
      <c r="A123" t="s">
        <v>30</v>
      </c>
      <c r="B123" t="n">
        <v>1</v>
      </c>
      <c r="C123" t="n">
        <v>1</v>
      </c>
      <c r="D123" t="n">
        <v>1.6</v>
      </c>
      <c r="E123" t="n">
        <v>-4.5</v>
      </c>
      <c r="F123" t="n">
        <v>-0.75</v>
      </c>
      <c r="G123" t="n">
        <v>28</v>
      </c>
      <c r="H123" t="n">
        <v>12</v>
      </c>
      <c r="I123" t="s">
        <v>297</v>
      </c>
      <c r="J123" t="n">
        <v>0</v>
      </c>
      <c r="K123" t="n">
        <v>0</v>
      </c>
      <c r="L123" t="n">
        <v>0</v>
      </c>
      <c r="M123" t="n">
        <v>12</v>
      </c>
      <c r="N123" t="n">
        <v>-1</v>
      </c>
      <c r="O123" t="n">
        <v>0</v>
      </c>
      <c r="P123" t="n">
        <v>97</v>
      </c>
      <c r="Q123" t="n">
        <v>12</v>
      </c>
      <c r="R123" t="s">
        <v>299</v>
      </c>
      <c r="S123" t="s">
        <v>297</v>
      </c>
      <c r="T123" t="n">
        <v>-1</v>
      </c>
    </row>
    <row r="124">
      <c r="A124" t="s">
        <v>30</v>
      </c>
      <c r="B124" t="n">
        <v>1</v>
      </c>
      <c r="C124" t="n">
        <v>1.25</v>
      </c>
      <c r="D124" t="n">
        <v>1.25</v>
      </c>
      <c r="E124" t="n">
        <v>-5</v>
      </c>
      <c r="F124" t="n">
        <v>-0.5</v>
      </c>
      <c r="G124" t="n">
        <v>53</v>
      </c>
      <c r="H124" t="n">
        <v>12</v>
      </c>
      <c r="I124" t="s">
        <v>297</v>
      </c>
      <c r="J124" t="n">
        <v>0</v>
      </c>
      <c r="K124" t="n">
        <v>0</v>
      </c>
      <c r="L124" t="n">
        <v>0</v>
      </c>
      <c r="M124" t="n">
        <v>12</v>
      </c>
      <c r="N124" t="n">
        <v>0.25</v>
      </c>
      <c r="O124" t="n">
        <v>-0.25</v>
      </c>
      <c r="P124" t="n">
        <v>72</v>
      </c>
      <c r="Q124" t="n">
        <v>12</v>
      </c>
      <c r="R124" t="s">
        <v>298</v>
      </c>
      <c r="S124" t="s">
        <v>298</v>
      </c>
      <c r="T124" t="n">
        <v>0.125</v>
      </c>
    </row>
    <row r="125">
      <c r="A125" t="s">
        <v>30</v>
      </c>
      <c r="B125" t="n">
        <v>0.8</v>
      </c>
      <c r="C125"/>
      <c r="D125"/>
      <c r="E125" t="n">
        <v>-5.75</v>
      </c>
      <c r="F125" t="n">
        <v>-0.5</v>
      </c>
      <c r="G125" t="n">
        <v>126</v>
      </c>
      <c r="H125" t="n">
        <v>12</v>
      </c>
      <c r="I125" t="s">
        <v>296</v>
      </c>
      <c r="J125" t="n">
        <v>0</v>
      </c>
      <c r="K125" t="n">
        <v>0</v>
      </c>
      <c r="L125" t="n">
        <v>0</v>
      </c>
      <c r="M125" t="n">
        <v>12</v>
      </c>
      <c r="N125"/>
      <c r="O125"/>
      <c r="P125"/>
      <c r="Q125" t="n">
        <v>12</v>
      </c>
      <c r="R125" t="s">
        <v>109</v>
      </c>
      <c r="S125" t="s">
        <v>109</v>
      </c>
      <c r="T125"/>
    </row>
    <row r="126">
      <c r="A126" t="s">
        <v>30</v>
      </c>
      <c r="B126" t="n">
        <v>1</v>
      </c>
      <c r="C126" t="n">
        <v>0.8</v>
      </c>
      <c r="D126" t="n">
        <v>1</v>
      </c>
      <c r="E126" t="n">
        <v>-3.75</v>
      </c>
      <c r="F126" t="n">
        <v>-0.25</v>
      </c>
      <c r="G126" t="n">
        <v>9</v>
      </c>
      <c r="H126" t="n">
        <v>12</v>
      </c>
      <c r="I126" t="s">
        <v>297</v>
      </c>
      <c r="J126" t="n">
        <v>0</v>
      </c>
      <c r="K126" t="n">
        <v>0</v>
      </c>
      <c r="L126" t="n">
        <v>0</v>
      </c>
      <c r="M126" t="n">
        <v>12</v>
      </c>
      <c r="N126" t="n">
        <v>0</v>
      </c>
      <c r="O126" t="n">
        <v>0</v>
      </c>
      <c r="P126" t="n">
        <v>142</v>
      </c>
      <c r="Q126" t="n">
        <v>12</v>
      </c>
      <c r="R126" t="s">
        <v>297</v>
      </c>
      <c r="S126" t="s">
        <v>296</v>
      </c>
      <c r="T126" t="n">
        <v>0</v>
      </c>
    </row>
    <row r="127">
      <c r="A127" t="s">
        <v>30</v>
      </c>
      <c r="B127" t="n">
        <v>1</v>
      </c>
      <c r="C127" t="n">
        <v>0.63</v>
      </c>
      <c r="D127" t="n">
        <v>0.8</v>
      </c>
      <c r="E127" t="n">
        <v>-4</v>
      </c>
      <c r="F127" t="n">
        <v>-0.5</v>
      </c>
      <c r="G127" t="n">
        <v>165</v>
      </c>
      <c r="H127" t="n">
        <v>12</v>
      </c>
      <c r="I127" t="s">
        <v>297</v>
      </c>
      <c r="J127" t="n">
        <v>0</v>
      </c>
      <c r="K127" t="n">
        <v>0</v>
      </c>
      <c r="L127" t="n">
        <v>0</v>
      </c>
      <c r="M127" t="n">
        <v>12</v>
      </c>
      <c r="N127" t="n">
        <v>-0.25</v>
      </c>
      <c r="O127" t="n">
        <v>-0.25</v>
      </c>
      <c r="P127" t="n">
        <v>138</v>
      </c>
      <c r="Q127" t="n">
        <v>12</v>
      </c>
      <c r="R127" t="s">
        <v>296</v>
      </c>
      <c r="S127" t="s">
        <v>301</v>
      </c>
      <c r="T127" t="n">
        <v>-0.375</v>
      </c>
    </row>
    <row r="128">
      <c r="A128" t="s">
        <v>30</v>
      </c>
      <c r="B128" t="n">
        <v>1.25</v>
      </c>
      <c r="C128" t="n">
        <v>1.6</v>
      </c>
      <c r="D128" t="n">
        <v>1.6</v>
      </c>
      <c r="E128" t="n">
        <v>-2.75</v>
      </c>
      <c r="F128" t="n">
        <v>-0.25</v>
      </c>
      <c r="G128" t="n">
        <v>10</v>
      </c>
      <c r="H128" t="n">
        <v>12</v>
      </c>
      <c r="I128" t="s">
        <v>298</v>
      </c>
      <c r="J128" t="n">
        <v>0</v>
      </c>
      <c r="K128" t="n">
        <v>0</v>
      </c>
      <c r="L128" t="n">
        <v>0</v>
      </c>
      <c r="M128" t="n">
        <v>12</v>
      </c>
      <c r="N128" t="n">
        <v>-0.25</v>
      </c>
      <c r="O128" t="n">
        <v>-0.25</v>
      </c>
      <c r="P128" t="n">
        <v>66</v>
      </c>
      <c r="Q128" t="n">
        <v>12</v>
      </c>
      <c r="R128" t="s">
        <v>299</v>
      </c>
      <c r="S128" t="s">
        <v>299</v>
      </c>
      <c r="T128" t="n">
        <v>-0.375</v>
      </c>
    </row>
    <row r="129">
      <c r="A129" t="s">
        <v>30</v>
      </c>
      <c r="B129" t="n">
        <v>1.25</v>
      </c>
      <c r="C129" t="n">
        <v>1.6</v>
      </c>
      <c r="D129" t="n">
        <v>1.6</v>
      </c>
      <c r="E129" t="n">
        <v>-4.5</v>
      </c>
      <c r="F129" t="n">
        <v>-0.25</v>
      </c>
      <c r="G129" t="n">
        <v>174</v>
      </c>
      <c r="H129" t="n">
        <v>12</v>
      </c>
      <c r="I129" t="s">
        <v>298</v>
      </c>
      <c r="J129" t="n">
        <v>0</v>
      </c>
      <c r="K129" t="n">
        <v>0</v>
      </c>
      <c r="L129" t="n">
        <v>0</v>
      </c>
      <c r="M129" t="n">
        <v>12</v>
      </c>
      <c r="N129" t="n">
        <v>-0.25</v>
      </c>
      <c r="O129" t="n">
        <v>0</v>
      </c>
      <c r="P129" t="n">
        <v>31</v>
      </c>
      <c r="Q129" t="n">
        <v>12</v>
      </c>
      <c r="R129" t="s">
        <v>299</v>
      </c>
      <c r="S129" t="s">
        <v>299</v>
      </c>
      <c r="T129" t="n">
        <v>-0.25</v>
      </c>
    </row>
    <row r="130">
      <c r="A130" t="s">
        <v>30</v>
      </c>
      <c r="B130" t="n">
        <v>1</v>
      </c>
      <c r="C130" t="n">
        <v>0.8</v>
      </c>
      <c r="D130" t="n">
        <v>1</v>
      </c>
      <c r="E130" t="n">
        <v>-1</v>
      </c>
      <c r="F130" t="n">
        <v>-0.5</v>
      </c>
      <c r="G130" t="n">
        <v>162</v>
      </c>
      <c r="H130" t="n">
        <v>12</v>
      </c>
      <c r="I130" t="s">
        <v>297</v>
      </c>
      <c r="J130" t="n">
        <v>0</v>
      </c>
      <c r="K130" t="n">
        <v>0</v>
      </c>
      <c r="L130" t="n">
        <v>0</v>
      </c>
      <c r="M130" t="n">
        <v>12</v>
      </c>
      <c r="N130" t="n">
        <v>0.75</v>
      </c>
      <c r="O130" t="n">
        <v>-0.25</v>
      </c>
      <c r="P130" t="n">
        <v>96</v>
      </c>
      <c r="Q130" t="n">
        <v>12</v>
      </c>
      <c r="R130" t="s">
        <v>297</v>
      </c>
      <c r="S130" t="s">
        <v>296</v>
      </c>
      <c r="T130" t="n">
        <v>0.625</v>
      </c>
    </row>
    <row r="131">
      <c r="A131" t="s">
        <v>30</v>
      </c>
      <c r="B131" t="n">
        <v>1</v>
      </c>
      <c r="C131" t="n">
        <v>1</v>
      </c>
      <c r="D131" t="n">
        <v>1</v>
      </c>
      <c r="E131" t="n">
        <v>-6.5</v>
      </c>
      <c r="F131" t="n">
        <v>-0.5</v>
      </c>
      <c r="G131" t="n">
        <v>141</v>
      </c>
      <c r="H131" t="n">
        <v>12</v>
      </c>
      <c r="I131" t="s">
        <v>297</v>
      </c>
      <c r="J131" t="n">
        <v>0</v>
      </c>
      <c r="K131" t="n">
        <v>0</v>
      </c>
      <c r="L131" t="n">
        <v>0</v>
      </c>
      <c r="M131" t="n">
        <v>12</v>
      </c>
      <c r="N131" t="n">
        <v>0</v>
      </c>
      <c r="O131" t="n">
        <v>-0.25</v>
      </c>
      <c r="P131" t="n">
        <v>145</v>
      </c>
      <c r="Q131" t="n">
        <v>12</v>
      </c>
      <c r="R131" t="s">
        <v>297</v>
      </c>
      <c r="S131" t="s">
        <v>297</v>
      </c>
      <c r="T131" t="n">
        <v>-0.125</v>
      </c>
    </row>
    <row r="132">
      <c r="A132" t="s">
        <v>30</v>
      </c>
      <c r="B132" t="n">
        <v>1</v>
      </c>
      <c r="C132" t="n">
        <v>1</v>
      </c>
      <c r="D132" t="n">
        <v>1</v>
      </c>
      <c r="E132" t="n">
        <v>-3.5</v>
      </c>
      <c r="F132" t="n">
        <v>-0.5</v>
      </c>
      <c r="G132" t="n">
        <v>12</v>
      </c>
      <c r="H132" t="n">
        <v>12</v>
      </c>
      <c r="I132" t="s">
        <v>297</v>
      </c>
      <c r="J132" t="n">
        <v>0</v>
      </c>
      <c r="K132" t="n">
        <v>0</v>
      </c>
      <c r="L132" t="n">
        <v>0</v>
      </c>
      <c r="M132" t="n">
        <v>12</v>
      </c>
      <c r="N132" t="n">
        <v>0</v>
      </c>
      <c r="O132" t="n">
        <v>-0.25</v>
      </c>
      <c r="P132" t="n">
        <v>157</v>
      </c>
      <c r="Q132" t="n">
        <v>12</v>
      </c>
      <c r="R132" t="s">
        <v>297</v>
      </c>
      <c r="S132" t="s">
        <v>297</v>
      </c>
      <c r="T132" t="n">
        <v>-0.125</v>
      </c>
    </row>
    <row r="133">
      <c r="A133" t="s">
        <v>30</v>
      </c>
      <c r="B133" t="n">
        <v>1</v>
      </c>
      <c r="C133" t="n">
        <v>1</v>
      </c>
      <c r="D133" t="n">
        <v>1</v>
      </c>
      <c r="E133" t="n">
        <v>-3.25</v>
      </c>
      <c r="F133" t="n">
        <v>-0.75</v>
      </c>
      <c r="G133" t="n">
        <v>171</v>
      </c>
      <c r="H133" t="n">
        <v>12</v>
      </c>
      <c r="I133" t="s">
        <v>297</v>
      </c>
      <c r="J133" t="n">
        <v>0</v>
      </c>
      <c r="K133" t="n">
        <v>0</v>
      </c>
      <c r="L133" t="n">
        <v>0</v>
      </c>
      <c r="M133" t="n">
        <v>12</v>
      </c>
      <c r="N133" t="n">
        <v>0.25</v>
      </c>
      <c r="O133" t="n">
        <v>-0.25</v>
      </c>
      <c r="P133" t="n">
        <v>42</v>
      </c>
      <c r="Q133" t="n">
        <v>12</v>
      </c>
      <c r="R133" t="s">
        <v>297</v>
      </c>
      <c r="S133" t="s">
        <v>297</v>
      </c>
      <c r="T133" t="n">
        <v>0.125</v>
      </c>
    </row>
    <row r="134">
      <c r="A134" t="s">
        <v>30</v>
      </c>
      <c r="B134" t="n">
        <v>1.25</v>
      </c>
      <c r="C134" t="n">
        <v>1.25</v>
      </c>
      <c r="D134" t="n">
        <v>1.25</v>
      </c>
      <c r="E134" t="n">
        <v>-4.25</v>
      </c>
      <c r="F134" t="n">
        <v>-0.75</v>
      </c>
      <c r="G134" t="n">
        <v>131</v>
      </c>
      <c r="H134" t="n">
        <v>12</v>
      </c>
      <c r="I134" t="s">
        <v>298</v>
      </c>
      <c r="J134" t="n">
        <v>0</v>
      </c>
      <c r="K134" t="n">
        <v>0</v>
      </c>
      <c r="L134" t="n">
        <v>0</v>
      </c>
      <c r="M134" t="n">
        <v>12</v>
      </c>
      <c r="N134" t="n">
        <v>0.25</v>
      </c>
      <c r="O134" t="n">
        <v>-0.25</v>
      </c>
      <c r="P134" t="n">
        <v>71</v>
      </c>
      <c r="Q134" t="n">
        <v>12</v>
      </c>
      <c r="R134" t="s">
        <v>298</v>
      </c>
      <c r="S134" t="s">
        <v>298</v>
      </c>
      <c r="T134" t="n">
        <v>0.125</v>
      </c>
    </row>
    <row r="135">
      <c r="A135" t="s">
        <v>30</v>
      </c>
      <c r="B135" t="n">
        <v>1</v>
      </c>
      <c r="C135" t="n">
        <v>1.25</v>
      </c>
      <c r="D135" t="n">
        <v>1.25</v>
      </c>
      <c r="E135" t="n">
        <v>-2.75</v>
      </c>
      <c r="F135" t="n">
        <v>-0.75</v>
      </c>
      <c r="G135" t="n">
        <v>173</v>
      </c>
      <c r="H135" t="n">
        <v>12</v>
      </c>
      <c r="I135" t="s">
        <v>297</v>
      </c>
      <c r="J135" t="n">
        <v>0</v>
      </c>
      <c r="K135" t="n">
        <v>0</v>
      </c>
      <c r="L135" t="n">
        <v>0</v>
      </c>
      <c r="M135" t="n">
        <v>12</v>
      </c>
      <c r="N135" t="n">
        <v>-0.5</v>
      </c>
      <c r="O135" t="n">
        <v>0</v>
      </c>
      <c r="P135" t="n">
        <v>80</v>
      </c>
      <c r="Q135" t="n">
        <v>12</v>
      </c>
      <c r="R135" t="s">
        <v>298</v>
      </c>
      <c r="S135" t="s">
        <v>298</v>
      </c>
      <c r="T135" t="n">
        <v>-0.5</v>
      </c>
    </row>
    <row r="136">
      <c r="A136" t="s">
        <v>30</v>
      </c>
      <c r="B136" t="n">
        <v>1</v>
      </c>
      <c r="C136" t="n">
        <v>1.25</v>
      </c>
      <c r="D136" t="n">
        <v>1.25</v>
      </c>
      <c r="E136" t="n">
        <v>-3.25</v>
      </c>
      <c r="F136" t="n">
        <v>-0.5</v>
      </c>
      <c r="G136" t="n">
        <v>14</v>
      </c>
      <c r="H136" t="n">
        <v>12</v>
      </c>
      <c r="I136" t="s">
        <v>297</v>
      </c>
      <c r="J136" t="n">
        <v>0</v>
      </c>
      <c r="K136" t="n">
        <v>0</v>
      </c>
      <c r="L136" t="n">
        <v>0</v>
      </c>
      <c r="M136" t="n">
        <v>12</v>
      </c>
      <c r="N136" t="n">
        <v>0</v>
      </c>
      <c r="O136" t="n">
        <v>-0.25</v>
      </c>
      <c r="P136" t="n">
        <v>165</v>
      </c>
      <c r="Q136" t="n">
        <v>12</v>
      </c>
      <c r="R136" t="s">
        <v>298</v>
      </c>
      <c r="S136" t="s">
        <v>298</v>
      </c>
      <c r="T136" t="n">
        <v>-0.125</v>
      </c>
    </row>
    <row r="137">
      <c r="A137" t="s">
        <v>30</v>
      </c>
      <c r="B137" t="n">
        <v>1.25</v>
      </c>
      <c r="C137" t="n">
        <v>1.25</v>
      </c>
      <c r="D137" t="n">
        <v>1.25</v>
      </c>
      <c r="E137" t="n">
        <v>-4</v>
      </c>
      <c r="F137" t="n">
        <v>-0.5</v>
      </c>
      <c r="G137" t="n">
        <v>152</v>
      </c>
      <c r="H137" t="n">
        <v>12</v>
      </c>
      <c r="I137" t="s">
        <v>298</v>
      </c>
      <c r="J137" t="n">
        <v>0</v>
      </c>
      <c r="K137" t="n">
        <v>0</v>
      </c>
      <c r="L137" t="n">
        <v>0</v>
      </c>
      <c r="M137" t="n">
        <v>12</v>
      </c>
      <c r="N137" t="n">
        <v>-0.25</v>
      </c>
      <c r="O137" t="n">
        <v>-0.25</v>
      </c>
      <c r="P137" t="n">
        <v>1</v>
      </c>
      <c r="Q137" t="n">
        <v>12</v>
      </c>
      <c r="R137" t="s">
        <v>298</v>
      </c>
      <c r="S137" t="s">
        <v>298</v>
      </c>
      <c r="T137" t="n">
        <v>-0.375</v>
      </c>
    </row>
    <row r="138">
      <c r="A138" t="s">
        <v>30</v>
      </c>
      <c r="B138" t="n">
        <v>1</v>
      </c>
      <c r="C138" t="n">
        <v>1.25</v>
      </c>
      <c r="D138" t="n">
        <v>1.25</v>
      </c>
      <c r="E138" t="n">
        <v>-6.5</v>
      </c>
      <c r="F138" t="n">
        <v>-0.75</v>
      </c>
      <c r="G138" t="n">
        <v>93</v>
      </c>
      <c r="H138" t="n">
        <v>12</v>
      </c>
      <c r="I138" t="s">
        <v>297</v>
      </c>
      <c r="J138" t="n">
        <v>0</v>
      </c>
      <c r="K138" t="n">
        <v>0</v>
      </c>
      <c r="L138" t="n">
        <v>0</v>
      </c>
      <c r="M138" t="n">
        <v>12</v>
      </c>
      <c r="N138" t="n">
        <v>0</v>
      </c>
      <c r="O138" t="n">
        <v>-0.5</v>
      </c>
      <c r="P138" t="n">
        <v>64</v>
      </c>
      <c r="Q138" t="n">
        <v>12</v>
      </c>
      <c r="R138" t="s">
        <v>298</v>
      </c>
      <c r="S138" t="s">
        <v>298</v>
      </c>
      <c r="T138" t="n">
        <v>-0.25</v>
      </c>
    </row>
  </sheetData>
  <pageMargins left="0.7" right="0.7" top="0.75" bottom="0.75" header="0.3" footer="0.3"/>
  <pageSetup paperSize="9" orientation="portrait" horizontalDpi="300" verticalDpi="300"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5" t="s">
        <v>279</v>
      </c>
      <c r="B1" s="5" t="s">
        <v>280</v>
      </c>
      <c r="C1" s="5" t="s">
        <v>281</v>
      </c>
      <c r="D1" s="5" t="s">
        <v>282</v>
      </c>
      <c r="E1" s="6" t="s">
        <v>283</v>
      </c>
      <c r="F1" s="6" t="s">
        <v>284</v>
      </c>
      <c r="G1" s="6" t="s">
        <v>285</v>
      </c>
      <c r="H1" s="6" t="s">
        <v>286</v>
      </c>
      <c r="I1" s="6" t="s">
        <v>82</v>
      </c>
      <c r="J1" s="7" t="s">
        <v>287</v>
      </c>
      <c r="K1" s="7" t="s">
        <v>288</v>
      </c>
      <c r="L1" s="7" t="s">
        <v>289</v>
      </c>
      <c r="M1" s="7" t="s">
        <v>290</v>
      </c>
      <c r="N1" s="8" t="s">
        <v>291</v>
      </c>
      <c r="O1" s="8" t="s">
        <v>292</v>
      </c>
      <c r="P1" s="8" t="s">
        <v>293</v>
      </c>
      <c r="Q1" s="8" t="s">
        <v>294</v>
      </c>
      <c r="R1" s="8" t="s">
        <v>203</v>
      </c>
      <c r="S1" s="8" t="s">
        <v>194</v>
      </c>
      <c r="T1" s="9" t="s">
        <v>295</v>
      </c>
    </row>
    <row r="2">
      <c r="A2" t="s">
        <v>31</v>
      </c>
      <c r="B2" t="n">
        <v>1</v>
      </c>
      <c r="C2"/>
      <c r="D2" t="n">
        <v>1</v>
      </c>
      <c r="E2" t="n">
        <v>-4</v>
      </c>
      <c r="F2" t="n">
        <v>-0.5</v>
      </c>
      <c r="G2" t="n">
        <v>5</v>
      </c>
      <c r="H2" t="n">
        <v>12</v>
      </c>
      <c r="I2" t="s">
        <v>297</v>
      </c>
      <c r="J2" t="n">
        <v>0</v>
      </c>
      <c r="K2" t="n">
        <v>0</v>
      </c>
      <c r="L2" t="n">
        <v>0</v>
      </c>
      <c r="M2" t="n">
        <v>12</v>
      </c>
      <c r="N2" t="n">
        <v>0</v>
      </c>
      <c r="O2" t="n">
        <v>-0.25</v>
      </c>
      <c r="P2" t="n">
        <v>175</v>
      </c>
      <c r="Q2" t="n">
        <v>12</v>
      </c>
      <c r="R2" t="s">
        <v>297</v>
      </c>
      <c r="S2" t="s">
        <v>109</v>
      </c>
      <c r="T2" t="n">
        <v>-0.125</v>
      </c>
    </row>
    <row r="3">
      <c r="A3" t="s">
        <v>31</v>
      </c>
      <c r="B3" t="n">
        <v>1</v>
      </c>
      <c r="C3" t="n">
        <v>1</v>
      </c>
      <c r="D3" t="n">
        <v>1</v>
      </c>
      <c r="E3" t="n">
        <v>-4.5</v>
      </c>
      <c r="F3" t="n">
        <v>-0.25</v>
      </c>
      <c r="G3" t="n">
        <v>172</v>
      </c>
      <c r="H3" t="n">
        <v>12</v>
      </c>
      <c r="I3" t="s">
        <v>297</v>
      </c>
      <c r="J3" t="n">
        <v>0</v>
      </c>
      <c r="K3" t="n">
        <v>0</v>
      </c>
      <c r="L3" t="n">
        <v>0</v>
      </c>
      <c r="M3" t="n">
        <v>12</v>
      </c>
      <c r="N3" t="n">
        <v>0</v>
      </c>
      <c r="O3" t="n">
        <v>-0.25</v>
      </c>
      <c r="P3" t="n">
        <v>17</v>
      </c>
      <c r="Q3" t="n">
        <v>12</v>
      </c>
      <c r="R3" t="s">
        <v>297</v>
      </c>
      <c r="S3" t="s">
        <v>297</v>
      </c>
      <c r="T3" t="n">
        <v>-0.125</v>
      </c>
    </row>
    <row r="4">
      <c r="A4" t="s">
        <v>31</v>
      </c>
      <c r="B4" t="n">
        <v>0.8</v>
      </c>
      <c r="C4" t="n">
        <v>0.8</v>
      </c>
      <c r="D4" t="n">
        <v>0.8</v>
      </c>
      <c r="E4" t="n">
        <v>-3.75</v>
      </c>
      <c r="F4" t="n">
        <v>-0.25</v>
      </c>
      <c r="G4" t="n">
        <v>14</v>
      </c>
      <c r="H4" t="n">
        <v>12</v>
      </c>
      <c r="I4" t="s">
        <v>296</v>
      </c>
      <c r="J4" t="n">
        <v>0</v>
      </c>
      <c r="K4" t="n">
        <v>0</v>
      </c>
      <c r="L4" t="n">
        <v>0</v>
      </c>
      <c r="M4" t="n">
        <v>12</v>
      </c>
      <c r="N4" t="n">
        <v>0</v>
      </c>
      <c r="O4" t="n">
        <v>-0.25</v>
      </c>
      <c r="P4" t="n">
        <v>48</v>
      </c>
      <c r="Q4" t="n">
        <v>12</v>
      </c>
      <c r="R4" t="s">
        <v>296</v>
      </c>
      <c r="S4" t="s">
        <v>296</v>
      </c>
      <c r="T4" t="n">
        <v>-0.125</v>
      </c>
    </row>
    <row r="5">
      <c r="A5" t="s">
        <v>31</v>
      </c>
      <c r="B5" t="n">
        <v>1</v>
      </c>
      <c r="C5" t="n">
        <v>1</v>
      </c>
      <c r="D5" t="n">
        <v>1</v>
      </c>
      <c r="E5" t="n">
        <v>-5.25</v>
      </c>
      <c r="F5" t="n">
        <v>-1.5</v>
      </c>
      <c r="G5" t="n">
        <v>98</v>
      </c>
      <c r="H5" t="n">
        <v>12</v>
      </c>
      <c r="I5" t="s">
        <v>297</v>
      </c>
      <c r="J5" t="n">
        <v>0</v>
      </c>
      <c r="K5" t="n">
        <v>0</v>
      </c>
      <c r="L5" t="n">
        <v>0</v>
      </c>
      <c r="M5" t="n">
        <v>12</v>
      </c>
      <c r="N5" t="n">
        <v>0.5</v>
      </c>
      <c r="O5" t="n">
        <v>-0.25</v>
      </c>
      <c r="P5" t="n">
        <v>97</v>
      </c>
      <c r="Q5" t="n">
        <v>12</v>
      </c>
      <c r="R5" t="s">
        <v>297</v>
      </c>
      <c r="S5" t="s">
        <v>297</v>
      </c>
      <c r="T5" t="n">
        <v>0.375</v>
      </c>
    </row>
    <row r="6">
      <c r="A6" t="s">
        <v>31</v>
      </c>
      <c r="B6" t="n">
        <v>1</v>
      </c>
      <c r="C6" t="n">
        <v>1.25</v>
      </c>
      <c r="D6" t="n">
        <v>1.25</v>
      </c>
      <c r="E6" t="n">
        <v>-4.25</v>
      </c>
      <c r="F6" t="n">
        <v>-1.5</v>
      </c>
      <c r="G6" t="n">
        <v>171</v>
      </c>
      <c r="H6" t="n">
        <v>12</v>
      </c>
      <c r="I6" t="s">
        <v>297</v>
      </c>
      <c r="J6" t="n">
        <v>0</v>
      </c>
      <c r="K6" t="n">
        <v>0</v>
      </c>
      <c r="L6" t="n">
        <v>0</v>
      </c>
      <c r="M6" t="n">
        <v>12</v>
      </c>
      <c r="N6" t="n">
        <v>0.25</v>
      </c>
      <c r="O6" t="n">
        <v>-0.5</v>
      </c>
      <c r="P6" t="n">
        <v>4</v>
      </c>
      <c r="Q6" t="n">
        <v>12</v>
      </c>
      <c r="R6" t="s">
        <v>298</v>
      </c>
      <c r="S6" t="s">
        <v>298</v>
      </c>
      <c r="T6" t="n">
        <v>0</v>
      </c>
    </row>
    <row r="7">
      <c r="A7" t="s">
        <v>31</v>
      </c>
      <c r="B7" t="n">
        <v>1</v>
      </c>
      <c r="C7" t="n">
        <v>1.6</v>
      </c>
      <c r="D7" t="n">
        <v>1.6</v>
      </c>
      <c r="E7" t="n">
        <v>-2.5</v>
      </c>
      <c r="F7" t="n">
        <v>-1.75</v>
      </c>
      <c r="G7" t="n">
        <v>4</v>
      </c>
      <c r="H7" t="n">
        <v>12</v>
      </c>
      <c r="I7" t="s">
        <v>297</v>
      </c>
      <c r="J7" t="n">
        <v>0</v>
      </c>
      <c r="K7" t="n">
        <v>0</v>
      </c>
      <c r="L7" t="n">
        <v>0</v>
      </c>
      <c r="M7" t="n">
        <v>12</v>
      </c>
      <c r="N7" t="n">
        <v>0</v>
      </c>
      <c r="O7" t="n">
        <v>-0.25</v>
      </c>
      <c r="P7" t="n">
        <v>87</v>
      </c>
      <c r="Q7" t="n">
        <v>12</v>
      </c>
      <c r="R7" t="s">
        <v>299</v>
      </c>
      <c r="S7" t="s">
        <v>299</v>
      </c>
      <c r="T7" t="n">
        <v>-0.125</v>
      </c>
    </row>
    <row r="8">
      <c r="A8" t="s">
        <v>31</v>
      </c>
      <c r="B8" t="n">
        <v>1</v>
      </c>
      <c r="C8" t="n">
        <v>1</v>
      </c>
      <c r="D8" t="n">
        <v>1.25</v>
      </c>
      <c r="E8" t="n">
        <v>-3.75</v>
      </c>
      <c r="F8" t="n">
        <v>-1</v>
      </c>
      <c r="G8" t="n">
        <v>2</v>
      </c>
      <c r="H8" t="n">
        <v>12</v>
      </c>
      <c r="I8" t="s">
        <v>297</v>
      </c>
      <c r="J8" t="n">
        <v>0</v>
      </c>
      <c r="K8" t="n">
        <v>0</v>
      </c>
      <c r="L8" t="n">
        <v>0</v>
      </c>
      <c r="M8" t="n">
        <v>12</v>
      </c>
      <c r="N8" t="n">
        <v>-0.25</v>
      </c>
      <c r="O8" t="n">
        <v>-0.25</v>
      </c>
      <c r="P8" t="n">
        <v>91</v>
      </c>
      <c r="Q8" t="n">
        <v>12</v>
      </c>
      <c r="R8" t="s">
        <v>298</v>
      </c>
      <c r="S8" t="s">
        <v>297</v>
      </c>
      <c r="T8" t="n">
        <v>-0.375</v>
      </c>
    </row>
    <row r="9">
      <c r="A9" t="s">
        <v>31</v>
      </c>
      <c r="B9" t="n">
        <v>1.25</v>
      </c>
      <c r="C9" t="n">
        <v>1.25</v>
      </c>
      <c r="D9" t="n">
        <v>1.25</v>
      </c>
      <c r="E9" t="n">
        <v>-1.25</v>
      </c>
      <c r="F9" t="n">
        <v>-1.5</v>
      </c>
      <c r="G9" t="n">
        <v>38</v>
      </c>
      <c r="H9" t="n">
        <v>12</v>
      </c>
      <c r="I9" t="s">
        <v>298</v>
      </c>
      <c r="J9" t="n">
        <v>0</v>
      </c>
      <c r="K9" t="n">
        <v>0</v>
      </c>
      <c r="L9" t="n">
        <v>0</v>
      </c>
      <c r="M9" t="n">
        <v>12</v>
      </c>
      <c r="N9" t="n">
        <v>0</v>
      </c>
      <c r="O9" t="n">
        <v>-0.5</v>
      </c>
      <c r="P9" t="n">
        <v>70</v>
      </c>
      <c r="Q9" t="n">
        <v>12</v>
      </c>
      <c r="R9" t="s">
        <v>298</v>
      </c>
      <c r="S9" t="s">
        <v>298</v>
      </c>
      <c r="T9" t="n">
        <v>-0.25</v>
      </c>
    </row>
    <row r="10">
      <c r="A10" t="s">
        <v>31</v>
      </c>
      <c r="B10" t="n">
        <v>1</v>
      </c>
      <c r="C10" t="n">
        <v>1</v>
      </c>
      <c r="D10" t="n">
        <v>1</v>
      </c>
      <c r="E10" t="n">
        <v>-1.5</v>
      </c>
      <c r="F10" t="n">
        <v>-0.5</v>
      </c>
      <c r="G10" t="n">
        <v>169</v>
      </c>
      <c r="H10" t="n">
        <v>12</v>
      </c>
      <c r="I10" t="s">
        <v>297</v>
      </c>
      <c r="J10" t="n">
        <v>0</v>
      </c>
      <c r="K10" t="n">
        <v>0</v>
      </c>
      <c r="L10" t="n">
        <v>0</v>
      </c>
      <c r="M10" t="n">
        <v>12</v>
      </c>
      <c r="N10" t="n">
        <v>0.25</v>
      </c>
      <c r="O10" t="n">
        <v>-0.25</v>
      </c>
      <c r="P10" t="n">
        <v>176</v>
      </c>
      <c r="Q10" t="n">
        <v>12</v>
      </c>
      <c r="R10" t="s">
        <v>297</v>
      </c>
      <c r="S10" t="s">
        <v>297</v>
      </c>
      <c r="T10" t="n">
        <v>0.125</v>
      </c>
    </row>
    <row r="11">
      <c r="A11" t="s">
        <v>31</v>
      </c>
      <c r="B11" t="n">
        <v>1</v>
      </c>
      <c r="C11" t="n">
        <v>1</v>
      </c>
      <c r="D11" t="n">
        <v>1</v>
      </c>
      <c r="E11" t="n">
        <v>-5.25</v>
      </c>
      <c r="F11" t="n">
        <v>-1.5</v>
      </c>
      <c r="G11" t="n">
        <v>179</v>
      </c>
      <c r="H11" t="n">
        <v>12</v>
      </c>
      <c r="I11" t="s">
        <v>297</v>
      </c>
      <c r="J11" t="n">
        <v>0</v>
      </c>
      <c r="K11" t="n">
        <v>0</v>
      </c>
      <c r="L11" t="n">
        <v>0</v>
      </c>
      <c r="M11" t="n">
        <v>12</v>
      </c>
      <c r="N11" t="n">
        <v>-0.25</v>
      </c>
      <c r="O11" t="n">
        <v>-0.25</v>
      </c>
      <c r="P11" t="n">
        <v>48</v>
      </c>
      <c r="Q11" t="n">
        <v>12</v>
      </c>
      <c r="R11" t="s">
        <v>297</v>
      </c>
      <c r="S11" t="s">
        <v>297</v>
      </c>
      <c r="T11" t="n">
        <v>-0.375</v>
      </c>
    </row>
    <row r="12">
      <c r="A12" t="s">
        <v>31</v>
      </c>
      <c r="B12" t="n">
        <v>1</v>
      </c>
      <c r="C12" t="n">
        <v>1</v>
      </c>
      <c r="D12" t="n">
        <v>1</v>
      </c>
      <c r="E12" t="n">
        <v>-3.5</v>
      </c>
      <c r="F12" t="n">
        <v>-0.25</v>
      </c>
      <c r="G12" t="n">
        <v>167</v>
      </c>
      <c r="H12" t="n">
        <v>12</v>
      </c>
      <c r="I12" t="s">
        <v>297</v>
      </c>
      <c r="J12" t="n">
        <v>0</v>
      </c>
      <c r="K12" t="n">
        <v>0</v>
      </c>
      <c r="L12" t="n">
        <v>0</v>
      </c>
      <c r="M12" t="n">
        <v>12</v>
      </c>
      <c r="N12" t="n">
        <v>0</v>
      </c>
      <c r="O12" t="n">
        <v>-0.25</v>
      </c>
      <c r="P12" t="n">
        <v>49</v>
      </c>
      <c r="Q12" t="n">
        <v>12</v>
      </c>
      <c r="R12" t="s">
        <v>297</v>
      </c>
      <c r="S12" t="s">
        <v>297</v>
      </c>
      <c r="T12" t="n">
        <v>-0.125</v>
      </c>
    </row>
    <row r="13">
      <c r="A13" t="s">
        <v>31</v>
      </c>
      <c r="B13" t="n">
        <v>1</v>
      </c>
      <c r="C13" t="n">
        <v>1.25</v>
      </c>
      <c r="D13" t="n">
        <v>1.25</v>
      </c>
      <c r="E13" t="n">
        <v>-1.75</v>
      </c>
      <c r="F13" t="n">
        <v>-0.75</v>
      </c>
      <c r="G13" t="n">
        <v>49</v>
      </c>
      <c r="H13" t="n">
        <v>12</v>
      </c>
      <c r="I13" t="s">
        <v>297</v>
      </c>
      <c r="J13" t="n">
        <v>0</v>
      </c>
      <c r="K13" t="n">
        <v>0</v>
      </c>
      <c r="L13" t="n">
        <v>0</v>
      </c>
      <c r="M13" t="n">
        <v>12</v>
      </c>
      <c r="N13" t="n">
        <v>0</v>
      </c>
      <c r="O13" t="n">
        <v>-0.25</v>
      </c>
      <c r="P13" t="n">
        <v>28</v>
      </c>
      <c r="Q13" t="n">
        <v>12</v>
      </c>
      <c r="R13" t="s">
        <v>298</v>
      </c>
      <c r="S13" t="s">
        <v>298</v>
      </c>
      <c r="T13" t="n">
        <v>-0.125</v>
      </c>
    </row>
    <row r="14">
      <c r="A14" t="s">
        <v>31</v>
      </c>
      <c r="B14" t="n">
        <v>1</v>
      </c>
      <c r="C14" t="n">
        <v>0.8</v>
      </c>
      <c r="D14" t="n">
        <v>1</v>
      </c>
      <c r="E14" t="n">
        <v>-4.25</v>
      </c>
      <c r="F14" t="n">
        <v>-1</v>
      </c>
      <c r="G14" t="n">
        <v>166</v>
      </c>
      <c r="H14" t="n">
        <v>12</v>
      </c>
      <c r="I14" t="s">
        <v>297</v>
      </c>
      <c r="J14" t="n">
        <v>0</v>
      </c>
      <c r="K14" t="n">
        <v>0</v>
      </c>
      <c r="L14" t="n">
        <v>0</v>
      </c>
      <c r="M14" t="n">
        <v>12</v>
      </c>
      <c r="N14" t="n">
        <v>-0.5</v>
      </c>
      <c r="O14" t="n">
        <v>-0.25</v>
      </c>
      <c r="P14" t="n">
        <v>121</v>
      </c>
      <c r="Q14" t="n">
        <v>12</v>
      </c>
      <c r="R14" t="s">
        <v>297</v>
      </c>
      <c r="S14" t="s">
        <v>296</v>
      </c>
      <c r="T14" t="n">
        <v>-0.625</v>
      </c>
    </row>
    <row r="15">
      <c r="A15" t="s">
        <v>31</v>
      </c>
      <c r="B15" t="n">
        <v>1.25</v>
      </c>
      <c r="C15" t="n">
        <v>1.6</v>
      </c>
      <c r="D15" t="n">
        <v>1.6</v>
      </c>
      <c r="E15" t="n">
        <v>-4.5</v>
      </c>
      <c r="F15" t="n">
        <v>-0.75</v>
      </c>
      <c r="G15" t="n">
        <v>166</v>
      </c>
      <c r="H15" t="n">
        <v>12</v>
      </c>
      <c r="I15" t="s">
        <v>298</v>
      </c>
      <c r="J15" t="n">
        <v>0</v>
      </c>
      <c r="K15" t="n">
        <v>0</v>
      </c>
      <c r="L15" t="n">
        <v>0</v>
      </c>
      <c r="M15" t="n">
        <v>12</v>
      </c>
      <c r="N15" t="n">
        <v>0.25</v>
      </c>
      <c r="O15" t="n">
        <v>-0.25</v>
      </c>
      <c r="P15" t="n">
        <v>20</v>
      </c>
      <c r="Q15" t="n">
        <v>12</v>
      </c>
      <c r="R15" t="s">
        <v>299</v>
      </c>
      <c r="S15" t="s">
        <v>299</v>
      </c>
      <c r="T15" t="n">
        <v>0.125</v>
      </c>
    </row>
    <row r="16">
      <c r="A16" t="s">
        <v>31</v>
      </c>
      <c r="B16" t="n">
        <v>1.25</v>
      </c>
      <c r="C16" t="n">
        <v>1.25</v>
      </c>
      <c r="D16" t="n">
        <v>1.25</v>
      </c>
      <c r="E16" t="n">
        <v>-4.5</v>
      </c>
      <c r="F16" t="n">
        <v>-1</v>
      </c>
      <c r="G16" t="n">
        <v>14</v>
      </c>
      <c r="H16" t="n">
        <v>12</v>
      </c>
      <c r="I16" t="s">
        <v>298</v>
      </c>
      <c r="J16" t="n">
        <v>0</v>
      </c>
      <c r="K16" t="n">
        <v>0</v>
      </c>
      <c r="L16" t="n">
        <v>0</v>
      </c>
      <c r="M16" t="n">
        <v>12</v>
      </c>
      <c r="N16" t="n">
        <v>0.25</v>
      </c>
      <c r="O16" t="n">
        <v>-0.25</v>
      </c>
      <c r="P16" t="n">
        <v>147</v>
      </c>
      <c r="Q16" t="n">
        <v>12</v>
      </c>
      <c r="R16" t="s">
        <v>298</v>
      </c>
      <c r="S16" t="s">
        <v>298</v>
      </c>
      <c r="T16" t="n">
        <v>0.125</v>
      </c>
    </row>
    <row r="17">
      <c r="A17" t="s">
        <v>31</v>
      </c>
      <c r="B17" t="n">
        <v>1</v>
      </c>
      <c r="C17" t="n">
        <v>1</v>
      </c>
      <c r="D17" t="n">
        <v>1</v>
      </c>
      <c r="E17" t="n">
        <v>-4</v>
      </c>
      <c r="F17" t="n">
        <v>-1.25</v>
      </c>
      <c r="G17" t="n">
        <v>157</v>
      </c>
      <c r="H17" t="n">
        <v>12</v>
      </c>
      <c r="I17" t="s">
        <v>297</v>
      </c>
      <c r="J17" t="n">
        <v>0</v>
      </c>
      <c r="K17" t="n">
        <v>0</v>
      </c>
      <c r="L17" t="n">
        <v>0</v>
      </c>
      <c r="M17" t="n">
        <v>12</v>
      </c>
      <c r="N17" t="n">
        <v>0</v>
      </c>
      <c r="O17" t="n">
        <v>-0.5</v>
      </c>
      <c r="P17" t="n">
        <v>115</v>
      </c>
      <c r="Q17" t="n">
        <v>12</v>
      </c>
      <c r="R17" t="s">
        <v>297</v>
      </c>
      <c r="S17" t="s">
        <v>297</v>
      </c>
      <c r="T17" t="n">
        <v>-0.25</v>
      </c>
    </row>
    <row r="18">
      <c r="A18" t="s">
        <v>31</v>
      </c>
      <c r="B18" t="n">
        <v>1</v>
      </c>
      <c r="C18" t="n">
        <v>1</v>
      </c>
      <c r="D18" t="n">
        <v>1</v>
      </c>
      <c r="E18" t="n">
        <v>-4</v>
      </c>
      <c r="F18" t="n">
        <v>-0.25</v>
      </c>
      <c r="G18" t="n">
        <v>13</v>
      </c>
      <c r="H18" t="n">
        <v>12</v>
      </c>
      <c r="I18" t="s">
        <v>297</v>
      </c>
      <c r="J18" t="n">
        <v>0</v>
      </c>
      <c r="K18" t="n">
        <v>0</v>
      </c>
      <c r="L18" t="n">
        <v>0</v>
      </c>
      <c r="M18" t="n">
        <v>12</v>
      </c>
      <c r="N18" t="n">
        <v>-0.5</v>
      </c>
      <c r="O18" t="n">
        <v>-0.25</v>
      </c>
      <c r="P18" t="n">
        <v>130</v>
      </c>
      <c r="Q18" t="n">
        <v>12</v>
      </c>
      <c r="R18" t="s">
        <v>297</v>
      </c>
      <c r="S18" t="s">
        <v>297</v>
      </c>
      <c r="T18" t="n">
        <v>-0.625</v>
      </c>
    </row>
    <row r="19">
      <c r="A19" t="s">
        <v>31</v>
      </c>
      <c r="B19" t="n">
        <v>1</v>
      </c>
      <c r="C19" t="n">
        <v>1</v>
      </c>
      <c r="D19" t="n">
        <v>1</v>
      </c>
      <c r="E19" t="n">
        <v>-4.5</v>
      </c>
      <c r="F19" t="n">
        <v>-1.75</v>
      </c>
      <c r="G19" t="n">
        <v>7</v>
      </c>
      <c r="H19" t="n">
        <v>12</v>
      </c>
      <c r="I19" t="s">
        <v>297</v>
      </c>
      <c r="J19" t="n">
        <v>0</v>
      </c>
      <c r="K19" t="n">
        <v>0</v>
      </c>
      <c r="L19" t="n">
        <v>0</v>
      </c>
      <c r="M19" t="n">
        <v>12</v>
      </c>
      <c r="N19" t="n">
        <v>-0.5</v>
      </c>
      <c r="O19" t="n">
        <v>-0.25</v>
      </c>
      <c r="P19" t="n">
        <v>161</v>
      </c>
      <c r="Q19" t="n">
        <v>12</v>
      </c>
      <c r="R19" t="s">
        <v>297</v>
      </c>
      <c r="S19" t="s">
        <v>297</v>
      </c>
      <c r="T19" t="n">
        <v>-0.625</v>
      </c>
    </row>
    <row r="20">
      <c r="A20" t="s">
        <v>31</v>
      </c>
      <c r="B20" t="n">
        <v>1</v>
      </c>
      <c r="C20" t="n">
        <v>0.63</v>
      </c>
      <c r="D20" t="n">
        <v>1</v>
      </c>
      <c r="E20" t="n">
        <v>-5</v>
      </c>
      <c r="F20" t="n">
        <v>-1</v>
      </c>
      <c r="G20" t="n">
        <v>180</v>
      </c>
      <c r="H20" t="n">
        <v>12</v>
      </c>
      <c r="I20" t="s">
        <v>297</v>
      </c>
      <c r="J20" t="n">
        <v>0</v>
      </c>
      <c r="K20" t="n">
        <v>0</v>
      </c>
      <c r="L20" t="n">
        <v>0</v>
      </c>
      <c r="M20" t="n">
        <v>12</v>
      </c>
      <c r="N20" t="n">
        <v>-0.75</v>
      </c>
      <c r="O20" t="n">
        <v>-0.25</v>
      </c>
      <c r="P20" t="n">
        <v>32</v>
      </c>
      <c r="Q20" t="n">
        <v>12</v>
      </c>
      <c r="R20" t="s">
        <v>297</v>
      </c>
      <c r="S20" t="s">
        <v>301</v>
      </c>
      <c r="T20" t="n">
        <v>-0.875</v>
      </c>
    </row>
    <row r="21">
      <c r="A21" t="s">
        <v>31</v>
      </c>
      <c r="B21" t="n">
        <v>1</v>
      </c>
      <c r="C21" t="n">
        <v>1</v>
      </c>
      <c r="D21" t="n">
        <v>1</v>
      </c>
      <c r="E21" t="n">
        <v>-6.5</v>
      </c>
      <c r="F21" t="n">
        <v>-0.25</v>
      </c>
      <c r="G21" t="n">
        <v>94</v>
      </c>
      <c r="H21" t="n">
        <v>12</v>
      </c>
      <c r="I21" t="s">
        <v>297</v>
      </c>
      <c r="J21" t="n">
        <v>0</v>
      </c>
      <c r="K21" t="n">
        <v>0</v>
      </c>
      <c r="L21" t="n">
        <v>0</v>
      </c>
      <c r="M21" t="n">
        <v>12</v>
      </c>
      <c r="N21" t="n">
        <v>-0.25</v>
      </c>
      <c r="O21" t="n">
        <v>-0.25</v>
      </c>
      <c r="P21" t="n">
        <v>39</v>
      </c>
      <c r="Q21" t="n">
        <v>12</v>
      </c>
      <c r="R21" t="s">
        <v>297</v>
      </c>
      <c r="S21" t="s">
        <v>297</v>
      </c>
      <c r="T21" t="n">
        <v>-0.375</v>
      </c>
    </row>
    <row r="22">
      <c r="A22" t="s">
        <v>31</v>
      </c>
      <c r="B22" t="n">
        <v>0.8</v>
      </c>
      <c r="C22" t="n">
        <v>0.8</v>
      </c>
      <c r="D22" t="n">
        <v>0.8</v>
      </c>
      <c r="E22" t="n">
        <v>-7.25</v>
      </c>
      <c r="F22" t="n">
        <v>-0.25</v>
      </c>
      <c r="G22" t="n">
        <v>89</v>
      </c>
      <c r="H22" t="n">
        <v>12</v>
      </c>
      <c r="I22" t="s">
        <v>296</v>
      </c>
      <c r="J22" t="n">
        <v>0</v>
      </c>
      <c r="K22" t="n">
        <v>0</v>
      </c>
      <c r="L22" t="n">
        <v>0</v>
      </c>
      <c r="M22" t="n">
        <v>12</v>
      </c>
      <c r="N22" t="n">
        <v>-0.25</v>
      </c>
      <c r="O22" t="n">
        <v>-0.25</v>
      </c>
      <c r="P22" t="n">
        <v>162</v>
      </c>
      <c r="Q22" t="n">
        <v>12</v>
      </c>
      <c r="R22" t="s">
        <v>296</v>
      </c>
      <c r="S22" t="s">
        <v>296</v>
      </c>
      <c r="T22" t="n">
        <v>-0.375</v>
      </c>
    </row>
    <row r="23">
      <c r="A23" t="s">
        <v>31</v>
      </c>
      <c r="B23" t="n">
        <v>1.25</v>
      </c>
      <c r="C23" t="n">
        <v>1.25</v>
      </c>
      <c r="D23" t="n">
        <v>1.25</v>
      </c>
      <c r="E23" t="n">
        <v>-4.5</v>
      </c>
      <c r="F23" t="n">
        <v>-0.5</v>
      </c>
      <c r="G23" t="n">
        <v>152</v>
      </c>
      <c r="H23" t="n">
        <v>12</v>
      </c>
      <c r="I23" t="s">
        <v>298</v>
      </c>
      <c r="J23" t="n">
        <v>0</v>
      </c>
      <c r="K23" t="n">
        <v>0</v>
      </c>
      <c r="L23" t="n">
        <v>0</v>
      </c>
      <c r="M23" t="n">
        <v>12</v>
      </c>
      <c r="N23" t="n">
        <v>-0.25</v>
      </c>
      <c r="O23" t="n">
        <v>-0.25</v>
      </c>
      <c r="P23" t="n">
        <v>114</v>
      </c>
      <c r="Q23" t="n">
        <v>12</v>
      </c>
      <c r="R23" t="s">
        <v>298</v>
      </c>
      <c r="S23" t="s">
        <v>298</v>
      </c>
      <c r="T23" t="n">
        <v>-0.375</v>
      </c>
    </row>
    <row r="24">
      <c r="A24" t="s">
        <v>31</v>
      </c>
      <c r="B24" t="n">
        <v>1.25</v>
      </c>
      <c r="C24" t="n">
        <v>1</v>
      </c>
      <c r="D24" t="n">
        <v>1.25</v>
      </c>
      <c r="E24" t="n">
        <v>-5.75</v>
      </c>
      <c r="F24" t="n">
        <v>-0.5</v>
      </c>
      <c r="G24" t="n">
        <v>43</v>
      </c>
      <c r="H24" t="n">
        <v>12</v>
      </c>
      <c r="I24" t="s">
        <v>298</v>
      </c>
      <c r="J24" t="n">
        <v>0</v>
      </c>
      <c r="K24" t="n">
        <v>0</v>
      </c>
      <c r="L24" t="n">
        <v>0</v>
      </c>
      <c r="M24" t="n">
        <v>12</v>
      </c>
      <c r="N24" t="n">
        <v>-0.5</v>
      </c>
      <c r="O24" t="n">
        <v>0</v>
      </c>
      <c r="P24" t="n">
        <v>90</v>
      </c>
      <c r="Q24" t="n">
        <v>12</v>
      </c>
      <c r="R24" t="s">
        <v>298</v>
      </c>
      <c r="S24" t="s">
        <v>297</v>
      </c>
      <c r="T24" t="n">
        <v>-0.5</v>
      </c>
    </row>
    <row r="25">
      <c r="A25" t="s">
        <v>31</v>
      </c>
      <c r="B25" t="n">
        <v>1</v>
      </c>
      <c r="C25" t="n">
        <v>1</v>
      </c>
      <c r="D25" t="n">
        <v>1</v>
      </c>
      <c r="E25" t="n">
        <v>-4</v>
      </c>
      <c r="F25" t="n">
        <v>-0.25</v>
      </c>
      <c r="G25" t="n">
        <v>4</v>
      </c>
      <c r="H25" t="n">
        <v>12</v>
      </c>
      <c r="I25" t="s">
        <v>297</v>
      </c>
      <c r="J25" t="n">
        <v>0</v>
      </c>
      <c r="K25" t="n">
        <v>0</v>
      </c>
      <c r="L25" t="n">
        <v>0</v>
      </c>
      <c r="M25" t="n">
        <v>12</v>
      </c>
      <c r="N25" t="n">
        <v>0.25</v>
      </c>
      <c r="O25" t="n">
        <v>-0.25</v>
      </c>
      <c r="P25" t="n">
        <v>36</v>
      </c>
      <c r="Q25" t="n">
        <v>12</v>
      </c>
      <c r="R25" t="s">
        <v>297</v>
      </c>
      <c r="S25" t="s">
        <v>297</v>
      </c>
      <c r="T25" t="n">
        <v>0.125</v>
      </c>
    </row>
    <row r="26">
      <c r="A26" t="s">
        <v>31</v>
      </c>
      <c r="B26" t="n">
        <v>1</v>
      </c>
      <c r="C26" t="n">
        <v>1</v>
      </c>
      <c r="D26" t="n">
        <v>1</v>
      </c>
      <c r="E26" t="n">
        <v>-5.5</v>
      </c>
      <c r="F26" t="n">
        <v>-0.75</v>
      </c>
      <c r="G26" t="n">
        <v>4</v>
      </c>
      <c r="H26" t="n">
        <v>12</v>
      </c>
      <c r="I26" t="s">
        <v>297</v>
      </c>
      <c r="J26" t="n">
        <v>0</v>
      </c>
      <c r="K26" t="n">
        <v>0</v>
      </c>
      <c r="L26" t="n">
        <v>0</v>
      </c>
      <c r="M26" t="n">
        <v>12</v>
      </c>
      <c r="N26" t="n">
        <v>0</v>
      </c>
      <c r="O26" t="n">
        <v>-0.25</v>
      </c>
      <c r="P26" t="n">
        <v>7</v>
      </c>
      <c r="Q26" t="n">
        <v>12</v>
      </c>
      <c r="R26" t="s">
        <v>297</v>
      </c>
      <c r="S26" t="s">
        <v>297</v>
      </c>
      <c r="T26" t="n">
        <v>-0.125</v>
      </c>
    </row>
    <row r="27">
      <c r="A27" t="s">
        <v>31</v>
      </c>
      <c r="B27" t="n">
        <v>1</v>
      </c>
      <c r="C27"/>
      <c r="D27"/>
      <c r="E27" t="n">
        <v>-4.75</v>
      </c>
      <c r="F27" t="n">
        <v>-0.5</v>
      </c>
      <c r="G27" t="n">
        <v>130</v>
      </c>
      <c r="H27" t="n">
        <v>12</v>
      </c>
      <c r="I27" t="s">
        <v>297</v>
      </c>
      <c r="J27" t="n">
        <v>-0.5</v>
      </c>
      <c r="K27" t="n">
        <v>0</v>
      </c>
      <c r="L27" t="n">
        <v>0</v>
      </c>
      <c r="M27" t="n">
        <v>12</v>
      </c>
      <c r="N27"/>
      <c r="O27"/>
      <c r="P27"/>
      <c r="Q27" t="n">
        <v>12</v>
      </c>
      <c r="R27" t="s">
        <v>109</v>
      </c>
      <c r="S27" t="s">
        <v>109</v>
      </c>
      <c r="T27"/>
    </row>
    <row r="28">
      <c r="A28" t="s">
        <v>31</v>
      </c>
      <c r="B28" t="n">
        <v>1.25</v>
      </c>
      <c r="C28" t="n">
        <v>1.25</v>
      </c>
      <c r="D28" t="n">
        <v>1.25</v>
      </c>
      <c r="E28" t="n">
        <v>-3.25</v>
      </c>
      <c r="F28" t="n">
        <v>-0.25</v>
      </c>
      <c r="G28" t="n">
        <v>177</v>
      </c>
      <c r="H28" t="n">
        <v>12</v>
      </c>
      <c r="I28" t="s">
        <v>298</v>
      </c>
      <c r="J28" t="n">
        <v>0</v>
      </c>
      <c r="K28" t="n">
        <v>0</v>
      </c>
      <c r="L28" t="n">
        <v>0</v>
      </c>
      <c r="M28" t="n">
        <v>12</v>
      </c>
      <c r="N28" t="n">
        <v>0</v>
      </c>
      <c r="O28" t="n">
        <v>0</v>
      </c>
      <c r="P28" t="n">
        <v>125</v>
      </c>
      <c r="Q28" t="n">
        <v>12</v>
      </c>
      <c r="R28" t="s">
        <v>298</v>
      </c>
      <c r="S28" t="s">
        <v>298</v>
      </c>
      <c r="T28" t="n">
        <v>0</v>
      </c>
    </row>
    <row r="29">
      <c r="A29" t="s">
        <v>31</v>
      </c>
      <c r="B29" t="n">
        <v>1</v>
      </c>
      <c r="C29" t="n">
        <v>1</v>
      </c>
      <c r="D29" t="n">
        <v>1</v>
      </c>
      <c r="E29" t="n">
        <v>-4.5</v>
      </c>
      <c r="F29" t="n">
        <v>-1</v>
      </c>
      <c r="G29" t="n">
        <v>6</v>
      </c>
      <c r="H29" t="n">
        <v>12</v>
      </c>
      <c r="I29" t="s">
        <v>297</v>
      </c>
      <c r="J29" t="n">
        <v>0</v>
      </c>
      <c r="K29" t="n">
        <v>0</v>
      </c>
      <c r="L29" t="n">
        <v>0</v>
      </c>
      <c r="M29" t="n">
        <v>12</v>
      </c>
      <c r="N29" t="n">
        <v>0</v>
      </c>
      <c r="O29" t="n">
        <v>-0.25</v>
      </c>
      <c r="P29" t="n">
        <v>170</v>
      </c>
      <c r="Q29" t="n">
        <v>12</v>
      </c>
      <c r="R29" t="s">
        <v>297</v>
      </c>
      <c r="S29" t="s">
        <v>297</v>
      </c>
      <c r="T29" t="n">
        <v>-0.125</v>
      </c>
    </row>
    <row r="30">
      <c r="A30" t="s">
        <v>31</v>
      </c>
      <c r="B30" t="n">
        <v>1</v>
      </c>
      <c r="C30" t="n">
        <v>0.63</v>
      </c>
      <c r="D30" t="n">
        <v>1.25</v>
      </c>
      <c r="E30" t="n">
        <v>-6</v>
      </c>
      <c r="F30" t="n">
        <v>-0.75</v>
      </c>
      <c r="G30" t="n">
        <v>178</v>
      </c>
      <c r="H30" t="n">
        <v>12</v>
      </c>
      <c r="I30" t="s">
        <v>297</v>
      </c>
      <c r="J30" t="n">
        <v>-0.75</v>
      </c>
      <c r="K30" t="n">
        <v>0</v>
      </c>
      <c r="L30" t="n">
        <v>0</v>
      </c>
      <c r="M30" t="n">
        <v>12</v>
      </c>
      <c r="N30" t="n">
        <v>-0.75</v>
      </c>
      <c r="O30" t="n">
        <v>-0.25</v>
      </c>
      <c r="P30" t="n">
        <v>140</v>
      </c>
      <c r="Q30" t="n">
        <v>12</v>
      </c>
      <c r="R30" t="s">
        <v>298</v>
      </c>
      <c r="S30" t="s">
        <v>301</v>
      </c>
      <c r="T30" t="n">
        <v>-0.875</v>
      </c>
    </row>
    <row r="31">
      <c r="A31" t="s">
        <v>31</v>
      </c>
      <c r="B31" t="n">
        <v>1</v>
      </c>
      <c r="C31" t="n">
        <v>1.25</v>
      </c>
      <c r="D31" t="n">
        <v>1.25</v>
      </c>
      <c r="E31" t="n">
        <v>-5.75</v>
      </c>
      <c r="F31" t="n">
        <v>-0.5</v>
      </c>
      <c r="G31" t="n">
        <v>5</v>
      </c>
      <c r="H31" t="n">
        <v>12</v>
      </c>
      <c r="I31" t="s">
        <v>297</v>
      </c>
      <c r="J31" t="n">
        <v>0</v>
      </c>
      <c r="K31" t="n">
        <v>0</v>
      </c>
      <c r="L31" t="n">
        <v>0</v>
      </c>
      <c r="M31" t="n">
        <v>12</v>
      </c>
      <c r="N31" t="n">
        <v>0</v>
      </c>
      <c r="O31" t="n">
        <v>-0.25</v>
      </c>
      <c r="P31" t="n">
        <v>58</v>
      </c>
      <c r="Q31" t="n">
        <v>12</v>
      </c>
      <c r="R31" t="s">
        <v>298</v>
      </c>
      <c r="S31" t="s">
        <v>298</v>
      </c>
      <c r="T31" t="n">
        <v>-0.125</v>
      </c>
    </row>
    <row r="32">
      <c r="A32" t="s">
        <v>31</v>
      </c>
      <c r="B32" t="n">
        <v>1</v>
      </c>
      <c r="C32" t="n">
        <v>1</v>
      </c>
      <c r="D32" t="n">
        <v>1</v>
      </c>
      <c r="E32" t="n">
        <v>-5</v>
      </c>
      <c r="F32" t="n">
        <v>-0.25</v>
      </c>
      <c r="G32" t="n">
        <v>15</v>
      </c>
      <c r="H32" t="n">
        <v>12</v>
      </c>
      <c r="I32" t="s">
        <v>297</v>
      </c>
      <c r="J32" t="n">
        <v>0</v>
      </c>
      <c r="K32" t="n">
        <v>0</v>
      </c>
      <c r="L32" t="n">
        <v>0</v>
      </c>
      <c r="M32" t="n">
        <v>12</v>
      </c>
      <c r="N32" t="n">
        <v>-0.25</v>
      </c>
      <c r="O32" t="n">
        <v>-0.25</v>
      </c>
      <c r="P32" t="n">
        <v>31</v>
      </c>
      <c r="Q32" t="n">
        <v>12</v>
      </c>
      <c r="R32" t="s">
        <v>297</v>
      </c>
      <c r="S32" t="s">
        <v>297</v>
      </c>
      <c r="T32" t="n">
        <v>-0.375</v>
      </c>
    </row>
    <row r="33">
      <c r="A33" t="s">
        <v>31</v>
      </c>
      <c r="B33" t="n">
        <v>1.25</v>
      </c>
      <c r="C33" t="n">
        <v>1.25</v>
      </c>
      <c r="D33" t="n">
        <v>1.25</v>
      </c>
      <c r="E33" t="n">
        <v>-3.25</v>
      </c>
      <c r="F33" t="n">
        <v>-0.75</v>
      </c>
      <c r="G33" t="n">
        <v>16</v>
      </c>
      <c r="H33" t="n">
        <v>12</v>
      </c>
      <c r="I33" t="s">
        <v>298</v>
      </c>
      <c r="J33" t="n">
        <v>0</v>
      </c>
      <c r="K33" t="n">
        <v>0</v>
      </c>
      <c r="L33" t="n">
        <v>0</v>
      </c>
      <c r="M33" t="n">
        <v>12</v>
      </c>
      <c r="N33" t="n">
        <v>-0.25</v>
      </c>
      <c r="O33" t="n">
        <v>-0.25</v>
      </c>
      <c r="P33" t="n">
        <v>137</v>
      </c>
      <c r="Q33" t="n">
        <v>12</v>
      </c>
      <c r="R33" t="s">
        <v>298</v>
      </c>
      <c r="S33" t="s">
        <v>298</v>
      </c>
      <c r="T33" t="n">
        <v>-0.375</v>
      </c>
    </row>
    <row r="34">
      <c r="A34" t="s">
        <v>31</v>
      </c>
      <c r="B34" t="n">
        <v>1</v>
      </c>
      <c r="C34" t="n">
        <v>1.25</v>
      </c>
      <c r="D34" t="n">
        <v>1.25</v>
      </c>
      <c r="E34" t="n">
        <v>-5.5</v>
      </c>
      <c r="F34" t="n">
        <v>-0.75</v>
      </c>
      <c r="G34" t="n">
        <v>9</v>
      </c>
      <c r="H34" t="n">
        <v>12</v>
      </c>
      <c r="I34" t="s">
        <v>297</v>
      </c>
      <c r="J34" t="n">
        <v>0</v>
      </c>
      <c r="K34" t="n">
        <v>0</v>
      </c>
      <c r="L34" t="n">
        <v>0</v>
      </c>
      <c r="M34" t="n">
        <v>12</v>
      </c>
      <c r="N34" t="n">
        <v>0.25</v>
      </c>
      <c r="O34" t="n">
        <v>-0.25</v>
      </c>
      <c r="P34" t="n">
        <v>16</v>
      </c>
      <c r="Q34" t="n">
        <v>12</v>
      </c>
      <c r="R34" t="s">
        <v>298</v>
      </c>
      <c r="S34" t="s">
        <v>298</v>
      </c>
      <c r="T34" t="n">
        <v>0.125</v>
      </c>
    </row>
    <row r="35">
      <c r="A35" t="s">
        <v>31</v>
      </c>
      <c r="B35" t="n">
        <v>1</v>
      </c>
      <c r="C35" t="n">
        <v>1.25</v>
      </c>
      <c r="D35" t="n">
        <v>1.25</v>
      </c>
      <c r="E35" t="n">
        <v>-5.5</v>
      </c>
      <c r="F35" t="n">
        <v>-0.5</v>
      </c>
      <c r="G35" t="n">
        <v>164</v>
      </c>
      <c r="H35" t="n">
        <v>12</v>
      </c>
      <c r="I35" t="s">
        <v>297</v>
      </c>
      <c r="J35" t="n">
        <v>0</v>
      </c>
      <c r="K35" t="n">
        <v>0</v>
      </c>
      <c r="L35" t="n">
        <v>0</v>
      </c>
      <c r="M35" t="n">
        <v>12</v>
      </c>
      <c r="N35" t="n">
        <v>-0.25</v>
      </c>
      <c r="O35" t="n">
        <v>0</v>
      </c>
      <c r="P35" t="n">
        <v>7</v>
      </c>
      <c r="Q35" t="n">
        <v>12</v>
      </c>
      <c r="R35" t="s">
        <v>298</v>
      </c>
      <c r="S35" t="s">
        <v>298</v>
      </c>
      <c r="T35" t="n">
        <v>-0.25</v>
      </c>
    </row>
    <row r="36">
      <c r="A36" t="s">
        <v>31</v>
      </c>
      <c r="B36" t="n">
        <v>0.8</v>
      </c>
      <c r="C36"/>
      <c r="D36"/>
      <c r="E36" t="n">
        <v>-4.5</v>
      </c>
      <c r="F36" t="n">
        <v>-1.25</v>
      </c>
      <c r="G36" t="n">
        <v>158</v>
      </c>
      <c r="H36" t="n">
        <v>12</v>
      </c>
      <c r="I36" t="s">
        <v>296</v>
      </c>
      <c r="J36" t="n">
        <v>0</v>
      </c>
      <c r="K36" t="n">
        <v>0</v>
      </c>
      <c r="L36" t="n">
        <v>0</v>
      </c>
      <c r="M36" t="n">
        <v>12</v>
      </c>
      <c r="N36"/>
      <c r="O36"/>
      <c r="P36"/>
      <c r="Q36" t="n">
        <v>12</v>
      </c>
      <c r="R36" t="s">
        <v>109</v>
      </c>
      <c r="S36" t="s">
        <v>109</v>
      </c>
      <c r="T36"/>
    </row>
    <row r="37">
      <c r="A37" t="s">
        <v>31</v>
      </c>
      <c r="B37" t="n">
        <v>1</v>
      </c>
      <c r="C37" t="n">
        <v>1.25</v>
      </c>
      <c r="D37" t="n">
        <v>1.25</v>
      </c>
      <c r="E37" t="n">
        <v>-6.5</v>
      </c>
      <c r="F37" t="n">
        <v>-0.5</v>
      </c>
      <c r="G37" t="n">
        <v>10</v>
      </c>
      <c r="H37" t="n">
        <v>12</v>
      </c>
      <c r="I37" t="s">
        <v>297</v>
      </c>
      <c r="J37" t="n">
        <v>0</v>
      </c>
      <c r="K37" t="n">
        <v>0</v>
      </c>
      <c r="L37" t="n">
        <v>0</v>
      </c>
      <c r="M37" t="n">
        <v>12</v>
      </c>
      <c r="N37" t="n">
        <v>0</v>
      </c>
      <c r="O37" t="n">
        <v>-0.25</v>
      </c>
      <c r="P37" t="n">
        <v>155</v>
      </c>
      <c r="Q37" t="n">
        <v>12</v>
      </c>
      <c r="R37" t="s">
        <v>298</v>
      </c>
      <c r="S37" t="s">
        <v>298</v>
      </c>
      <c r="T37" t="n">
        <v>-0.125</v>
      </c>
    </row>
    <row r="38">
      <c r="A38" t="s">
        <v>31</v>
      </c>
      <c r="B38" t="n">
        <v>1.25</v>
      </c>
      <c r="C38"/>
      <c r="D38"/>
      <c r="E38" t="n">
        <v>-2.75</v>
      </c>
      <c r="F38" t="n">
        <v>-0.75</v>
      </c>
      <c r="G38" t="n">
        <v>157</v>
      </c>
      <c r="H38" t="n">
        <v>12</v>
      </c>
      <c r="I38" t="s">
        <v>298</v>
      </c>
      <c r="J38" t="n">
        <v>0</v>
      </c>
      <c r="K38" t="n">
        <v>0</v>
      </c>
      <c r="L38" t="n">
        <v>0</v>
      </c>
      <c r="M38" t="n">
        <v>12</v>
      </c>
      <c r="N38"/>
      <c r="O38"/>
      <c r="P38"/>
      <c r="Q38" t="n">
        <v>12</v>
      </c>
      <c r="R38" t="s">
        <v>109</v>
      </c>
      <c r="S38" t="s">
        <v>109</v>
      </c>
      <c r="T38"/>
    </row>
    <row r="39">
      <c r="A39" t="s">
        <v>31</v>
      </c>
      <c r="B39" t="n">
        <v>1.25</v>
      </c>
      <c r="C39"/>
      <c r="D39"/>
      <c r="E39" t="n">
        <v>-3.75</v>
      </c>
      <c r="F39" t="n">
        <v>-0.5</v>
      </c>
      <c r="G39" t="n">
        <v>20</v>
      </c>
      <c r="H39" t="n">
        <v>12</v>
      </c>
      <c r="I39" t="s">
        <v>298</v>
      </c>
      <c r="J39" t="n">
        <v>0</v>
      </c>
      <c r="K39" t="n">
        <v>0</v>
      </c>
      <c r="L39" t="n">
        <v>0</v>
      </c>
      <c r="M39" t="n">
        <v>12</v>
      </c>
      <c r="N39"/>
      <c r="O39"/>
      <c r="P39"/>
      <c r="Q39" t="n">
        <v>12</v>
      </c>
      <c r="R39" t="s">
        <v>109</v>
      </c>
      <c r="S39" t="s">
        <v>109</v>
      </c>
      <c r="T39"/>
    </row>
    <row r="40">
      <c r="A40" t="s">
        <v>31</v>
      </c>
      <c r="B40" t="n">
        <v>1</v>
      </c>
      <c r="C40" t="n">
        <v>1.25</v>
      </c>
      <c r="D40" t="n">
        <v>1.25</v>
      </c>
      <c r="E40" t="n">
        <v>-3.25</v>
      </c>
      <c r="F40" t="n">
        <v>-0.75</v>
      </c>
      <c r="G40" t="n">
        <v>170</v>
      </c>
      <c r="H40" t="n">
        <v>12</v>
      </c>
      <c r="I40" t="s">
        <v>297</v>
      </c>
      <c r="J40" t="n">
        <v>0</v>
      </c>
      <c r="K40" t="n">
        <v>0</v>
      </c>
      <c r="L40" t="n">
        <v>0</v>
      </c>
      <c r="M40" t="n">
        <v>12</v>
      </c>
      <c r="N40" t="n">
        <v>0.25</v>
      </c>
      <c r="O40" t="n">
        <v>-0.25</v>
      </c>
      <c r="P40" t="n">
        <v>129</v>
      </c>
      <c r="Q40" t="n">
        <v>12</v>
      </c>
      <c r="R40" t="s">
        <v>298</v>
      </c>
      <c r="S40" t="s">
        <v>298</v>
      </c>
      <c r="T40" t="n">
        <v>0.125</v>
      </c>
    </row>
    <row r="41">
      <c r="A41" t="s">
        <v>31</v>
      </c>
      <c r="B41" t="n">
        <v>0.8</v>
      </c>
      <c r="C41" t="n">
        <v>1</v>
      </c>
      <c r="D41" t="n">
        <v>1</v>
      </c>
      <c r="E41" t="n">
        <v>-4.25</v>
      </c>
      <c r="F41" t="n">
        <v>-0.75</v>
      </c>
      <c r="G41" t="n">
        <v>6</v>
      </c>
      <c r="H41" t="n">
        <v>12</v>
      </c>
      <c r="I41" t="s">
        <v>296</v>
      </c>
      <c r="J41" t="n">
        <v>0</v>
      </c>
      <c r="K41" t="n">
        <v>0</v>
      </c>
      <c r="L41" t="n">
        <v>0</v>
      </c>
      <c r="M41" t="n">
        <v>12</v>
      </c>
      <c r="N41" t="n">
        <v>0.25</v>
      </c>
      <c r="O41" t="n">
        <v>0</v>
      </c>
      <c r="P41" t="n">
        <v>106</v>
      </c>
      <c r="Q41" t="n">
        <v>12</v>
      </c>
      <c r="R41" t="s">
        <v>297</v>
      </c>
      <c r="S41" t="s">
        <v>297</v>
      </c>
      <c r="T41" t="n">
        <v>0.25</v>
      </c>
    </row>
    <row r="42">
      <c r="A42" t="s">
        <v>31</v>
      </c>
      <c r="B42" t="n">
        <v>1</v>
      </c>
      <c r="C42" t="n">
        <v>1</v>
      </c>
      <c r="D42" t="n">
        <v>1</v>
      </c>
      <c r="E42" t="n">
        <v>-4.75</v>
      </c>
      <c r="F42" t="n">
        <v>-1.25</v>
      </c>
      <c r="G42" t="n">
        <v>78</v>
      </c>
      <c r="H42" t="n">
        <v>12</v>
      </c>
      <c r="I42" t="s">
        <v>297</v>
      </c>
      <c r="J42" t="n">
        <v>0</v>
      </c>
      <c r="K42" t="n">
        <v>0</v>
      </c>
      <c r="L42" t="n">
        <v>0</v>
      </c>
      <c r="M42" t="n">
        <v>12</v>
      </c>
      <c r="N42" t="n">
        <v>0</v>
      </c>
      <c r="O42" t="n">
        <v>-0.5</v>
      </c>
      <c r="P42" t="n">
        <v>108</v>
      </c>
      <c r="Q42" t="n">
        <v>12</v>
      </c>
      <c r="R42" t="s">
        <v>297</v>
      </c>
      <c r="S42" t="s">
        <v>297</v>
      </c>
      <c r="T42" t="n">
        <v>-0.25</v>
      </c>
    </row>
    <row r="43">
      <c r="A43" t="s">
        <v>31</v>
      </c>
      <c r="B43" t="n">
        <v>1</v>
      </c>
      <c r="C43" t="n">
        <v>1</v>
      </c>
      <c r="D43" t="n">
        <v>1</v>
      </c>
      <c r="E43" t="n">
        <v>-4.75</v>
      </c>
      <c r="F43" t="n">
        <v>-0.75</v>
      </c>
      <c r="G43" t="n">
        <v>93</v>
      </c>
      <c r="H43" t="n">
        <v>12</v>
      </c>
      <c r="I43" t="s">
        <v>297</v>
      </c>
      <c r="J43" t="n">
        <v>0</v>
      </c>
      <c r="K43" t="n">
        <v>0</v>
      </c>
      <c r="L43" t="n">
        <v>0</v>
      </c>
      <c r="M43" t="n">
        <v>12</v>
      </c>
      <c r="N43" t="n">
        <v>0</v>
      </c>
      <c r="O43" t="n">
        <v>-0.25</v>
      </c>
      <c r="P43" t="n">
        <v>66</v>
      </c>
      <c r="Q43" t="n">
        <v>12</v>
      </c>
      <c r="R43" t="s">
        <v>297</v>
      </c>
      <c r="S43" t="s">
        <v>297</v>
      </c>
      <c r="T43" t="n">
        <v>-0.125</v>
      </c>
    </row>
    <row r="44">
      <c r="A44" t="s">
        <v>31</v>
      </c>
      <c r="B44" t="n">
        <v>1.25</v>
      </c>
      <c r="C44" t="n">
        <v>1.25</v>
      </c>
      <c r="D44" t="n">
        <v>1.6</v>
      </c>
      <c r="E44" t="n">
        <v>-2.5</v>
      </c>
      <c r="F44" t="n">
        <v>-1.25</v>
      </c>
      <c r="G44" t="n">
        <v>98</v>
      </c>
      <c r="H44" t="n">
        <v>12</v>
      </c>
      <c r="I44" t="s">
        <v>298</v>
      </c>
      <c r="J44" t="n">
        <v>0</v>
      </c>
      <c r="K44" t="n">
        <v>0</v>
      </c>
      <c r="L44" t="n">
        <v>0</v>
      </c>
      <c r="M44" t="n">
        <v>12</v>
      </c>
      <c r="N44" t="n">
        <v>-0.5</v>
      </c>
      <c r="O44" t="n">
        <v>0</v>
      </c>
      <c r="P44" t="n">
        <v>63</v>
      </c>
      <c r="Q44" t="n">
        <v>12</v>
      </c>
      <c r="R44" t="s">
        <v>299</v>
      </c>
      <c r="S44" t="s">
        <v>298</v>
      </c>
      <c r="T44" t="n">
        <v>-0.5</v>
      </c>
    </row>
    <row r="45">
      <c r="A45" t="s">
        <v>31</v>
      </c>
      <c r="B45" t="n">
        <v>1.25</v>
      </c>
      <c r="C45" t="n">
        <v>1.25</v>
      </c>
      <c r="D45" t="n">
        <v>1.25</v>
      </c>
      <c r="E45" t="n">
        <v>-4.25</v>
      </c>
      <c r="F45" t="n">
        <v>-1</v>
      </c>
      <c r="G45" t="n">
        <v>25</v>
      </c>
      <c r="H45" t="n">
        <v>12</v>
      </c>
      <c r="I45" t="s">
        <v>298</v>
      </c>
      <c r="J45" t="n">
        <v>0</v>
      </c>
      <c r="K45" t="n">
        <v>0</v>
      </c>
      <c r="L45" t="n">
        <v>0</v>
      </c>
      <c r="M45" t="n">
        <v>12</v>
      </c>
      <c r="N45" t="n">
        <v>0</v>
      </c>
      <c r="O45" t="n">
        <v>-0.5</v>
      </c>
      <c r="P45" t="n">
        <v>117</v>
      </c>
      <c r="Q45" t="n">
        <v>12</v>
      </c>
      <c r="R45" t="s">
        <v>298</v>
      </c>
      <c r="S45" t="s">
        <v>298</v>
      </c>
      <c r="T45" t="n">
        <v>-0.25</v>
      </c>
    </row>
    <row r="46">
      <c r="A46" t="s">
        <v>31</v>
      </c>
      <c r="B46" t="n">
        <v>1.25</v>
      </c>
      <c r="C46" t="n">
        <v>1.25</v>
      </c>
      <c r="D46" t="n">
        <v>1.6</v>
      </c>
      <c r="E46" t="n">
        <v>-0.5</v>
      </c>
      <c r="F46" t="n">
        <v>-0.75</v>
      </c>
      <c r="G46" t="n">
        <v>125</v>
      </c>
      <c r="H46" t="n">
        <v>12</v>
      </c>
      <c r="I46" t="s">
        <v>298</v>
      </c>
      <c r="J46" t="n">
        <v>0</v>
      </c>
      <c r="K46" t="n">
        <v>0</v>
      </c>
      <c r="L46" t="n">
        <v>0</v>
      </c>
      <c r="M46" t="n">
        <v>12</v>
      </c>
      <c r="N46" t="n">
        <v>0.25</v>
      </c>
      <c r="O46" t="n">
        <v>-0.5</v>
      </c>
      <c r="P46" t="n">
        <v>96</v>
      </c>
      <c r="Q46" t="n">
        <v>12</v>
      </c>
      <c r="R46" t="s">
        <v>299</v>
      </c>
      <c r="S46" t="s">
        <v>298</v>
      </c>
      <c r="T46" t="n">
        <v>0</v>
      </c>
    </row>
    <row r="47">
      <c r="A47" t="s">
        <v>31</v>
      </c>
      <c r="B47" t="n">
        <v>1.6</v>
      </c>
      <c r="C47" t="n">
        <v>1.6</v>
      </c>
      <c r="D47" t="n">
        <v>1.6</v>
      </c>
      <c r="E47" t="n">
        <v>-1.25</v>
      </c>
      <c r="F47" t="n">
        <v>-0.5</v>
      </c>
      <c r="G47" t="n">
        <v>69</v>
      </c>
      <c r="H47" t="n">
        <v>12</v>
      </c>
      <c r="I47" t="s">
        <v>299</v>
      </c>
      <c r="J47" t="n">
        <v>0</v>
      </c>
      <c r="K47" t="n">
        <v>0</v>
      </c>
      <c r="L47" t="n">
        <v>0</v>
      </c>
      <c r="M47" t="n">
        <v>12</v>
      </c>
      <c r="N47" t="n">
        <v>0.25</v>
      </c>
      <c r="O47" t="n">
        <v>0</v>
      </c>
      <c r="P47" t="n">
        <v>66</v>
      </c>
      <c r="Q47" t="n">
        <v>12</v>
      </c>
      <c r="R47" t="s">
        <v>299</v>
      </c>
      <c r="S47" t="s">
        <v>299</v>
      </c>
      <c r="T47" t="n">
        <v>0.25</v>
      </c>
    </row>
    <row r="48">
      <c r="A48" t="s">
        <v>31</v>
      </c>
      <c r="B48" t="n">
        <v>1</v>
      </c>
      <c r="C48" t="n">
        <v>1</v>
      </c>
      <c r="D48" t="n">
        <v>1</v>
      </c>
      <c r="E48" t="n">
        <v>-4.25</v>
      </c>
      <c r="F48" t="n">
        <v>-1</v>
      </c>
      <c r="G48" t="n">
        <v>73</v>
      </c>
      <c r="H48" t="n">
        <v>12</v>
      </c>
      <c r="I48" t="s">
        <v>297</v>
      </c>
      <c r="J48" t="n">
        <v>0</v>
      </c>
      <c r="K48" t="n">
        <v>0</v>
      </c>
      <c r="L48" t="n">
        <v>0</v>
      </c>
      <c r="M48" t="n">
        <v>12</v>
      </c>
      <c r="N48" t="n">
        <v>0</v>
      </c>
      <c r="O48" t="n">
        <v>-0.25</v>
      </c>
      <c r="P48" t="n">
        <v>22</v>
      </c>
      <c r="Q48" t="n">
        <v>12</v>
      </c>
      <c r="R48" t="s">
        <v>297</v>
      </c>
      <c r="S48" t="s">
        <v>297</v>
      </c>
      <c r="T48" t="n">
        <v>-0.125</v>
      </c>
    </row>
    <row r="49">
      <c r="A49" t="s">
        <v>31</v>
      </c>
      <c r="B49" t="n">
        <v>1</v>
      </c>
      <c r="C49" t="n">
        <v>1</v>
      </c>
      <c r="D49" t="n">
        <v>1</v>
      </c>
      <c r="E49" t="n">
        <v>-4.25</v>
      </c>
      <c r="F49" t="n">
        <v>-0.75</v>
      </c>
      <c r="G49" t="n">
        <v>50</v>
      </c>
      <c r="H49" t="n">
        <v>12</v>
      </c>
      <c r="I49" t="s">
        <v>297</v>
      </c>
      <c r="J49" t="n">
        <v>0</v>
      </c>
      <c r="K49" t="n">
        <v>0</v>
      </c>
      <c r="L49" t="n">
        <v>0</v>
      </c>
      <c r="M49" t="n">
        <v>12</v>
      </c>
      <c r="N49" t="n">
        <v>0</v>
      </c>
      <c r="O49" t="n">
        <v>-0.5</v>
      </c>
      <c r="P49" t="n">
        <v>83</v>
      </c>
      <c r="Q49" t="n">
        <v>12</v>
      </c>
      <c r="R49" t="s">
        <v>297</v>
      </c>
      <c r="S49" t="s">
        <v>297</v>
      </c>
      <c r="T49" t="n">
        <v>-0.25</v>
      </c>
    </row>
    <row r="50">
      <c r="A50" t="s">
        <v>31</v>
      </c>
      <c r="B50" t="n">
        <v>1</v>
      </c>
      <c r="C50"/>
      <c r="D50" t="n">
        <v>1</v>
      </c>
      <c r="E50" t="n">
        <v>-3.25</v>
      </c>
      <c r="F50" t="n">
        <v>-1.5</v>
      </c>
      <c r="G50" t="n">
        <v>177</v>
      </c>
      <c r="H50" t="n">
        <v>12</v>
      </c>
      <c r="I50" t="s">
        <v>297</v>
      </c>
      <c r="J50" t="n">
        <v>0</v>
      </c>
      <c r="K50" t="n">
        <v>0</v>
      </c>
      <c r="L50" t="n">
        <v>0</v>
      </c>
      <c r="M50" t="n">
        <v>12</v>
      </c>
      <c r="N50" t="n">
        <v>0.25</v>
      </c>
      <c r="O50" t="n">
        <v>-0.25</v>
      </c>
      <c r="P50" t="n">
        <v>129</v>
      </c>
      <c r="Q50" t="n">
        <v>12</v>
      </c>
      <c r="R50" t="s">
        <v>297</v>
      </c>
      <c r="S50" t="s">
        <v>109</v>
      </c>
      <c r="T50" t="n">
        <v>0.125</v>
      </c>
    </row>
    <row r="51">
      <c r="A51" t="s">
        <v>31</v>
      </c>
      <c r="B51" t="n">
        <v>1.25</v>
      </c>
      <c r="C51" t="n">
        <v>1</v>
      </c>
      <c r="D51" t="n">
        <v>1</v>
      </c>
      <c r="E51" t="n">
        <v>-2.75</v>
      </c>
      <c r="F51" t="n">
        <v>-1.5</v>
      </c>
      <c r="G51" t="n">
        <v>153</v>
      </c>
      <c r="H51" t="n">
        <v>12</v>
      </c>
      <c r="I51" t="s">
        <v>298</v>
      </c>
      <c r="J51" t="n">
        <v>0</v>
      </c>
      <c r="K51" t="n">
        <v>0</v>
      </c>
      <c r="L51" t="n">
        <v>0</v>
      </c>
      <c r="M51" t="n">
        <v>12</v>
      </c>
      <c r="N51" t="n">
        <v>0.25</v>
      </c>
      <c r="O51" t="n">
        <v>-0.25</v>
      </c>
      <c r="P51" t="n">
        <v>115</v>
      </c>
      <c r="Q51" t="n">
        <v>12</v>
      </c>
      <c r="R51" t="s">
        <v>297</v>
      </c>
      <c r="S51" t="s">
        <v>297</v>
      </c>
      <c r="T51" t="n">
        <v>0.125</v>
      </c>
    </row>
    <row r="52">
      <c r="A52" t="s">
        <v>31</v>
      </c>
      <c r="B52" t="n">
        <v>1</v>
      </c>
      <c r="C52" t="n">
        <v>0.5</v>
      </c>
      <c r="D52" t="n">
        <v>0.8</v>
      </c>
      <c r="E52" t="n">
        <v>-5.5</v>
      </c>
      <c r="F52" t="n">
        <v>-0.75</v>
      </c>
      <c r="G52" t="n">
        <v>41</v>
      </c>
      <c r="H52" t="n">
        <v>12</v>
      </c>
      <c r="I52" t="s">
        <v>297</v>
      </c>
      <c r="J52" t="n">
        <v>0</v>
      </c>
      <c r="K52" t="n">
        <v>0</v>
      </c>
      <c r="L52" t="n">
        <v>0</v>
      </c>
      <c r="M52" t="n">
        <v>12</v>
      </c>
      <c r="N52" t="n">
        <v>-0.75</v>
      </c>
      <c r="O52" t="n">
        <v>0</v>
      </c>
      <c r="P52" t="n">
        <v>140</v>
      </c>
      <c r="Q52" t="n">
        <v>12</v>
      </c>
      <c r="R52" t="s">
        <v>296</v>
      </c>
      <c r="S52" t="s">
        <v>300</v>
      </c>
      <c r="T52" t="n">
        <v>-0.75</v>
      </c>
    </row>
    <row r="53">
      <c r="A53" t="s">
        <v>31</v>
      </c>
      <c r="B53" t="n">
        <v>1.25</v>
      </c>
      <c r="C53" t="n">
        <v>1.25</v>
      </c>
      <c r="D53" t="n">
        <v>1.6</v>
      </c>
      <c r="E53" t="n">
        <v>-2.75</v>
      </c>
      <c r="F53" t="n">
        <v>-1.5</v>
      </c>
      <c r="G53" t="n">
        <v>165</v>
      </c>
      <c r="H53" t="n">
        <v>12</v>
      </c>
      <c r="I53" t="s">
        <v>298</v>
      </c>
      <c r="J53" t="n">
        <v>0</v>
      </c>
      <c r="K53" t="n">
        <v>0</v>
      </c>
      <c r="L53" t="n">
        <v>0</v>
      </c>
      <c r="M53" t="n">
        <v>12</v>
      </c>
      <c r="N53" t="n">
        <v>-0.25</v>
      </c>
      <c r="O53" t="n">
        <v>-0.25</v>
      </c>
      <c r="P53" t="n">
        <v>166</v>
      </c>
      <c r="Q53" t="n">
        <v>12</v>
      </c>
      <c r="R53" t="s">
        <v>299</v>
      </c>
      <c r="S53" t="s">
        <v>298</v>
      </c>
      <c r="T53" t="n">
        <v>-0.375</v>
      </c>
    </row>
    <row r="54">
      <c r="A54" t="s">
        <v>31</v>
      </c>
      <c r="B54" t="n">
        <v>1</v>
      </c>
      <c r="C54" t="n">
        <v>1</v>
      </c>
      <c r="D54" t="n">
        <v>1</v>
      </c>
      <c r="E54" t="n">
        <v>-3.5</v>
      </c>
      <c r="F54" t="n">
        <v>-0.25</v>
      </c>
      <c r="G54" t="n">
        <v>90</v>
      </c>
      <c r="H54" t="n">
        <v>12</v>
      </c>
      <c r="I54" t="s">
        <v>297</v>
      </c>
      <c r="J54" t="n">
        <v>0</v>
      </c>
      <c r="K54" t="n">
        <v>0</v>
      </c>
      <c r="L54" t="n">
        <v>0</v>
      </c>
      <c r="M54" t="n">
        <v>12</v>
      </c>
      <c r="N54" t="n">
        <v>0.25</v>
      </c>
      <c r="O54" t="n">
        <v>-0.25</v>
      </c>
      <c r="P54" t="n">
        <v>147</v>
      </c>
      <c r="Q54" t="n">
        <v>12</v>
      </c>
      <c r="R54" t="s">
        <v>297</v>
      </c>
      <c r="S54" t="s">
        <v>297</v>
      </c>
      <c r="T54" t="n">
        <v>0.125</v>
      </c>
    </row>
    <row r="55">
      <c r="A55" t="s">
        <v>31</v>
      </c>
      <c r="B55" t="n">
        <v>1.25</v>
      </c>
      <c r="C55" t="n">
        <v>0.8</v>
      </c>
      <c r="D55" t="n">
        <v>1.25</v>
      </c>
      <c r="E55" t="n">
        <v>-1.75</v>
      </c>
      <c r="F55" t="n">
        <v>-1</v>
      </c>
      <c r="G55" t="n">
        <v>82</v>
      </c>
      <c r="H55" t="n">
        <v>12</v>
      </c>
      <c r="I55" t="s">
        <v>298</v>
      </c>
      <c r="J55" t="n">
        <v>0</v>
      </c>
      <c r="K55" t="n">
        <v>0</v>
      </c>
      <c r="L55" t="n">
        <v>0</v>
      </c>
      <c r="M55" t="n">
        <v>12</v>
      </c>
      <c r="N55" t="n">
        <v>-0.75</v>
      </c>
      <c r="O55" t="n">
        <v>-0.25</v>
      </c>
      <c r="P55" t="n">
        <v>99</v>
      </c>
      <c r="Q55" t="n">
        <v>12</v>
      </c>
      <c r="R55" t="s">
        <v>298</v>
      </c>
      <c r="S55" t="s">
        <v>296</v>
      </c>
      <c r="T55" t="n">
        <v>-0.875</v>
      </c>
    </row>
    <row r="56">
      <c r="A56" t="s">
        <v>31</v>
      </c>
      <c r="B56" t="n">
        <v>1.25</v>
      </c>
      <c r="C56" t="n">
        <v>0.8</v>
      </c>
      <c r="D56" t="n">
        <v>1.25</v>
      </c>
      <c r="E56" t="n">
        <v>-1.5</v>
      </c>
      <c r="F56" t="n">
        <v>-1</v>
      </c>
      <c r="G56" t="n">
        <v>80</v>
      </c>
      <c r="H56" t="n">
        <v>12</v>
      </c>
      <c r="I56" t="s">
        <v>298</v>
      </c>
      <c r="J56" t="n">
        <v>-0.75</v>
      </c>
      <c r="K56" t="n">
        <v>0</v>
      </c>
      <c r="L56" t="n">
        <v>0</v>
      </c>
      <c r="M56" t="n">
        <v>12</v>
      </c>
      <c r="N56" t="n">
        <v>-0.75</v>
      </c>
      <c r="O56" t="n">
        <v>-0.5</v>
      </c>
      <c r="P56" t="n">
        <v>36</v>
      </c>
      <c r="Q56" t="n">
        <v>12</v>
      </c>
      <c r="R56" t="s">
        <v>298</v>
      </c>
      <c r="S56" t="s">
        <v>296</v>
      </c>
      <c r="T56" t="n">
        <v>-1</v>
      </c>
    </row>
    <row r="57">
      <c r="A57" t="s">
        <v>31</v>
      </c>
      <c r="B57" t="n">
        <v>1.25</v>
      </c>
      <c r="C57" t="n">
        <v>1.25</v>
      </c>
      <c r="D57" t="n">
        <v>1.25</v>
      </c>
      <c r="E57" t="n">
        <v>-0.25</v>
      </c>
      <c r="F57" t="n">
        <v>-0.5</v>
      </c>
      <c r="G57" t="n">
        <v>165</v>
      </c>
      <c r="H57" t="n">
        <v>12</v>
      </c>
      <c r="I57" t="s">
        <v>298</v>
      </c>
      <c r="J57" t="n">
        <v>0</v>
      </c>
      <c r="K57" t="n">
        <v>0</v>
      </c>
      <c r="L57" t="n">
        <v>0</v>
      </c>
      <c r="M57" t="n">
        <v>12</v>
      </c>
      <c r="N57" t="n">
        <v>0</v>
      </c>
      <c r="O57" t="n">
        <v>-0.25</v>
      </c>
      <c r="P57" t="n">
        <v>155</v>
      </c>
      <c r="Q57" t="n">
        <v>12</v>
      </c>
      <c r="R57" t="s">
        <v>298</v>
      </c>
      <c r="S57" t="s">
        <v>298</v>
      </c>
      <c r="T57" t="n">
        <v>-0.125</v>
      </c>
    </row>
    <row r="58">
      <c r="A58" t="s">
        <v>31</v>
      </c>
      <c r="B58" t="n">
        <v>1.25</v>
      </c>
      <c r="C58" t="n">
        <v>1.25</v>
      </c>
      <c r="D58" t="n">
        <v>1.25</v>
      </c>
      <c r="E58" t="n">
        <v>-5.75</v>
      </c>
      <c r="F58" t="n">
        <v>-0.5</v>
      </c>
      <c r="G58" t="n">
        <v>14</v>
      </c>
      <c r="H58" t="n">
        <v>12</v>
      </c>
      <c r="I58" t="s">
        <v>298</v>
      </c>
      <c r="J58" t="n">
        <v>0</v>
      </c>
      <c r="K58" t="n">
        <v>0</v>
      </c>
      <c r="L58" t="n">
        <v>0</v>
      </c>
      <c r="M58" t="n">
        <v>12</v>
      </c>
      <c r="N58" t="n">
        <v>0</v>
      </c>
      <c r="O58" t="n">
        <v>-0.25</v>
      </c>
      <c r="P58" t="n">
        <v>144</v>
      </c>
      <c r="Q58" t="n">
        <v>12</v>
      </c>
      <c r="R58" t="s">
        <v>298</v>
      </c>
      <c r="S58" t="s">
        <v>298</v>
      </c>
      <c r="T58" t="n">
        <v>-0.125</v>
      </c>
    </row>
    <row r="59">
      <c r="A59" t="s">
        <v>31</v>
      </c>
      <c r="B59" t="n">
        <v>1</v>
      </c>
      <c r="C59" t="n">
        <v>1</v>
      </c>
      <c r="D59" t="n">
        <v>1</v>
      </c>
      <c r="E59" t="n">
        <v>-4.25</v>
      </c>
      <c r="F59" t="n">
        <v>-0.75</v>
      </c>
      <c r="G59" t="n">
        <v>21</v>
      </c>
      <c r="H59" t="n">
        <v>12</v>
      </c>
      <c r="I59" t="s">
        <v>297</v>
      </c>
      <c r="J59" t="n">
        <v>0</v>
      </c>
      <c r="K59" t="n">
        <v>0</v>
      </c>
      <c r="L59" t="n">
        <v>0</v>
      </c>
      <c r="M59" t="n">
        <v>12</v>
      </c>
      <c r="N59" t="n">
        <v>-0.25</v>
      </c>
      <c r="O59" t="n">
        <v>-0.25</v>
      </c>
      <c r="P59" t="n">
        <v>177</v>
      </c>
      <c r="Q59" t="n">
        <v>12</v>
      </c>
      <c r="R59" t="s">
        <v>297</v>
      </c>
      <c r="S59" t="s">
        <v>297</v>
      </c>
      <c r="T59" t="n">
        <v>-0.375</v>
      </c>
    </row>
    <row r="60">
      <c r="A60" t="s">
        <v>31</v>
      </c>
      <c r="B60" t="n">
        <v>1.25</v>
      </c>
      <c r="C60" t="n">
        <v>1.25</v>
      </c>
      <c r="D60" t="n">
        <v>1.25</v>
      </c>
      <c r="E60" t="n">
        <v>-1</v>
      </c>
      <c r="F60" t="n">
        <v>-0.75</v>
      </c>
      <c r="G60" t="n">
        <v>21</v>
      </c>
      <c r="H60" t="n">
        <v>12</v>
      </c>
      <c r="I60" t="s">
        <v>298</v>
      </c>
      <c r="J60" t="n">
        <v>0</v>
      </c>
      <c r="K60" t="n">
        <v>0</v>
      </c>
      <c r="L60" t="n">
        <v>0</v>
      </c>
      <c r="M60" t="n">
        <v>12</v>
      </c>
      <c r="N60" t="n">
        <v>0.25</v>
      </c>
      <c r="O60" t="n">
        <v>0</v>
      </c>
      <c r="P60" t="n">
        <v>180</v>
      </c>
      <c r="Q60" t="n">
        <v>12</v>
      </c>
      <c r="R60" t="s">
        <v>298</v>
      </c>
      <c r="S60" t="s">
        <v>298</v>
      </c>
      <c r="T60" t="n">
        <v>0.25</v>
      </c>
    </row>
    <row r="61">
      <c r="A61" t="s">
        <v>31</v>
      </c>
      <c r="B61" t="n">
        <v>1</v>
      </c>
      <c r="C61" t="n">
        <v>1</v>
      </c>
      <c r="D61" t="n">
        <v>1</v>
      </c>
      <c r="E61" t="n">
        <v>-0.75</v>
      </c>
      <c r="F61" t="n">
        <v>-0.5</v>
      </c>
      <c r="G61" t="n">
        <v>166</v>
      </c>
      <c r="H61" t="n">
        <v>12</v>
      </c>
      <c r="I61" t="s">
        <v>297</v>
      </c>
      <c r="J61" t="n">
        <v>0</v>
      </c>
      <c r="K61" t="n">
        <v>0</v>
      </c>
      <c r="L61" t="n">
        <v>0</v>
      </c>
      <c r="M61" t="n">
        <v>12</v>
      </c>
      <c r="N61" t="n">
        <v>0.5</v>
      </c>
      <c r="O61" t="n">
        <v>-0.25</v>
      </c>
      <c r="P61" t="n">
        <v>26</v>
      </c>
      <c r="Q61" t="n">
        <v>12</v>
      </c>
      <c r="R61" t="s">
        <v>297</v>
      </c>
      <c r="S61" t="s">
        <v>297</v>
      </c>
      <c r="T61" t="n">
        <v>0.375</v>
      </c>
    </row>
    <row r="62">
      <c r="A62" t="s">
        <v>31</v>
      </c>
      <c r="B62" t="n">
        <v>1.25</v>
      </c>
      <c r="C62" t="n">
        <v>1.25</v>
      </c>
      <c r="D62" t="n">
        <v>1.25</v>
      </c>
      <c r="E62" t="n">
        <v>-0.25</v>
      </c>
      <c r="F62" t="n">
        <v>-0.75</v>
      </c>
      <c r="G62" t="n">
        <v>43</v>
      </c>
      <c r="H62" t="n">
        <v>12</v>
      </c>
      <c r="I62" t="s">
        <v>298</v>
      </c>
      <c r="J62" t="n">
        <v>0</v>
      </c>
      <c r="K62" t="n">
        <v>0</v>
      </c>
      <c r="L62" t="n">
        <v>0</v>
      </c>
      <c r="M62" t="n">
        <v>12</v>
      </c>
      <c r="N62" t="n">
        <v>-0.25</v>
      </c>
      <c r="O62" t="n">
        <v>-0.25</v>
      </c>
      <c r="P62" t="n">
        <v>180</v>
      </c>
      <c r="Q62" t="n">
        <v>12</v>
      </c>
      <c r="R62" t="s">
        <v>298</v>
      </c>
      <c r="S62" t="s">
        <v>298</v>
      </c>
      <c r="T62" t="n">
        <v>-0.375</v>
      </c>
    </row>
    <row r="63">
      <c r="A63" t="s">
        <v>31</v>
      </c>
      <c r="B63" t="n">
        <v>1</v>
      </c>
      <c r="C63" t="n">
        <v>0.63</v>
      </c>
      <c r="D63" t="n">
        <v>1</v>
      </c>
      <c r="E63" t="n">
        <v>-6.5</v>
      </c>
      <c r="F63" t="n">
        <v>-0.75</v>
      </c>
      <c r="G63" t="n">
        <v>5</v>
      </c>
      <c r="H63" t="n">
        <v>12</v>
      </c>
      <c r="I63" t="s">
        <v>297</v>
      </c>
      <c r="J63" t="n">
        <v>0</v>
      </c>
      <c r="K63" t="n">
        <v>0</v>
      </c>
      <c r="L63" t="n">
        <v>0</v>
      </c>
      <c r="M63" t="n">
        <v>12</v>
      </c>
      <c r="N63" t="n">
        <v>-0.5</v>
      </c>
      <c r="O63" t="n">
        <v>-0.25</v>
      </c>
      <c r="P63" t="n">
        <v>162</v>
      </c>
      <c r="Q63" t="n">
        <v>12</v>
      </c>
      <c r="R63" t="s">
        <v>297</v>
      </c>
      <c r="S63" t="s">
        <v>301</v>
      </c>
      <c r="T63" t="n">
        <v>-0.625</v>
      </c>
    </row>
    <row r="64">
      <c r="A64" t="s">
        <v>31</v>
      </c>
      <c r="B64" t="n">
        <v>1</v>
      </c>
      <c r="C64" t="n">
        <v>1</v>
      </c>
      <c r="D64" t="n">
        <v>1.25</v>
      </c>
      <c r="E64" t="n">
        <v>-5</v>
      </c>
      <c r="F64" t="n">
        <v>-1</v>
      </c>
      <c r="G64" t="n">
        <v>55</v>
      </c>
      <c r="H64" t="n">
        <v>12</v>
      </c>
      <c r="I64" t="s">
        <v>297</v>
      </c>
      <c r="J64" t="n">
        <v>0</v>
      </c>
      <c r="K64" t="n">
        <v>0</v>
      </c>
      <c r="L64" t="n">
        <v>0</v>
      </c>
      <c r="M64" t="n">
        <v>12</v>
      </c>
      <c r="N64" t="n">
        <v>-0.5</v>
      </c>
      <c r="O64" t="n">
        <v>-0.25</v>
      </c>
      <c r="P64" t="n">
        <v>58</v>
      </c>
      <c r="Q64" t="n">
        <v>12</v>
      </c>
      <c r="R64" t="s">
        <v>298</v>
      </c>
      <c r="S64" t="s">
        <v>297</v>
      </c>
      <c r="T64" t="n">
        <v>-0.625</v>
      </c>
    </row>
    <row r="65">
      <c r="A65" t="s">
        <v>31</v>
      </c>
      <c r="B65" t="n">
        <v>1</v>
      </c>
      <c r="C65" t="n">
        <v>0.63</v>
      </c>
      <c r="D65" t="n">
        <v>1.25</v>
      </c>
      <c r="E65" t="n">
        <v>-2.5</v>
      </c>
      <c r="F65" t="n">
        <v>-0.25</v>
      </c>
      <c r="G65" t="n">
        <v>4</v>
      </c>
      <c r="H65" t="n">
        <v>12</v>
      </c>
      <c r="I65" t="s">
        <v>297</v>
      </c>
      <c r="J65" t="n">
        <v>0</v>
      </c>
      <c r="K65" t="n">
        <v>0</v>
      </c>
      <c r="L65" t="n">
        <v>0</v>
      </c>
      <c r="M65" t="n">
        <v>12</v>
      </c>
      <c r="N65" t="n">
        <v>-1</v>
      </c>
      <c r="O65" t="n">
        <v>0</v>
      </c>
      <c r="P65" t="n">
        <v>154</v>
      </c>
      <c r="Q65" t="n">
        <v>12</v>
      </c>
      <c r="R65" t="s">
        <v>298</v>
      </c>
      <c r="S65" t="s">
        <v>301</v>
      </c>
      <c r="T65" t="n">
        <v>-1</v>
      </c>
    </row>
    <row r="66">
      <c r="A66" t="s">
        <v>31</v>
      </c>
      <c r="B66" t="n">
        <v>0.8</v>
      </c>
      <c r="C66" t="n">
        <v>0.5</v>
      </c>
      <c r="D66" t="n">
        <v>0.8</v>
      </c>
      <c r="E66" t="n">
        <v>-2.25</v>
      </c>
      <c r="F66" t="n">
        <v>-0.5</v>
      </c>
      <c r="G66" t="n">
        <v>95</v>
      </c>
      <c r="H66" t="n">
        <v>12</v>
      </c>
      <c r="I66" t="s">
        <v>296</v>
      </c>
      <c r="J66" t="n">
        <v>-0.75</v>
      </c>
      <c r="K66" t="n">
        <v>0</v>
      </c>
      <c r="L66" t="n">
        <v>0</v>
      </c>
      <c r="M66" t="n">
        <v>12</v>
      </c>
      <c r="N66" t="n">
        <v>-1</v>
      </c>
      <c r="O66" t="n">
        <v>-0.25</v>
      </c>
      <c r="P66" t="n">
        <v>62</v>
      </c>
      <c r="Q66" t="n">
        <v>12</v>
      </c>
      <c r="R66" t="s">
        <v>296</v>
      </c>
      <c r="S66" t="s">
        <v>300</v>
      </c>
      <c r="T66" t="n">
        <v>-1.125</v>
      </c>
    </row>
    <row r="67">
      <c r="A67" t="s">
        <v>31</v>
      </c>
      <c r="B67" t="n">
        <v>1</v>
      </c>
      <c r="C67" t="n">
        <v>1</v>
      </c>
      <c r="D67" t="n">
        <v>1</v>
      </c>
      <c r="E67" t="n">
        <v>-2</v>
      </c>
      <c r="F67" t="n">
        <v>-0.25</v>
      </c>
      <c r="G67" t="n">
        <v>85</v>
      </c>
      <c r="H67" t="n">
        <v>12</v>
      </c>
      <c r="I67" t="s">
        <v>297</v>
      </c>
      <c r="J67" t="n">
        <v>0</v>
      </c>
      <c r="K67" t="n">
        <v>0</v>
      </c>
      <c r="L67" t="n">
        <v>0</v>
      </c>
      <c r="M67" t="n">
        <v>12</v>
      </c>
      <c r="N67" t="n">
        <v>-0.25</v>
      </c>
      <c r="O67" t="n">
        <v>0</v>
      </c>
      <c r="P67" t="n">
        <v>142</v>
      </c>
      <c r="Q67" t="n">
        <v>12</v>
      </c>
      <c r="R67" t="s">
        <v>297</v>
      </c>
      <c r="S67" t="s">
        <v>297</v>
      </c>
      <c r="T67" t="n">
        <v>-0.25</v>
      </c>
    </row>
    <row r="68">
      <c r="A68" t="s">
        <v>31</v>
      </c>
      <c r="B68" t="n">
        <v>1</v>
      </c>
      <c r="C68" t="n">
        <v>0.63</v>
      </c>
      <c r="D68" t="n">
        <v>0.63</v>
      </c>
      <c r="E68" t="n">
        <v>-3.75</v>
      </c>
      <c r="F68" t="n">
        <v>-0.5</v>
      </c>
      <c r="G68" t="n">
        <v>5</v>
      </c>
      <c r="H68" t="n">
        <v>12</v>
      </c>
      <c r="I68" t="s">
        <v>297</v>
      </c>
      <c r="J68" t="n">
        <v>0</v>
      </c>
      <c r="K68" t="n">
        <v>0</v>
      </c>
      <c r="L68" t="n">
        <v>0</v>
      </c>
      <c r="M68" t="n">
        <v>12</v>
      </c>
      <c r="N68" t="n">
        <v>-0.25</v>
      </c>
      <c r="O68" t="n">
        <v>0</v>
      </c>
      <c r="P68" t="n">
        <v>10</v>
      </c>
      <c r="Q68" t="n">
        <v>12</v>
      </c>
      <c r="R68" t="s">
        <v>301</v>
      </c>
      <c r="S68" t="s">
        <v>301</v>
      </c>
      <c r="T68" t="n">
        <v>-0.25</v>
      </c>
    </row>
    <row r="69">
      <c r="A69" t="s">
        <v>31</v>
      </c>
      <c r="B69" t="n">
        <v>1</v>
      </c>
      <c r="C69" t="n">
        <v>0.63</v>
      </c>
      <c r="D69" t="n">
        <v>0.8</v>
      </c>
      <c r="E69" t="n">
        <v>-4</v>
      </c>
      <c r="F69" t="n">
        <v>-1.25</v>
      </c>
      <c r="G69" t="n">
        <v>6</v>
      </c>
      <c r="H69" t="n">
        <v>12</v>
      </c>
      <c r="I69" t="s">
        <v>297</v>
      </c>
      <c r="J69" t="n">
        <v>0</v>
      </c>
      <c r="K69" t="n">
        <v>0</v>
      </c>
      <c r="L69" t="n">
        <v>0</v>
      </c>
      <c r="M69" t="n">
        <v>12</v>
      </c>
      <c r="N69" t="n">
        <v>-0.5</v>
      </c>
      <c r="O69" t="n">
        <v>-0.25</v>
      </c>
      <c r="P69" t="n">
        <v>2</v>
      </c>
      <c r="Q69" t="n">
        <v>12</v>
      </c>
      <c r="R69" t="s">
        <v>296</v>
      </c>
      <c r="S69" t="s">
        <v>301</v>
      </c>
      <c r="T69" t="n">
        <v>-0.625</v>
      </c>
    </row>
    <row r="70">
      <c r="A70" t="s">
        <v>31</v>
      </c>
      <c r="B70" t="n">
        <v>1.25</v>
      </c>
      <c r="C70" t="n">
        <v>1.25</v>
      </c>
      <c r="D70" t="n">
        <v>1.25</v>
      </c>
      <c r="E70" t="n">
        <v>-5</v>
      </c>
      <c r="F70" t="n">
        <v>-0.5</v>
      </c>
      <c r="G70" t="n">
        <v>101</v>
      </c>
      <c r="H70" t="n">
        <v>12</v>
      </c>
      <c r="I70" t="s">
        <v>298</v>
      </c>
      <c r="J70" t="n">
        <v>0</v>
      </c>
      <c r="K70" t="n">
        <v>0</v>
      </c>
      <c r="L70" t="n">
        <v>0</v>
      </c>
      <c r="M70" t="n">
        <v>12</v>
      </c>
      <c r="N70" t="n">
        <v>0</v>
      </c>
      <c r="O70" t="n">
        <v>0</v>
      </c>
      <c r="P70" t="n">
        <v>166</v>
      </c>
      <c r="Q70" t="n">
        <v>12</v>
      </c>
      <c r="R70" t="s">
        <v>298</v>
      </c>
      <c r="S70" t="s">
        <v>298</v>
      </c>
      <c r="T70" t="n">
        <v>0</v>
      </c>
    </row>
    <row r="71">
      <c r="A71" t="s">
        <v>31</v>
      </c>
      <c r="B71" t="n">
        <v>1</v>
      </c>
      <c r="C71" t="n">
        <v>1</v>
      </c>
      <c r="D71" t="n">
        <v>1</v>
      </c>
      <c r="E71" t="n">
        <v>-4.75</v>
      </c>
      <c r="F71" t="n">
        <v>-0.5</v>
      </c>
      <c r="G71" t="n">
        <v>78</v>
      </c>
      <c r="H71" t="n">
        <v>12</v>
      </c>
      <c r="I71" t="s">
        <v>297</v>
      </c>
      <c r="J71" t="n">
        <v>0</v>
      </c>
      <c r="K71" t="n">
        <v>0</v>
      </c>
      <c r="L71" t="n">
        <v>0</v>
      </c>
      <c r="M71" t="n">
        <v>12</v>
      </c>
      <c r="N71" t="n">
        <v>0.25</v>
      </c>
      <c r="O71" t="n">
        <v>-0.25</v>
      </c>
      <c r="P71" t="n">
        <v>51</v>
      </c>
      <c r="Q71" t="n">
        <v>12</v>
      </c>
      <c r="R71" t="s">
        <v>297</v>
      </c>
      <c r="S71" t="s">
        <v>297</v>
      </c>
      <c r="T71" t="n">
        <v>0.125</v>
      </c>
    </row>
    <row r="72">
      <c r="A72" t="s">
        <v>31</v>
      </c>
      <c r="B72" t="n">
        <v>1</v>
      </c>
      <c r="C72" t="n">
        <v>0.63</v>
      </c>
      <c r="D72" t="n">
        <v>1</v>
      </c>
      <c r="E72" t="n">
        <v>-4</v>
      </c>
      <c r="F72" t="n">
        <v>-1.5</v>
      </c>
      <c r="G72" t="n">
        <v>160</v>
      </c>
      <c r="H72" t="n">
        <v>12</v>
      </c>
      <c r="I72" t="s">
        <v>297</v>
      </c>
      <c r="J72" t="n">
        <v>0</v>
      </c>
      <c r="K72" t="n">
        <v>0</v>
      </c>
      <c r="L72" t="n">
        <v>0</v>
      </c>
      <c r="M72" t="n">
        <v>12</v>
      </c>
      <c r="N72" t="n">
        <v>-0.5</v>
      </c>
      <c r="O72" t="n">
        <v>-0.25</v>
      </c>
      <c r="P72" t="n">
        <v>2</v>
      </c>
      <c r="Q72" t="n">
        <v>12</v>
      </c>
      <c r="R72" t="s">
        <v>297</v>
      </c>
      <c r="S72" t="s">
        <v>301</v>
      </c>
      <c r="T72" t="n">
        <v>-0.625</v>
      </c>
    </row>
    <row r="73">
      <c r="A73" t="s">
        <v>31</v>
      </c>
      <c r="B73" t="n">
        <v>1</v>
      </c>
      <c r="C73" t="n">
        <v>0.8</v>
      </c>
      <c r="D73" t="n">
        <v>0.8</v>
      </c>
      <c r="E73" t="n">
        <v>-2.25</v>
      </c>
      <c r="F73" t="n">
        <v>-0.25</v>
      </c>
      <c r="G73" t="n">
        <v>1</v>
      </c>
      <c r="H73" t="n">
        <v>12</v>
      </c>
      <c r="I73" t="s">
        <v>297</v>
      </c>
      <c r="J73" t="n">
        <v>0</v>
      </c>
      <c r="K73" t="n">
        <v>0</v>
      </c>
      <c r="L73" t="n">
        <v>0</v>
      </c>
      <c r="M73" t="n">
        <v>12</v>
      </c>
      <c r="N73" t="n">
        <v>0</v>
      </c>
      <c r="O73" t="n">
        <v>-0.25</v>
      </c>
      <c r="P73" t="n">
        <v>107</v>
      </c>
      <c r="Q73" t="n">
        <v>12</v>
      </c>
      <c r="R73" t="s">
        <v>296</v>
      </c>
      <c r="S73" t="s">
        <v>296</v>
      </c>
      <c r="T73" t="n">
        <v>-0.125</v>
      </c>
    </row>
    <row r="74">
      <c r="A74" t="s">
        <v>31</v>
      </c>
      <c r="B74" t="n">
        <v>1.25</v>
      </c>
      <c r="C74" t="n">
        <v>0.8</v>
      </c>
      <c r="D74" t="n">
        <v>1.25</v>
      </c>
      <c r="E74" t="n">
        <v>-2.5</v>
      </c>
      <c r="F74" t="n">
        <v>-1.5</v>
      </c>
      <c r="G74" t="n">
        <v>173</v>
      </c>
      <c r="H74" t="n">
        <v>12</v>
      </c>
      <c r="I74" t="s">
        <v>298</v>
      </c>
      <c r="J74" t="n">
        <v>0</v>
      </c>
      <c r="K74" t="n">
        <v>0</v>
      </c>
      <c r="L74" t="n">
        <v>0</v>
      </c>
      <c r="M74" t="n">
        <v>12</v>
      </c>
      <c r="N74" t="n">
        <v>-0.25</v>
      </c>
      <c r="O74" t="n">
        <v>-0.75</v>
      </c>
      <c r="P74" t="n">
        <v>148</v>
      </c>
      <c r="Q74" t="n">
        <v>12</v>
      </c>
      <c r="R74" t="s">
        <v>298</v>
      </c>
      <c r="S74" t="s">
        <v>296</v>
      </c>
      <c r="T74" t="n">
        <v>-0.625</v>
      </c>
    </row>
    <row r="75">
      <c r="A75" t="s">
        <v>31</v>
      </c>
      <c r="B75" t="n">
        <v>1</v>
      </c>
      <c r="C75" t="n">
        <v>0.8</v>
      </c>
      <c r="D75" t="n">
        <v>1</v>
      </c>
      <c r="E75" t="n">
        <v>-4.5</v>
      </c>
      <c r="F75" t="n">
        <v>-1</v>
      </c>
      <c r="G75" t="n">
        <v>19</v>
      </c>
      <c r="H75" t="n">
        <v>12</v>
      </c>
      <c r="I75" t="s">
        <v>297</v>
      </c>
      <c r="J75" t="n">
        <v>0</v>
      </c>
      <c r="K75" t="n">
        <v>0</v>
      </c>
      <c r="L75" t="n">
        <v>0</v>
      </c>
      <c r="M75" t="n">
        <v>12</v>
      </c>
      <c r="N75" t="n">
        <v>-0.5</v>
      </c>
      <c r="O75" t="n">
        <v>-0.25</v>
      </c>
      <c r="P75" t="n">
        <v>32</v>
      </c>
      <c r="Q75" t="n">
        <v>12</v>
      </c>
      <c r="R75" t="s">
        <v>297</v>
      </c>
      <c r="S75" t="s">
        <v>296</v>
      </c>
      <c r="T75" t="n">
        <v>-0.625</v>
      </c>
    </row>
    <row r="76">
      <c r="A76" t="s">
        <v>31</v>
      </c>
      <c r="B76" t="n">
        <v>1.25</v>
      </c>
      <c r="C76" t="n">
        <v>1.25</v>
      </c>
      <c r="D76" t="n">
        <v>1.25</v>
      </c>
      <c r="E76" t="n">
        <v>-1.5</v>
      </c>
      <c r="F76" t="n">
        <v>-1</v>
      </c>
      <c r="G76" t="n">
        <v>168</v>
      </c>
      <c r="H76" t="n">
        <v>12</v>
      </c>
      <c r="I76" t="s">
        <v>298</v>
      </c>
      <c r="J76" t="n">
        <v>0</v>
      </c>
      <c r="K76" t="n">
        <v>0</v>
      </c>
      <c r="L76" t="n">
        <v>0</v>
      </c>
      <c r="M76" t="n">
        <v>12</v>
      </c>
      <c r="N76" t="n">
        <v>-0.25</v>
      </c>
      <c r="O76" t="n">
        <v>-0.25</v>
      </c>
      <c r="P76" t="n">
        <v>176</v>
      </c>
      <c r="Q76" t="n">
        <v>12</v>
      </c>
      <c r="R76" t="s">
        <v>298</v>
      </c>
      <c r="S76" t="s">
        <v>298</v>
      </c>
      <c r="T76" t="n">
        <v>-0.375</v>
      </c>
    </row>
    <row r="77">
      <c r="A77" t="s">
        <v>31</v>
      </c>
      <c r="B77" t="n">
        <v>1.25</v>
      </c>
      <c r="C77" t="n">
        <v>1</v>
      </c>
      <c r="D77" t="n">
        <v>1.25</v>
      </c>
      <c r="E77" t="n">
        <v>-1.25</v>
      </c>
      <c r="F77" t="n">
        <v>-0.75</v>
      </c>
      <c r="G77" t="n">
        <v>8</v>
      </c>
      <c r="H77" t="n">
        <v>12</v>
      </c>
      <c r="I77" t="s">
        <v>298</v>
      </c>
      <c r="J77" t="n">
        <v>0</v>
      </c>
      <c r="K77" t="n">
        <v>0</v>
      </c>
      <c r="L77" t="n">
        <v>0</v>
      </c>
      <c r="M77" t="n">
        <v>12</v>
      </c>
      <c r="N77" t="n">
        <v>-0.25</v>
      </c>
      <c r="O77" t="n">
        <v>-0.25</v>
      </c>
      <c r="P77" t="n">
        <v>40</v>
      </c>
      <c r="Q77" t="n">
        <v>12</v>
      </c>
      <c r="R77" t="s">
        <v>298</v>
      </c>
      <c r="S77" t="s">
        <v>297</v>
      </c>
      <c r="T77" t="n">
        <v>-0.375</v>
      </c>
    </row>
    <row r="78">
      <c r="A78" t="s">
        <v>31</v>
      </c>
      <c r="B78" t="n">
        <v>1</v>
      </c>
      <c r="C78" t="n">
        <v>0.8</v>
      </c>
      <c r="D78" t="n">
        <v>0.8</v>
      </c>
      <c r="E78" t="n">
        <v>-7</v>
      </c>
      <c r="F78" t="n">
        <v>-0.75</v>
      </c>
      <c r="G78" t="n">
        <v>178</v>
      </c>
      <c r="H78" t="n">
        <v>12</v>
      </c>
      <c r="I78" t="s">
        <v>297</v>
      </c>
      <c r="J78" t="n">
        <v>0</v>
      </c>
      <c r="K78" t="n">
        <v>0</v>
      </c>
      <c r="L78" t="n">
        <v>0</v>
      </c>
      <c r="M78" t="n">
        <v>12</v>
      </c>
      <c r="N78" t="n">
        <v>0.25</v>
      </c>
      <c r="O78" t="n">
        <v>-0.5</v>
      </c>
      <c r="P78" t="n">
        <v>22</v>
      </c>
      <c r="Q78" t="n">
        <v>12</v>
      </c>
      <c r="R78" t="s">
        <v>296</v>
      </c>
      <c r="S78" t="s">
        <v>296</v>
      </c>
      <c r="T78" t="n">
        <v>0</v>
      </c>
    </row>
    <row r="79">
      <c r="A79" t="s">
        <v>31</v>
      </c>
      <c r="B79" t="n">
        <v>1.25</v>
      </c>
      <c r="C79" t="n">
        <v>1.25</v>
      </c>
      <c r="D79" t="n">
        <v>1.25</v>
      </c>
      <c r="E79" t="n">
        <v>-2.75</v>
      </c>
      <c r="F79" t="n">
        <v>-1.25</v>
      </c>
      <c r="G79" t="n">
        <v>2</v>
      </c>
      <c r="H79" t="n">
        <v>12</v>
      </c>
      <c r="I79" t="s">
        <v>298</v>
      </c>
      <c r="J79" t="n">
        <v>0</v>
      </c>
      <c r="K79" t="n">
        <v>0</v>
      </c>
      <c r="L79" t="n">
        <v>0</v>
      </c>
      <c r="M79" t="n">
        <v>12</v>
      </c>
      <c r="N79" t="n">
        <v>0.25</v>
      </c>
      <c r="O79" t="n">
        <v>-0.25</v>
      </c>
      <c r="P79" t="n">
        <v>2</v>
      </c>
      <c r="Q79" t="n">
        <v>12</v>
      </c>
      <c r="R79" t="s">
        <v>298</v>
      </c>
      <c r="S79" t="s">
        <v>298</v>
      </c>
      <c r="T79" t="n">
        <v>0.125</v>
      </c>
    </row>
    <row r="80">
      <c r="A80" t="s">
        <v>31</v>
      </c>
      <c r="B80" t="n">
        <v>1.25</v>
      </c>
      <c r="C80" t="n">
        <v>1.6</v>
      </c>
      <c r="D80" t="n">
        <v>1.6</v>
      </c>
      <c r="E80" t="n">
        <v>-3.25</v>
      </c>
      <c r="F80" t="n">
        <v>-1.25</v>
      </c>
      <c r="G80" t="n">
        <v>163</v>
      </c>
      <c r="H80" t="n">
        <v>12</v>
      </c>
      <c r="I80" t="s">
        <v>298</v>
      </c>
      <c r="J80" t="n">
        <v>0</v>
      </c>
      <c r="K80" t="n">
        <v>0</v>
      </c>
      <c r="L80" t="n">
        <v>0</v>
      </c>
      <c r="M80" t="n">
        <v>12</v>
      </c>
      <c r="N80" t="n">
        <v>0.25</v>
      </c>
      <c r="O80" t="n">
        <v>-0.25</v>
      </c>
      <c r="P80" t="n">
        <v>147</v>
      </c>
      <c r="Q80" t="n">
        <v>12</v>
      </c>
      <c r="R80" t="s">
        <v>299</v>
      </c>
      <c r="S80" t="s">
        <v>299</v>
      </c>
      <c r="T80" t="n">
        <v>0.125</v>
      </c>
    </row>
    <row r="81">
      <c r="A81" t="s">
        <v>31</v>
      </c>
      <c r="B81" t="n">
        <v>1</v>
      </c>
      <c r="C81" t="n">
        <v>1</v>
      </c>
      <c r="D81" t="n">
        <v>1</v>
      </c>
      <c r="E81" t="n">
        <v>-2.5</v>
      </c>
      <c r="F81" t="n">
        <v>-1</v>
      </c>
      <c r="G81" t="n">
        <v>14</v>
      </c>
      <c r="H81" t="n">
        <v>12</v>
      </c>
      <c r="I81" t="s">
        <v>297</v>
      </c>
      <c r="J81" t="n">
        <v>0</v>
      </c>
      <c r="K81" t="n">
        <v>0</v>
      </c>
      <c r="L81" t="n">
        <v>0</v>
      </c>
      <c r="M81" t="n">
        <v>12</v>
      </c>
      <c r="N81" t="n">
        <v>-0.25</v>
      </c>
      <c r="O81" t="n">
        <v>0</v>
      </c>
      <c r="P81" t="n">
        <v>171</v>
      </c>
      <c r="Q81" t="n">
        <v>12</v>
      </c>
      <c r="R81" t="s">
        <v>297</v>
      </c>
      <c r="S81" t="s">
        <v>297</v>
      </c>
      <c r="T81" t="n">
        <v>-0.25</v>
      </c>
    </row>
    <row r="82">
      <c r="A82" t="s">
        <v>31</v>
      </c>
      <c r="B82" t="n">
        <v>1.25</v>
      </c>
      <c r="C82" t="n">
        <v>1.25</v>
      </c>
      <c r="D82" t="n">
        <v>1.25</v>
      </c>
      <c r="E82" t="n">
        <v>-5.25</v>
      </c>
      <c r="F82" t="n">
        <v>-0.75</v>
      </c>
      <c r="G82" t="n">
        <v>91</v>
      </c>
      <c r="H82" t="n">
        <v>12</v>
      </c>
      <c r="I82" t="s">
        <v>298</v>
      </c>
      <c r="J82" t="n">
        <v>0</v>
      </c>
      <c r="K82" t="n">
        <v>0</v>
      </c>
      <c r="L82" t="n">
        <v>0</v>
      </c>
      <c r="M82" t="n">
        <v>12</v>
      </c>
      <c r="N82" t="n">
        <v>-0.25</v>
      </c>
      <c r="O82" t="n">
        <v>-0.25</v>
      </c>
      <c r="P82" t="n">
        <v>49</v>
      </c>
      <c r="Q82" t="n">
        <v>12</v>
      </c>
      <c r="R82" t="s">
        <v>298</v>
      </c>
      <c r="S82" t="s">
        <v>298</v>
      </c>
      <c r="T82" t="n">
        <v>-0.375</v>
      </c>
    </row>
    <row r="83">
      <c r="A83" t="s">
        <v>31</v>
      </c>
      <c r="B83" t="n">
        <v>1</v>
      </c>
      <c r="C83" t="n">
        <v>1</v>
      </c>
      <c r="D83" t="n">
        <v>1</v>
      </c>
      <c r="E83" t="n">
        <v>-7.25</v>
      </c>
      <c r="F83" t="n">
        <v>-0.5</v>
      </c>
      <c r="G83" t="n">
        <v>3</v>
      </c>
      <c r="H83" t="n">
        <v>12</v>
      </c>
      <c r="I83" t="s">
        <v>297</v>
      </c>
      <c r="J83" t="n">
        <v>0</v>
      </c>
      <c r="K83" t="n">
        <v>0</v>
      </c>
      <c r="L83" t="n">
        <v>0</v>
      </c>
      <c r="M83" t="n">
        <v>12</v>
      </c>
      <c r="N83" t="n">
        <v>0.25</v>
      </c>
      <c r="O83" t="n">
        <v>-0.25</v>
      </c>
      <c r="P83" t="n">
        <v>48</v>
      </c>
      <c r="Q83" t="n">
        <v>12</v>
      </c>
      <c r="R83" t="s">
        <v>297</v>
      </c>
      <c r="S83" t="s">
        <v>297</v>
      </c>
      <c r="T83" t="n">
        <v>0.125</v>
      </c>
    </row>
    <row r="84">
      <c r="A84" t="s">
        <v>31</v>
      </c>
      <c r="B84" t="n">
        <v>1</v>
      </c>
      <c r="C84" t="n">
        <v>1.25</v>
      </c>
      <c r="D84" t="n">
        <v>1.25</v>
      </c>
      <c r="E84" t="n">
        <v>-5.5</v>
      </c>
      <c r="F84" t="n">
        <v>-0.25</v>
      </c>
      <c r="G84" t="n">
        <v>21</v>
      </c>
      <c r="H84" t="n">
        <v>12</v>
      </c>
      <c r="I84" t="s">
        <v>297</v>
      </c>
      <c r="J84" t="n">
        <v>0</v>
      </c>
      <c r="K84" t="n">
        <v>0</v>
      </c>
      <c r="L84" t="n">
        <v>0</v>
      </c>
      <c r="M84" t="n">
        <v>12</v>
      </c>
      <c r="N84" t="n">
        <v>-0.25</v>
      </c>
      <c r="O84" t="n">
        <v>-0.25</v>
      </c>
      <c r="P84" t="n">
        <v>108</v>
      </c>
      <c r="Q84" t="n">
        <v>12</v>
      </c>
      <c r="R84" t="s">
        <v>298</v>
      </c>
      <c r="S84" t="s">
        <v>298</v>
      </c>
      <c r="T84" t="n">
        <v>-0.375</v>
      </c>
    </row>
    <row r="85">
      <c r="A85" t="s">
        <v>31</v>
      </c>
      <c r="B85" t="n">
        <v>1</v>
      </c>
      <c r="C85" t="n">
        <v>1</v>
      </c>
      <c r="D85" t="n">
        <v>1</v>
      </c>
      <c r="E85" t="n">
        <v>-6.75</v>
      </c>
      <c r="F85" t="n">
        <v>-0.25</v>
      </c>
      <c r="G85" t="n">
        <v>146</v>
      </c>
      <c r="H85" t="n">
        <v>12</v>
      </c>
      <c r="I85" t="s">
        <v>297</v>
      </c>
      <c r="J85" t="n">
        <v>0</v>
      </c>
      <c r="K85" t="n">
        <v>0</v>
      </c>
      <c r="L85" t="n">
        <v>0</v>
      </c>
      <c r="M85" t="n">
        <v>12</v>
      </c>
      <c r="N85" t="n">
        <v>0.25</v>
      </c>
      <c r="O85" t="n">
        <v>-0.25</v>
      </c>
      <c r="P85" t="n">
        <v>75</v>
      </c>
      <c r="Q85" t="n">
        <v>12</v>
      </c>
      <c r="R85" t="s">
        <v>297</v>
      </c>
      <c r="S85" t="s">
        <v>297</v>
      </c>
      <c r="T85" t="n">
        <v>0.125</v>
      </c>
    </row>
    <row r="86">
      <c r="A86" t="s">
        <v>31</v>
      </c>
      <c r="B86" t="n">
        <v>1</v>
      </c>
      <c r="C86" t="n">
        <v>1</v>
      </c>
      <c r="D86" t="n">
        <v>1</v>
      </c>
      <c r="E86" t="n">
        <v>-5.75</v>
      </c>
      <c r="F86" t="n">
        <v>-0.75</v>
      </c>
      <c r="G86" t="n">
        <v>89</v>
      </c>
      <c r="H86" t="n">
        <v>12</v>
      </c>
      <c r="I86" t="s">
        <v>297</v>
      </c>
      <c r="J86" t="n">
        <v>0</v>
      </c>
      <c r="K86" t="n">
        <v>0</v>
      </c>
      <c r="L86" t="n">
        <v>0</v>
      </c>
      <c r="M86" t="n">
        <v>12</v>
      </c>
      <c r="N86" t="n">
        <v>-0.25</v>
      </c>
      <c r="O86" t="n">
        <v>0</v>
      </c>
      <c r="P86" t="n">
        <v>23</v>
      </c>
      <c r="Q86" t="n">
        <v>12</v>
      </c>
      <c r="R86" t="s">
        <v>297</v>
      </c>
      <c r="S86" t="s">
        <v>297</v>
      </c>
      <c r="T86" t="n">
        <v>-0.25</v>
      </c>
    </row>
    <row r="87">
      <c r="A87" t="s">
        <v>31</v>
      </c>
      <c r="B87" t="n">
        <v>1</v>
      </c>
      <c r="C87" t="n">
        <v>0.8</v>
      </c>
      <c r="D87" t="n">
        <v>0.8</v>
      </c>
      <c r="E87" t="n">
        <v>-5.75</v>
      </c>
      <c r="F87" t="n">
        <v>-0.5</v>
      </c>
      <c r="G87" t="n">
        <v>102</v>
      </c>
      <c r="H87" t="n">
        <v>12</v>
      </c>
      <c r="I87" t="s">
        <v>297</v>
      </c>
      <c r="J87" t="n">
        <v>0</v>
      </c>
      <c r="K87" t="n">
        <v>0</v>
      </c>
      <c r="L87" t="n">
        <v>0</v>
      </c>
      <c r="M87" t="n">
        <v>12</v>
      </c>
      <c r="N87" t="n">
        <v>0</v>
      </c>
      <c r="O87" t="n">
        <v>-0.25</v>
      </c>
      <c r="P87" t="n">
        <v>51</v>
      </c>
      <c r="Q87" t="n">
        <v>12</v>
      </c>
      <c r="R87" t="s">
        <v>296</v>
      </c>
      <c r="S87" t="s">
        <v>296</v>
      </c>
      <c r="T87" t="n">
        <v>-0.125</v>
      </c>
    </row>
    <row r="88">
      <c r="A88" t="s">
        <v>31</v>
      </c>
      <c r="B88" t="n">
        <v>1</v>
      </c>
      <c r="C88" t="n">
        <v>1</v>
      </c>
      <c r="D88" t="n">
        <v>1</v>
      </c>
      <c r="E88" t="n">
        <v>-7.5</v>
      </c>
      <c r="F88" t="n">
        <v>-0.25</v>
      </c>
      <c r="G88" t="n">
        <v>180</v>
      </c>
      <c r="H88" t="n">
        <v>12</v>
      </c>
      <c r="I88" t="s">
        <v>297</v>
      </c>
      <c r="J88" t="n">
        <v>0</v>
      </c>
      <c r="K88" t="n">
        <v>0</v>
      </c>
      <c r="L88" t="n">
        <v>0</v>
      </c>
      <c r="M88" t="n">
        <v>12</v>
      </c>
      <c r="N88" t="n">
        <v>-0.75</v>
      </c>
      <c r="O88" t="n">
        <v>0</v>
      </c>
      <c r="P88" t="n">
        <v>167</v>
      </c>
      <c r="Q88" t="n">
        <v>12</v>
      </c>
      <c r="R88" t="s">
        <v>297</v>
      </c>
      <c r="S88" t="s">
        <v>297</v>
      </c>
      <c r="T88" t="n">
        <v>-0.75</v>
      </c>
    </row>
    <row r="89">
      <c r="A89" t="s">
        <v>31</v>
      </c>
      <c r="B89" t="n">
        <v>1.25</v>
      </c>
      <c r="C89"/>
      <c r="D89"/>
      <c r="E89" t="n">
        <v>-1.25</v>
      </c>
      <c r="F89" t="n">
        <v>-2.75</v>
      </c>
      <c r="G89" t="n">
        <v>172</v>
      </c>
      <c r="H89" t="n">
        <v>12</v>
      </c>
      <c r="I89" t="s">
        <v>298</v>
      </c>
      <c r="J89" t="n">
        <v>0</v>
      </c>
      <c r="K89" t="n">
        <v>0</v>
      </c>
      <c r="L89" t="n">
        <v>0</v>
      </c>
      <c r="M89" t="n">
        <v>12</v>
      </c>
      <c r="N89"/>
      <c r="O89"/>
      <c r="P89"/>
      <c r="Q89" t="n">
        <v>12</v>
      </c>
      <c r="R89" t="s">
        <v>109</v>
      </c>
      <c r="S89" t="s">
        <v>109</v>
      </c>
      <c r="T89"/>
    </row>
    <row r="90">
      <c r="A90" t="s">
        <v>31</v>
      </c>
      <c r="B90" t="n">
        <v>1</v>
      </c>
      <c r="C90" t="n">
        <v>1.25</v>
      </c>
      <c r="D90" t="n">
        <v>1.25</v>
      </c>
      <c r="E90" t="n">
        <v>-3</v>
      </c>
      <c r="F90" t="n">
        <v>-0.5</v>
      </c>
      <c r="G90" t="n">
        <v>85</v>
      </c>
      <c r="H90" t="n">
        <v>12</v>
      </c>
      <c r="I90" t="s">
        <v>297</v>
      </c>
      <c r="J90" t="n">
        <v>0</v>
      </c>
      <c r="K90" t="n">
        <v>0</v>
      </c>
      <c r="L90" t="n">
        <v>0</v>
      </c>
      <c r="M90" t="n">
        <v>12</v>
      </c>
      <c r="N90" t="n">
        <v>0.25</v>
      </c>
      <c r="O90" t="n">
        <v>-0.25</v>
      </c>
      <c r="P90" t="n">
        <v>110</v>
      </c>
      <c r="Q90" t="n">
        <v>12</v>
      </c>
      <c r="R90" t="s">
        <v>298</v>
      </c>
      <c r="S90" t="s">
        <v>298</v>
      </c>
      <c r="T90" t="n">
        <v>0.125</v>
      </c>
    </row>
    <row r="91">
      <c r="A91" t="s">
        <v>31</v>
      </c>
      <c r="B91" t="n">
        <v>1.25</v>
      </c>
      <c r="C91" t="n">
        <v>1.25</v>
      </c>
      <c r="D91" t="n">
        <v>1.25</v>
      </c>
      <c r="E91" t="n">
        <v>-5</v>
      </c>
      <c r="F91" t="n">
        <v>-1</v>
      </c>
      <c r="G91" t="n">
        <v>95</v>
      </c>
      <c r="H91" t="n">
        <v>12</v>
      </c>
      <c r="I91" t="s">
        <v>298</v>
      </c>
      <c r="J91" t="n">
        <v>0</v>
      </c>
      <c r="K91" t="n">
        <v>0</v>
      </c>
      <c r="L91" t="n">
        <v>0</v>
      </c>
      <c r="M91" t="n">
        <v>12</v>
      </c>
      <c r="N91" t="n">
        <v>0</v>
      </c>
      <c r="O91" t="n">
        <v>0</v>
      </c>
      <c r="P91" t="n">
        <v>32</v>
      </c>
      <c r="Q91" t="n">
        <v>12</v>
      </c>
      <c r="R91" t="s">
        <v>298</v>
      </c>
      <c r="S91" t="s">
        <v>298</v>
      </c>
      <c r="T91" t="n">
        <v>0</v>
      </c>
    </row>
    <row r="92">
      <c r="A92" t="s">
        <v>31</v>
      </c>
      <c r="B92" t="n">
        <v>1</v>
      </c>
      <c r="C92" t="n">
        <v>1.25</v>
      </c>
      <c r="D92" t="n">
        <v>1.25</v>
      </c>
      <c r="E92" t="n">
        <v>-5.75</v>
      </c>
      <c r="F92" t="n">
        <v>-0.75</v>
      </c>
      <c r="G92" t="n">
        <v>104</v>
      </c>
      <c r="H92" t="n">
        <v>12</v>
      </c>
      <c r="I92" t="s">
        <v>297</v>
      </c>
      <c r="J92" t="n">
        <v>0</v>
      </c>
      <c r="K92" t="n">
        <v>0</v>
      </c>
      <c r="L92" t="n">
        <v>0</v>
      </c>
      <c r="M92" t="n">
        <v>12</v>
      </c>
      <c r="N92" t="n">
        <v>-0.25</v>
      </c>
      <c r="O92" t="n">
        <v>-0.25</v>
      </c>
      <c r="P92" t="n">
        <v>84</v>
      </c>
      <c r="Q92" t="n">
        <v>12</v>
      </c>
      <c r="R92" t="s">
        <v>298</v>
      </c>
      <c r="S92" t="s">
        <v>298</v>
      </c>
      <c r="T92" t="n">
        <v>-0.375</v>
      </c>
    </row>
    <row r="93">
      <c r="A93" t="s">
        <v>31</v>
      </c>
      <c r="B93" t="n">
        <v>1</v>
      </c>
      <c r="C93" t="n">
        <v>1</v>
      </c>
      <c r="D93" t="n">
        <v>1</v>
      </c>
      <c r="E93" t="n">
        <v>-6.5</v>
      </c>
      <c r="F93" t="n">
        <v>-0.5</v>
      </c>
      <c r="G93" t="n">
        <v>77</v>
      </c>
      <c r="H93" t="n">
        <v>12</v>
      </c>
      <c r="I93" t="s">
        <v>297</v>
      </c>
      <c r="J93" t="n">
        <v>0</v>
      </c>
      <c r="K93" t="n">
        <v>0</v>
      </c>
      <c r="L93" t="n">
        <v>0</v>
      </c>
      <c r="M93" t="n">
        <v>12</v>
      </c>
      <c r="N93" t="n">
        <v>0</v>
      </c>
      <c r="O93" t="n">
        <v>-0.25</v>
      </c>
      <c r="P93" t="n">
        <v>48</v>
      </c>
      <c r="Q93" t="n">
        <v>12</v>
      </c>
      <c r="R93" t="s">
        <v>297</v>
      </c>
      <c r="S93" t="s">
        <v>297</v>
      </c>
      <c r="T93" t="n">
        <v>-0.125</v>
      </c>
    </row>
    <row r="94">
      <c r="A94" t="s">
        <v>31</v>
      </c>
      <c r="B94" t="n">
        <v>1.25</v>
      </c>
      <c r="C94" t="n">
        <v>1.6</v>
      </c>
      <c r="D94" t="n">
        <v>1.6</v>
      </c>
      <c r="E94" t="n">
        <v>-3.75</v>
      </c>
      <c r="F94" t="n">
        <v>-1.75</v>
      </c>
      <c r="G94" t="n">
        <v>65</v>
      </c>
      <c r="H94" t="n">
        <v>12</v>
      </c>
      <c r="I94" t="s">
        <v>298</v>
      </c>
      <c r="J94" t="n">
        <v>0</v>
      </c>
      <c r="K94" t="n">
        <v>0</v>
      </c>
      <c r="L94" t="n">
        <v>0</v>
      </c>
      <c r="M94" t="n">
        <v>12</v>
      </c>
      <c r="N94" t="n">
        <v>0</v>
      </c>
      <c r="O94" t="n">
        <v>-0.25</v>
      </c>
      <c r="P94" t="n">
        <v>9</v>
      </c>
      <c r="Q94" t="n">
        <v>12</v>
      </c>
      <c r="R94" t="s">
        <v>299</v>
      </c>
      <c r="S94" t="s">
        <v>299</v>
      </c>
      <c r="T94" t="n">
        <v>-0.125</v>
      </c>
    </row>
    <row r="95">
      <c r="A95" t="s">
        <v>31</v>
      </c>
      <c r="B95" t="n">
        <v>1.25</v>
      </c>
      <c r="C95" t="n">
        <v>1.6</v>
      </c>
      <c r="D95" t="n">
        <v>1.6</v>
      </c>
      <c r="E95" t="n">
        <v>-4</v>
      </c>
      <c r="F95" t="n">
        <v>-1.25</v>
      </c>
      <c r="G95" t="n">
        <v>107</v>
      </c>
      <c r="H95" t="n">
        <v>12</v>
      </c>
      <c r="I95" t="s">
        <v>298</v>
      </c>
      <c r="J95" t="n">
        <v>0</v>
      </c>
      <c r="K95" t="n">
        <v>0</v>
      </c>
      <c r="L95" t="n">
        <v>0</v>
      </c>
      <c r="M95" t="n">
        <v>12</v>
      </c>
      <c r="N95" t="n">
        <v>0</v>
      </c>
      <c r="O95" t="n">
        <v>-0.25</v>
      </c>
      <c r="P95" t="n">
        <v>134</v>
      </c>
      <c r="Q95" t="n">
        <v>12</v>
      </c>
      <c r="R95" t="s">
        <v>299</v>
      </c>
      <c r="S95" t="s">
        <v>299</v>
      </c>
      <c r="T95" t="n">
        <v>-0.125</v>
      </c>
    </row>
    <row r="96">
      <c r="A96" t="s">
        <v>31</v>
      </c>
      <c r="B96" t="n">
        <v>1</v>
      </c>
      <c r="C96"/>
      <c r="D96"/>
      <c r="E96" t="n">
        <v>-4</v>
      </c>
      <c r="F96" t="n">
        <v>-0.75</v>
      </c>
      <c r="G96" t="n">
        <v>5</v>
      </c>
      <c r="H96" t="n">
        <v>12</v>
      </c>
      <c r="I96" t="s">
        <v>297</v>
      </c>
      <c r="J96" t="n">
        <v>0</v>
      </c>
      <c r="K96" t="n">
        <v>0</v>
      </c>
      <c r="L96" t="n">
        <v>0</v>
      </c>
      <c r="M96" t="n">
        <v>12</v>
      </c>
      <c r="N96"/>
      <c r="O96"/>
      <c r="P96"/>
      <c r="Q96" t="n">
        <v>12</v>
      </c>
      <c r="R96" t="s">
        <v>109</v>
      </c>
      <c r="S96" t="s">
        <v>109</v>
      </c>
      <c r="T96"/>
    </row>
    <row r="97">
      <c r="A97" t="s">
        <v>31</v>
      </c>
      <c r="B97" t="n">
        <v>1</v>
      </c>
      <c r="C97" t="n">
        <v>1</v>
      </c>
      <c r="D97" t="n">
        <v>1</v>
      </c>
      <c r="E97" t="n">
        <v>-4</v>
      </c>
      <c r="F97" t="n">
        <v>-1.25</v>
      </c>
      <c r="G97" t="n">
        <v>22</v>
      </c>
      <c r="H97" t="n">
        <v>12</v>
      </c>
      <c r="I97" t="s">
        <v>297</v>
      </c>
      <c r="J97" t="n">
        <v>0</v>
      </c>
      <c r="K97" t="n">
        <v>0</v>
      </c>
      <c r="L97" t="n">
        <v>0</v>
      </c>
      <c r="M97" t="n">
        <v>12</v>
      </c>
      <c r="N97" t="n">
        <v>-0.25</v>
      </c>
      <c r="O97" t="n">
        <v>-0.25</v>
      </c>
      <c r="P97" t="n">
        <v>156</v>
      </c>
      <c r="Q97" t="n">
        <v>12</v>
      </c>
      <c r="R97" t="s">
        <v>297</v>
      </c>
      <c r="S97" t="s">
        <v>297</v>
      </c>
      <c r="T97" t="n">
        <v>-0.375</v>
      </c>
    </row>
    <row r="98">
      <c r="A98" t="s">
        <v>31</v>
      </c>
      <c r="B98" t="n">
        <v>0.8</v>
      </c>
      <c r="C98" t="n">
        <v>0.8</v>
      </c>
      <c r="D98" t="n">
        <v>0.8</v>
      </c>
      <c r="E98" t="n">
        <v>-5.5</v>
      </c>
      <c r="F98" t="n">
        <v>-1.5</v>
      </c>
      <c r="G98" t="n">
        <v>172</v>
      </c>
      <c r="H98" t="n">
        <v>12</v>
      </c>
      <c r="I98" t="s">
        <v>296</v>
      </c>
      <c r="J98" t="n">
        <v>0</v>
      </c>
      <c r="K98" t="n">
        <v>0</v>
      </c>
      <c r="L98" t="n">
        <v>0</v>
      </c>
      <c r="M98" t="n">
        <v>12</v>
      </c>
      <c r="N98" t="n">
        <v>-0.25</v>
      </c>
      <c r="O98" t="n">
        <v>-0.25</v>
      </c>
      <c r="P98" t="n">
        <v>137</v>
      </c>
      <c r="Q98" t="n">
        <v>12</v>
      </c>
      <c r="R98" t="s">
        <v>296</v>
      </c>
      <c r="S98" t="s">
        <v>296</v>
      </c>
      <c r="T98" t="n">
        <v>-0.375</v>
      </c>
    </row>
  </sheetData>
  <pageMargins left="0.7" right="0.7" top="0.75" bottom="0.75" header="0.3" footer="0.3"/>
  <pageSetup paperSize="9" orientation="portrait" horizontalDpi="300" verticalDpi="300"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302</v>
      </c>
      <c r="B1" t="s">
        <v>303</v>
      </c>
      <c r="C1" t="s">
        <v>304</v>
      </c>
      <c r="D1" t="s">
        <v>305</v>
      </c>
      <c r="E1" t="s">
        <v>306</v>
      </c>
    </row>
    <row r="2">
      <c r="A2" t="s">
        <v>307</v>
      </c>
      <c r="B2" t="n">
        <v>-0.5</v>
      </c>
      <c r="C2" t="n">
        <v>179</v>
      </c>
      <c r="D2" t="n">
        <v>-0.25</v>
      </c>
      <c r="E2" t="n">
        <v>66</v>
      </c>
    </row>
    <row r="3">
      <c r="A3" t="s">
        <v>308</v>
      </c>
      <c r="B3" t="n">
        <v>-1</v>
      </c>
      <c r="C3" t="n">
        <v>170</v>
      </c>
      <c r="D3" t="n">
        <v>-0.75</v>
      </c>
      <c r="E3" t="n">
        <v>131</v>
      </c>
    </row>
    <row r="4">
      <c r="A4" t="s">
        <v>307</v>
      </c>
      <c r="B4" t="n">
        <v>-0.75</v>
      </c>
      <c r="C4" t="n">
        <v>95</v>
      </c>
      <c r="D4" t="n">
        <v>-0.25</v>
      </c>
      <c r="E4" t="n">
        <v>92</v>
      </c>
    </row>
    <row r="5">
      <c r="A5" t="s">
        <v>308</v>
      </c>
      <c r="B5" t="n">
        <v>-0.5</v>
      </c>
      <c r="C5" t="n">
        <v>106</v>
      </c>
      <c r="D5" t="n">
        <v>-0.25</v>
      </c>
      <c r="E5" t="n">
        <v>123</v>
      </c>
    </row>
    <row r="6">
      <c r="A6" t="s">
        <v>307</v>
      </c>
      <c r="B6" t="n">
        <v>-0.75</v>
      </c>
      <c r="C6" t="n">
        <v>4</v>
      </c>
      <c r="D6" t="n">
        <v>-0.25</v>
      </c>
      <c r="E6" t="n">
        <v>156</v>
      </c>
    </row>
    <row r="7">
      <c r="A7" t="s">
        <v>307</v>
      </c>
      <c r="B7" t="n">
        <v>-1.75</v>
      </c>
      <c r="C7" t="n">
        <v>23</v>
      </c>
      <c r="D7" t="n">
        <v>-0.25</v>
      </c>
      <c r="E7" t="n">
        <v>66</v>
      </c>
    </row>
    <row r="8">
      <c r="A8" t="s">
        <v>308</v>
      </c>
      <c r="B8" t="n">
        <v>-1.5</v>
      </c>
      <c r="C8" t="n">
        <v>172</v>
      </c>
      <c r="D8" t="n">
        <v>-0.25</v>
      </c>
      <c r="E8" t="n">
        <v>37</v>
      </c>
    </row>
    <row r="9">
      <c r="A9" t="s">
        <v>307</v>
      </c>
      <c r="B9" t="n">
        <v>-1.25</v>
      </c>
      <c r="C9" t="n">
        <v>171</v>
      </c>
      <c r="D9" t="n">
        <v>-0.25</v>
      </c>
      <c r="E9" t="n">
        <v>162</v>
      </c>
    </row>
    <row r="10">
      <c r="A10" t="s">
        <v>308</v>
      </c>
      <c r="B10" t="n">
        <v>-0.5</v>
      </c>
      <c r="C10" t="n">
        <v>22</v>
      </c>
      <c r="D10" t="n">
        <v>-0.25</v>
      </c>
      <c r="E10" t="n">
        <v>48</v>
      </c>
    </row>
    <row r="11">
      <c r="A11" t="s">
        <v>308</v>
      </c>
      <c r="B11" t="n">
        <v>-0.75</v>
      </c>
      <c r="C11" t="n">
        <v>50</v>
      </c>
      <c r="D11" t="n">
        <v>-0.5</v>
      </c>
      <c r="E11" t="n">
        <v>31</v>
      </c>
    </row>
    <row r="12">
      <c r="A12" t="s">
        <v>308</v>
      </c>
      <c r="B12" t="n">
        <v>-0.5</v>
      </c>
      <c r="C12" t="n">
        <v>85</v>
      </c>
      <c r="D12" t="n">
        <v>0</v>
      </c>
      <c r="E12" t="n">
        <v>131</v>
      </c>
    </row>
    <row r="13">
      <c r="A13" t="s">
        <v>307</v>
      </c>
      <c r="B13" t="n">
        <v>-1</v>
      </c>
      <c r="C13" t="n">
        <v>109</v>
      </c>
      <c r="D13" t="n">
        <v>0</v>
      </c>
      <c r="E13" t="n">
        <v>159</v>
      </c>
    </row>
    <row r="14">
      <c r="A14" t="s">
        <v>308</v>
      </c>
      <c r="B14" t="n">
        <v>-0.25</v>
      </c>
      <c r="C14" t="n">
        <v>14</v>
      </c>
      <c r="D14" t="n">
        <v>-0.25</v>
      </c>
      <c r="E14" t="n">
        <v>84</v>
      </c>
    </row>
    <row r="15">
      <c r="A15" t="s">
        <v>307</v>
      </c>
      <c r="B15" t="n">
        <v>-0.5</v>
      </c>
      <c r="C15" t="n">
        <v>179</v>
      </c>
      <c r="D15"/>
      <c r="E15"/>
    </row>
    <row r="16">
      <c r="A16" t="s">
        <v>308</v>
      </c>
      <c r="B16" t="n">
        <v>-0.5</v>
      </c>
      <c r="C16" t="n">
        <v>176</v>
      </c>
      <c r="D16"/>
      <c r="E16"/>
    </row>
    <row r="17">
      <c r="A17" t="s">
        <v>307</v>
      </c>
      <c r="B17" t="n">
        <v>-1.5</v>
      </c>
      <c r="C17" t="n">
        <v>176</v>
      </c>
      <c r="D17" t="n">
        <v>-0.25</v>
      </c>
      <c r="E17" t="n">
        <v>20</v>
      </c>
    </row>
    <row r="18">
      <c r="A18" t="s">
        <v>307</v>
      </c>
      <c r="B18" t="n">
        <v>-1</v>
      </c>
      <c r="C18" t="n">
        <v>167</v>
      </c>
      <c r="D18" t="n">
        <v>-0.25</v>
      </c>
      <c r="E18" t="n">
        <v>142</v>
      </c>
    </row>
    <row r="19">
      <c r="A19" t="s">
        <v>307</v>
      </c>
      <c r="B19" t="n">
        <v>-0.75</v>
      </c>
      <c r="C19" t="n">
        <v>116</v>
      </c>
      <c r="D19"/>
      <c r="E19"/>
    </row>
    <row r="20">
      <c r="A20" t="s">
        <v>308</v>
      </c>
      <c r="B20" t="n">
        <v>-1</v>
      </c>
      <c r="C20" t="n">
        <v>59</v>
      </c>
      <c r="D20"/>
      <c r="E20"/>
    </row>
    <row r="21">
      <c r="A21" t="s">
        <v>308</v>
      </c>
      <c r="B21" t="n">
        <v>-1</v>
      </c>
      <c r="C21" t="n">
        <v>83</v>
      </c>
      <c r="D21" t="n">
        <v>-0.25</v>
      </c>
      <c r="E21" t="n">
        <v>165</v>
      </c>
    </row>
    <row r="22">
      <c r="A22" t="s">
        <v>307</v>
      </c>
      <c r="B22" t="n">
        <v>-1</v>
      </c>
      <c r="C22" t="n">
        <v>170</v>
      </c>
      <c r="D22" t="n">
        <v>-0.25</v>
      </c>
      <c r="E22" t="n">
        <v>70</v>
      </c>
    </row>
    <row r="23">
      <c r="A23" t="s">
        <v>308</v>
      </c>
      <c r="B23" t="n">
        <v>-1.25</v>
      </c>
      <c r="C23" t="n">
        <v>170</v>
      </c>
      <c r="D23" t="n">
        <v>-0.25</v>
      </c>
      <c r="E23" t="n">
        <v>108</v>
      </c>
    </row>
    <row r="24">
      <c r="A24" t="s">
        <v>308</v>
      </c>
      <c r="B24" t="n">
        <v>-0.5</v>
      </c>
      <c r="C24" t="n">
        <v>11</v>
      </c>
      <c r="D24" t="n">
        <v>0</v>
      </c>
      <c r="E24" t="n">
        <v>111</v>
      </c>
    </row>
    <row r="25">
      <c r="A25" t="s">
        <v>307</v>
      </c>
      <c r="B25" t="n">
        <v>-2.5</v>
      </c>
      <c r="C25" t="n">
        <v>173</v>
      </c>
      <c r="D25" t="n">
        <v>-0.25</v>
      </c>
      <c r="E25" t="n">
        <v>156</v>
      </c>
    </row>
    <row r="26">
      <c r="A26" t="s">
        <v>308</v>
      </c>
      <c r="B26" t="n">
        <v>-1.5</v>
      </c>
      <c r="C26" t="n">
        <v>4</v>
      </c>
      <c r="D26" t="n">
        <v>0</v>
      </c>
      <c r="E26" t="n">
        <v>178</v>
      </c>
    </row>
    <row r="27">
      <c r="A27" t="s">
        <v>307</v>
      </c>
      <c r="B27" t="n">
        <v>-1.25</v>
      </c>
      <c r="C27" t="n">
        <v>44</v>
      </c>
      <c r="D27" t="n">
        <v>-0.5</v>
      </c>
      <c r="E27" t="n">
        <v>4</v>
      </c>
    </row>
    <row r="28">
      <c r="A28" t="s">
        <v>308</v>
      </c>
      <c r="B28" t="n">
        <v>-0.5</v>
      </c>
      <c r="C28" t="n">
        <v>142</v>
      </c>
      <c r="D28" t="n">
        <v>-0.25</v>
      </c>
      <c r="E28" t="n">
        <v>175</v>
      </c>
    </row>
    <row r="29">
      <c r="A29" t="s">
        <v>307</v>
      </c>
      <c r="B29" t="n">
        <v>-0.5</v>
      </c>
      <c r="C29" t="n">
        <v>11</v>
      </c>
      <c r="D29" t="n">
        <v>-0.25</v>
      </c>
      <c r="E29" t="n">
        <v>120</v>
      </c>
    </row>
    <row r="30">
      <c r="A30" t="s">
        <v>307</v>
      </c>
      <c r="B30" t="n">
        <v>-2.25</v>
      </c>
      <c r="C30" t="n">
        <v>27</v>
      </c>
      <c r="D30" t="n">
        <v>-0.25</v>
      </c>
      <c r="E30" t="n">
        <v>178</v>
      </c>
    </row>
    <row r="31">
      <c r="A31" t="s">
        <v>307</v>
      </c>
      <c r="B31" t="n">
        <v>-0.75</v>
      </c>
      <c r="C31" t="n">
        <v>165</v>
      </c>
      <c r="D31" t="n">
        <v>-0.25</v>
      </c>
      <c r="E31" t="n">
        <v>133</v>
      </c>
    </row>
    <row r="32">
      <c r="A32" t="s">
        <v>307</v>
      </c>
      <c r="B32" t="n">
        <v>-1</v>
      </c>
      <c r="C32" t="n">
        <v>21</v>
      </c>
      <c r="D32" t="n">
        <v>-0.5</v>
      </c>
      <c r="E32" t="n">
        <v>156</v>
      </c>
    </row>
    <row r="33">
      <c r="A33" t="s">
        <v>308</v>
      </c>
      <c r="B33" t="n">
        <v>-0.75</v>
      </c>
      <c r="C33" t="n">
        <v>9</v>
      </c>
      <c r="D33"/>
      <c r="E33"/>
    </row>
    <row r="34">
      <c r="A34" t="s">
        <v>307</v>
      </c>
      <c r="B34" t="n">
        <v>-0.5</v>
      </c>
      <c r="C34" t="n">
        <v>174</v>
      </c>
      <c r="D34" t="n">
        <v>0</v>
      </c>
      <c r="E34" t="n">
        <v>51</v>
      </c>
    </row>
    <row r="35">
      <c r="A35" t="s">
        <v>308</v>
      </c>
      <c r="B35" t="n">
        <v>-0.75</v>
      </c>
      <c r="C35" t="n">
        <v>171</v>
      </c>
      <c r="D35" t="n">
        <v>-0.25</v>
      </c>
      <c r="E35" t="n">
        <v>2</v>
      </c>
    </row>
    <row r="36">
      <c r="A36" t="s">
        <v>307</v>
      </c>
      <c r="B36" t="n">
        <v>-1</v>
      </c>
      <c r="C36" t="n">
        <v>156</v>
      </c>
      <c r="D36" t="n">
        <v>-0.5</v>
      </c>
      <c r="E36" t="n">
        <v>126</v>
      </c>
    </row>
    <row r="37">
      <c r="A37" t="s">
        <v>308</v>
      </c>
      <c r="B37" t="n">
        <v>-1.25</v>
      </c>
      <c r="C37" t="n">
        <v>7</v>
      </c>
      <c r="D37" t="n">
        <v>-0.25</v>
      </c>
      <c r="E37" t="n">
        <v>35</v>
      </c>
    </row>
    <row r="38">
      <c r="A38" t="s">
        <v>307</v>
      </c>
      <c r="B38" t="n">
        <v>-0.5</v>
      </c>
      <c r="C38" t="n">
        <v>176</v>
      </c>
      <c r="D38" t="n">
        <v>-0.25</v>
      </c>
      <c r="E38" t="n">
        <v>123</v>
      </c>
    </row>
    <row r="39">
      <c r="A39" t="s">
        <v>307</v>
      </c>
      <c r="B39" t="n">
        <v>-1</v>
      </c>
      <c r="C39" t="n">
        <v>100</v>
      </c>
      <c r="D39" t="n">
        <v>-0.25</v>
      </c>
      <c r="E39" t="n">
        <v>161</v>
      </c>
    </row>
    <row r="40">
      <c r="A40" t="s">
        <v>308</v>
      </c>
      <c r="B40" t="n">
        <v>-0.75</v>
      </c>
      <c r="C40" t="n">
        <v>86</v>
      </c>
      <c r="D40" t="n">
        <v>0</v>
      </c>
      <c r="E40" t="n">
        <v>52</v>
      </c>
    </row>
    <row r="41">
      <c r="A41" t="s">
        <v>307</v>
      </c>
      <c r="B41" t="n">
        <v>-0.75</v>
      </c>
      <c r="C41" t="n">
        <v>177</v>
      </c>
      <c r="D41"/>
      <c r="E41"/>
    </row>
    <row r="42">
      <c r="A42" t="s">
        <v>308</v>
      </c>
      <c r="B42" t="n">
        <v>-1.25</v>
      </c>
      <c r="C42" t="n">
        <v>179</v>
      </c>
      <c r="D42" t="n">
        <v>-0.25</v>
      </c>
      <c r="E42" t="n">
        <v>16</v>
      </c>
    </row>
    <row r="43">
      <c r="A43" t="s">
        <v>307</v>
      </c>
      <c r="B43" t="n">
        <v>-0.5</v>
      </c>
      <c r="C43" t="n">
        <v>18</v>
      </c>
      <c r="D43" t="n">
        <v>-0.25</v>
      </c>
      <c r="E43" t="n">
        <v>141</v>
      </c>
    </row>
    <row r="44">
      <c r="A44" t="s">
        <v>308</v>
      </c>
      <c r="B44" t="n">
        <v>-1</v>
      </c>
      <c r="C44" t="n">
        <v>162</v>
      </c>
      <c r="D44" t="n">
        <v>0</v>
      </c>
      <c r="E44" t="n">
        <v>45</v>
      </c>
    </row>
    <row r="45">
      <c r="A45" t="s">
        <v>307</v>
      </c>
      <c r="B45" t="n">
        <v>-0.25</v>
      </c>
      <c r="C45" t="n">
        <v>36</v>
      </c>
      <c r="D45"/>
      <c r="E45"/>
    </row>
    <row r="46">
      <c r="A46" t="s">
        <v>308</v>
      </c>
      <c r="B46" t="n">
        <v>-0.5</v>
      </c>
      <c r="C46" t="n">
        <v>145</v>
      </c>
      <c r="D46"/>
      <c r="E46"/>
    </row>
    <row r="47">
      <c r="A47" t="s">
        <v>307</v>
      </c>
      <c r="B47" t="n">
        <v>-1.75</v>
      </c>
      <c r="C47" t="n">
        <v>179</v>
      </c>
      <c r="D47" t="n">
        <v>-0.5</v>
      </c>
      <c r="E47" t="n">
        <v>127</v>
      </c>
    </row>
    <row r="48">
      <c r="A48" t="s">
        <v>308</v>
      </c>
      <c r="B48" t="n">
        <v>-2</v>
      </c>
      <c r="C48" t="n">
        <v>1</v>
      </c>
      <c r="D48" t="n">
        <v>-0.25</v>
      </c>
      <c r="E48" t="n">
        <v>71</v>
      </c>
    </row>
    <row r="49">
      <c r="A49" t="s">
        <v>307</v>
      </c>
      <c r="B49" t="n">
        <v>-1</v>
      </c>
      <c r="C49" t="n">
        <v>12</v>
      </c>
      <c r="D49" t="n">
        <v>-0.25</v>
      </c>
      <c r="E49" t="n">
        <v>31</v>
      </c>
    </row>
    <row r="50">
      <c r="A50" t="s">
        <v>308</v>
      </c>
      <c r="B50" t="n">
        <v>-1</v>
      </c>
      <c r="C50" t="n">
        <v>174</v>
      </c>
      <c r="D50" t="n">
        <v>-0.25</v>
      </c>
      <c r="E50" t="n">
        <v>127</v>
      </c>
    </row>
    <row r="51">
      <c r="A51" t="s">
        <v>308</v>
      </c>
      <c r="B51" t="n">
        <v>-0.75</v>
      </c>
      <c r="C51" t="n">
        <v>172</v>
      </c>
      <c r="D51"/>
      <c r="E51"/>
    </row>
    <row r="52">
      <c r="A52" t="s">
        <v>308</v>
      </c>
      <c r="B52" t="n">
        <v>-1</v>
      </c>
      <c r="C52" t="n">
        <v>178</v>
      </c>
      <c r="D52" t="n">
        <v>-0.25</v>
      </c>
      <c r="E52" t="n">
        <v>84</v>
      </c>
    </row>
    <row r="53">
      <c r="A53" t="s">
        <v>307</v>
      </c>
      <c r="B53" t="n">
        <v>-0.5</v>
      </c>
      <c r="C53" t="n">
        <v>41</v>
      </c>
      <c r="D53" t="n">
        <v>0</v>
      </c>
      <c r="E53" t="n">
        <v>82</v>
      </c>
    </row>
    <row r="54">
      <c r="A54" t="s">
        <v>307</v>
      </c>
      <c r="B54" t="n">
        <v>-0.75</v>
      </c>
      <c r="C54" t="n">
        <v>100</v>
      </c>
      <c r="D54" t="n">
        <v>0</v>
      </c>
      <c r="E54" t="n">
        <v>166</v>
      </c>
    </row>
    <row r="55">
      <c r="A55" t="s">
        <v>308</v>
      </c>
      <c r="B55" t="n">
        <v>-0.5</v>
      </c>
      <c r="C55" t="n">
        <v>96</v>
      </c>
      <c r="D55" t="n">
        <v>0</v>
      </c>
      <c r="E55" t="n">
        <v>6</v>
      </c>
    </row>
    <row r="56">
      <c r="A56" t="s">
        <v>308</v>
      </c>
      <c r="B56" t="n">
        <v>-2</v>
      </c>
      <c r="C56" t="n">
        <v>23</v>
      </c>
      <c r="D56" t="n">
        <v>-0.75</v>
      </c>
      <c r="E56" t="n">
        <v>42</v>
      </c>
    </row>
    <row r="57">
      <c r="A57" t="s">
        <v>307</v>
      </c>
      <c r="B57" t="n">
        <v>-0.75</v>
      </c>
      <c r="C57" t="n">
        <v>4</v>
      </c>
      <c r="D57" t="n">
        <v>0</v>
      </c>
      <c r="E57" t="n">
        <v>130</v>
      </c>
    </row>
    <row r="58">
      <c r="A58" t="s">
        <v>308</v>
      </c>
      <c r="B58" t="n">
        <v>-1.25</v>
      </c>
      <c r="C58" t="n">
        <v>2</v>
      </c>
      <c r="D58" t="n">
        <v>-0.5</v>
      </c>
      <c r="E58" t="n">
        <v>37</v>
      </c>
    </row>
    <row r="59">
      <c r="A59" t="s">
        <v>307</v>
      </c>
      <c r="B59" t="n">
        <v>-0.25</v>
      </c>
      <c r="C59" t="n">
        <v>170</v>
      </c>
      <c r="D59" t="n">
        <v>-0.25</v>
      </c>
      <c r="E59" t="n">
        <v>24</v>
      </c>
    </row>
    <row r="60">
      <c r="A60" t="s">
        <v>308</v>
      </c>
      <c r="B60" t="n">
        <v>-0.25</v>
      </c>
      <c r="C60" t="n">
        <v>179</v>
      </c>
      <c r="D60" t="n">
        <v>-0.25</v>
      </c>
      <c r="E60" t="n">
        <v>21</v>
      </c>
    </row>
    <row r="61">
      <c r="A61" t="s">
        <v>307</v>
      </c>
      <c r="B61" t="n">
        <v>-1.25</v>
      </c>
      <c r="C61" t="n">
        <v>156</v>
      </c>
      <c r="D61" t="n">
        <v>-0.25</v>
      </c>
      <c r="E61" t="n">
        <v>92</v>
      </c>
    </row>
    <row r="62">
      <c r="A62" t="s">
        <v>308</v>
      </c>
      <c r="B62" t="n">
        <v>-2</v>
      </c>
      <c r="C62" t="n">
        <v>36</v>
      </c>
      <c r="D62" t="n">
        <v>-0.25</v>
      </c>
      <c r="E62" t="n">
        <v>80</v>
      </c>
    </row>
    <row r="63">
      <c r="A63" t="s">
        <v>307</v>
      </c>
      <c r="B63" t="n">
        <v>-0.75</v>
      </c>
      <c r="C63" t="n">
        <v>35</v>
      </c>
      <c r="D63" t="n">
        <v>-0.25</v>
      </c>
      <c r="E63" t="n">
        <v>7</v>
      </c>
    </row>
    <row r="64">
      <c r="A64" t="s">
        <v>308</v>
      </c>
      <c r="B64" t="n">
        <v>-0.5</v>
      </c>
      <c r="C64" t="n">
        <v>143</v>
      </c>
      <c r="D64" t="n">
        <v>-0.25</v>
      </c>
      <c r="E64" t="n">
        <v>33</v>
      </c>
    </row>
    <row r="65">
      <c r="A65" t="s">
        <v>308</v>
      </c>
      <c r="B65" t="n">
        <v>-0.5</v>
      </c>
      <c r="C65" t="n">
        <v>68</v>
      </c>
      <c r="D65" t="n">
        <v>-0.25</v>
      </c>
      <c r="E65" t="n">
        <v>126</v>
      </c>
    </row>
    <row r="66">
      <c r="A66" t="s">
        <v>307</v>
      </c>
      <c r="B66" t="n">
        <v>-1.25</v>
      </c>
      <c r="C66" t="n">
        <v>118</v>
      </c>
      <c r="D66"/>
      <c r="E66"/>
    </row>
    <row r="67">
      <c r="A67" t="s">
        <v>308</v>
      </c>
      <c r="B67" t="n">
        <v>-0.75</v>
      </c>
      <c r="C67" t="n">
        <v>45</v>
      </c>
      <c r="D67"/>
      <c r="E67"/>
    </row>
    <row r="68">
      <c r="A68" t="s">
        <v>307</v>
      </c>
      <c r="B68" t="n">
        <v>-0.75</v>
      </c>
      <c r="C68" t="n">
        <v>81</v>
      </c>
      <c r="D68" t="n">
        <v>-0.25</v>
      </c>
      <c r="E68" t="n">
        <v>130</v>
      </c>
    </row>
    <row r="69">
      <c r="A69" t="s">
        <v>308</v>
      </c>
      <c r="B69" t="n">
        <v>-1</v>
      </c>
      <c r="C69" t="n">
        <v>180</v>
      </c>
      <c r="D69" t="n">
        <v>-0.25</v>
      </c>
      <c r="E69" t="n">
        <v>135</v>
      </c>
    </row>
    <row r="70">
      <c r="A70" t="s">
        <v>307</v>
      </c>
      <c r="B70" t="n">
        <v>-1</v>
      </c>
      <c r="C70" t="n">
        <v>4</v>
      </c>
      <c r="D70" t="n">
        <v>-0.5</v>
      </c>
      <c r="E70" t="n">
        <v>17</v>
      </c>
    </row>
    <row r="71">
      <c r="A71" t="s">
        <v>307</v>
      </c>
      <c r="B71" t="n">
        <v>-0.75</v>
      </c>
      <c r="C71" t="n">
        <v>8</v>
      </c>
      <c r="D71" t="n">
        <v>-0.25</v>
      </c>
      <c r="E71" t="n">
        <v>8</v>
      </c>
    </row>
    <row r="72">
      <c r="A72" t="s">
        <v>308</v>
      </c>
      <c r="B72" t="n">
        <v>-1.25</v>
      </c>
      <c r="C72" t="n">
        <v>13</v>
      </c>
      <c r="D72" t="n">
        <v>-0.5</v>
      </c>
      <c r="E72" t="n">
        <v>153</v>
      </c>
    </row>
    <row r="73">
      <c r="A73" t="s">
        <v>307</v>
      </c>
      <c r="B73" t="n">
        <v>-0.5</v>
      </c>
      <c r="C73" t="n">
        <v>44</v>
      </c>
      <c r="D73" t="n">
        <v>-0.25</v>
      </c>
      <c r="E73" t="n">
        <v>21</v>
      </c>
    </row>
    <row r="74">
      <c r="A74" t="s">
        <v>308</v>
      </c>
      <c r="B74" t="n">
        <v>-0.5</v>
      </c>
      <c r="C74" t="n">
        <v>125</v>
      </c>
      <c r="D74" t="n">
        <v>-0.5</v>
      </c>
      <c r="E74" t="n">
        <v>158</v>
      </c>
    </row>
    <row r="75">
      <c r="A75" t="s">
        <v>308</v>
      </c>
      <c r="B75" t="n">
        <v>-1.5</v>
      </c>
      <c r="C75" t="n">
        <v>166</v>
      </c>
      <c r="D75" t="n">
        <v>-0.5</v>
      </c>
      <c r="E75" t="n">
        <v>162</v>
      </c>
    </row>
    <row r="76">
      <c r="A76" t="s">
        <v>308</v>
      </c>
      <c r="B76" t="n">
        <v>-0.75</v>
      </c>
      <c r="C76" t="n">
        <v>7</v>
      </c>
      <c r="D76" t="n">
        <v>0</v>
      </c>
      <c r="E76" t="n">
        <v>139</v>
      </c>
    </row>
    <row r="77">
      <c r="A77" t="s">
        <v>307</v>
      </c>
      <c r="B77" t="n">
        <v>-0.5</v>
      </c>
      <c r="C77" t="n">
        <v>165</v>
      </c>
      <c r="D77" t="n">
        <v>-0.25</v>
      </c>
      <c r="E77" t="n">
        <v>170</v>
      </c>
    </row>
    <row r="78">
      <c r="A78" t="s">
        <v>308</v>
      </c>
      <c r="B78" t="n">
        <v>-0.5</v>
      </c>
      <c r="C78" t="n">
        <v>21</v>
      </c>
      <c r="D78" t="n">
        <v>-0.25</v>
      </c>
      <c r="E78" t="n">
        <v>19</v>
      </c>
    </row>
    <row r="79">
      <c r="A79" t="s">
        <v>308</v>
      </c>
      <c r="B79" t="n">
        <v>-0.5</v>
      </c>
      <c r="C79" t="n">
        <v>10</v>
      </c>
      <c r="D79" t="n">
        <v>0</v>
      </c>
      <c r="E79" t="n">
        <v>82</v>
      </c>
    </row>
    <row r="80">
      <c r="A80" t="s">
        <v>308</v>
      </c>
      <c r="B80" t="n">
        <v>-0.25</v>
      </c>
      <c r="C80" t="n">
        <v>147</v>
      </c>
      <c r="D80" t="n">
        <v>0</v>
      </c>
      <c r="E80" t="n">
        <v>29</v>
      </c>
    </row>
    <row r="81">
      <c r="A81" t="s">
        <v>307</v>
      </c>
      <c r="B81" t="n">
        <v>-0.25</v>
      </c>
      <c r="C81" t="n">
        <v>97</v>
      </c>
      <c r="D81" t="n">
        <v>0</v>
      </c>
      <c r="E81" t="n">
        <v>141</v>
      </c>
    </row>
    <row r="82">
      <c r="A82" t="s">
        <v>307</v>
      </c>
      <c r="B82" t="n">
        <v>-0.75</v>
      </c>
      <c r="C82" t="n">
        <v>166</v>
      </c>
      <c r="D82" t="n">
        <v>-0.25</v>
      </c>
      <c r="E82" t="n">
        <v>110</v>
      </c>
    </row>
    <row r="83">
      <c r="A83" t="s">
        <v>308</v>
      </c>
      <c r="B83" t="n">
        <v>-1</v>
      </c>
      <c r="C83" t="n">
        <v>180</v>
      </c>
      <c r="D83" t="n">
        <v>-0.25</v>
      </c>
      <c r="E83" t="n">
        <v>69</v>
      </c>
    </row>
    <row r="84">
      <c r="A84" t="s">
        <v>307</v>
      </c>
      <c r="B84" t="n">
        <v>-1.75</v>
      </c>
      <c r="C84" t="n">
        <v>61</v>
      </c>
      <c r="D84" t="n">
        <v>-0.25</v>
      </c>
      <c r="E84" t="n">
        <v>6</v>
      </c>
    </row>
    <row r="85">
      <c r="A85" t="s">
        <v>308</v>
      </c>
      <c r="B85" t="n">
        <v>-2</v>
      </c>
      <c r="C85" t="n">
        <v>134</v>
      </c>
      <c r="D85" t="n">
        <v>-0.25</v>
      </c>
      <c r="E85" t="n">
        <v>79</v>
      </c>
    </row>
    <row r="86">
      <c r="A86" t="s">
        <v>307</v>
      </c>
      <c r="B86" t="n">
        <v>-1.5</v>
      </c>
      <c r="C86" t="n">
        <v>171</v>
      </c>
      <c r="D86" t="n">
        <v>-0.5</v>
      </c>
      <c r="E86" t="n">
        <v>8</v>
      </c>
    </row>
    <row r="87">
      <c r="A87" t="s">
        <v>308</v>
      </c>
      <c r="B87" t="n">
        <v>-1</v>
      </c>
      <c r="C87" t="n">
        <v>15</v>
      </c>
      <c r="D87" t="n">
        <v>-0.25</v>
      </c>
      <c r="E87" t="n">
        <v>177</v>
      </c>
    </row>
    <row r="88">
      <c r="A88" t="s">
        <v>307</v>
      </c>
      <c r="B88" t="n">
        <v>-0.25</v>
      </c>
      <c r="C88" t="n">
        <v>7</v>
      </c>
      <c r="D88"/>
      <c r="E88"/>
    </row>
    <row r="89">
      <c r="A89" t="s">
        <v>308</v>
      </c>
      <c r="B89" t="n">
        <v>-0.25</v>
      </c>
      <c r="C89" t="n">
        <v>169</v>
      </c>
      <c r="D89"/>
      <c r="E89"/>
    </row>
    <row r="90">
      <c r="A90" t="s">
        <v>307</v>
      </c>
      <c r="B90" t="n">
        <v>-0.5</v>
      </c>
      <c r="C90" t="n">
        <v>91</v>
      </c>
      <c r="D90" t="n">
        <v>-0.25</v>
      </c>
      <c r="E90" t="n">
        <v>76</v>
      </c>
    </row>
    <row r="91">
      <c r="A91" t="s">
        <v>307</v>
      </c>
      <c r="B91" t="n">
        <v>-0.75</v>
      </c>
      <c r="C91" t="n">
        <v>168</v>
      </c>
      <c r="D91" t="n">
        <v>0</v>
      </c>
      <c r="E91" t="n">
        <v>137</v>
      </c>
    </row>
    <row r="92">
      <c r="A92" t="s">
        <v>308</v>
      </c>
      <c r="B92" t="n">
        <v>-0.75</v>
      </c>
      <c r="C92" t="n">
        <v>17</v>
      </c>
      <c r="D92" t="n">
        <v>0</v>
      </c>
      <c r="E92" t="n">
        <v>31</v>
      </c>
    </row>
    <row r="93">
      <c r="A93" t="s">
        <v>308</v>
      </c>
      <c r="B93" t="n">
        <v>-0.75</v>
      </c>
      <c r="C93" t="n">
        <v>167</v>
      </c>
      <c r="D93" t="n">
        <v>-0.5</v>
      </c>
      <c r="E93" t="n">
        <v>39</v>
      </c>
    </row>
    <row r="94">
      <c r="A94" t="s">
        <v>308</v>
      </c>
      <c r="B94" t="n">
        <v>-1.5</v>
      </c>
      <c r="C94" t="n">
        <v>8</v>
      </c>
      <c r="D94" t="n">
        <v>-0.25</v>
      </c>
      <c r="E94" t="n">
        <v>34</v>
      </c>
    </row>
    <row r="95">
      <c r="A95" t="s">
        <v>307</v>
      </c>
      <c r="B95" t="n">
        <v>-0.75</v>
      </c>
      <c r="C95" t="n">
        <v>171</v>
      </c>
      <c r="D95" t="n">
        <v>0</v>
      </c>
      <c r="E95" t="n">
        <v>138</v>
      </c>
    </row>
    <row r="96">
      <c r="A96" t="s">
        <v>308</v>
      </c>
      <c r="B96" t="n">
        <v>-0.5</v>
      </c>
      <c r="C96" t="n">
        <v>6</v>
      </c>
      <c r="D96" t="n">
        <v>-0.25</v>
      </c>
      <c r="E96" t="n">
        <v>31</v>
      </c>
    </row>
    <row r="97">
      <c r="A97" t="s">
        <v>307</v>
      </c>
      <c r="B97" t="n">
        <v>-1.5</v>
      </c>
      <c r="C97" t="n">
        <v>7</v>
      </c>
      <c r="D97" t="n">
        <v>-0.25</v>
      </c>
      <c r="E97" t="n">
        <v>123</v>
      </c>
    </row>
    <row r="98">
      <c r="A98" t="s">
        <v>308</v>
      </c>
      <c r="B98" t="n">
        <v>-1</v>
      </c>
      <c r="C98" t="n">
        <v>4</v>
      </c>
      <c r="D98" t="n">
        <v>0</v>
      </c>
      <c r="E98" t="n">
        <v>71</v>
      </c>
    </row>
    <row r="99">
      <c r="A99" t="s">
        <v>307</v>
      </c>
      <c r="B99" t="n">
        <v>-0.75</v>
      </c>
      <c r="C99" t="n">
        <v>152</v>
      </c>
      <c r="D99" t="n">
        <v>-0.25</v>
      </c>
      <c r="E99" t="n">
        <v>13</v>
      </c>
    </row>
    <row r="100">
      <c r="A100" t="s">
        <v>308</v>
      </c>
      <c r="B100" t="n">
        <v>-1</v>
      </c>
      <c r="C100" t="n">
        <v>29</v>
      </c>
      <c r="D100" t="n">
        <v>-0.25</v>
      </c>
      <c r="E100" t="n">
        <v>47</v>
      </c>
    </row>
    <row r="101">
      <c r="A101" t="s">
        <v>307</v>
      </c>
      <c r="B101" t="n">
        <v>-1.75</v>
      </c>
      <c r="C101" t="n">
        <v>71</v>
      </c>
      <c r="D101"/>
      <c r="E101"/>
    </row>
    <row r="102">
      <c r="A102" t="s">
        <v>308</v>
      </c>
      <c r="B102" t="n">
        <v>-0.75</v>
      </c>
      <c r="C102" t="n">
        <v>116</v>
      </c>
      <c r="D102"/>
      <c r="E102"/>
    </row>
    <row r="103">
      <c r="A103" t="s">
        <v>307</v>
      </c>
      <c r="B103" t="n">
        <v>-0.25</v>
      </c>
      <c r="C103" t="n">
        <v>175</v>
      </c>
      <c r="D103" t="n">
        <v>0</v>
      </c>
      <c r="E103" t="n">
        <v>132</v>
      </c>
    </row>
    <row r="104">
      <c r="A104" t="s">
        <v>308</v>
      </c>
      <c r="B104" t="n">
        <v>-0.25</v>
      </c>
      <c r="C104" t="n">
        <v>1</v>
      </c>
      <c r="D104" t="n">
        <v>0</v>
      </c>
      <c r="E104" t="n">
        <v>1</v>
      </c>
    </row>
    <row r="105">
      <c r="A105" t="s">
        <v>307</v>
      </c>
      <c r="B105" t="n">
        <v>-1</v>
      </c>
      <c r="C105" t="n">
        <v>88</v>
      </c>
      <c r="D105" t="n">
        <v>-0.25</v>
      </c>
      <c r="E105" t="n">
        <v>132</v>
      </c>
    </row>
    <row r="106">
      <c r="A106" t="s">
        <v>307</v>
      </c>
      <c r="B106" t="n">
        <v>-1</v>
      </c>
      <c r="C106" t="n">
        <v>164</v>
      </c>
      <c r="D106" t="n">
        <v>-0.75</v>
      </c>
      <c r="E106" t="n">
        <v>131</v>
      </c>
    </row>
    <row r="107">
      <c r="A107" t="s">
        <v>307</v>
      </c>
      <c r="B107" t="n">
        <v>-0.5</v>
      </c>
      <c r="C107" t="n">
        <v>163</v>
      </c>
      <c r="D107" t="n">
        <v>-0.5</v>
      </c>
      <c r="E107" t="n">
        <v>127</v>
      </c>
    </row>
    <row r="108">
      <c r="A108" t="s">
        <v>307</v>
      </c>
      <c r="B108" t="n">
        <v>-0.75</v>
      </c>
      <c r="C108" t="n">
        <v>26</v>
      </c>
      <c r="D108" t="n">
        <v>0</v>
      </c>
      <c r="E108" t="n">
        <v>66</v>
      </c>
    </row>
    <row r="109">
      <c r="A109" t="s">
        <v>308</v>
      </c>
      <c r="B109" t="n">
        <v>-1.75</v>
      </c>
      <c r="C109" t="n">
        <v>148</v>
      </c>
      <c r="D109" t="n">
        <v>-0.25</v>
      </c>
      <c r="E109" t="n">
        <v>112</v>
      </c>
    </row>
    <row r="110">
      <c r="A110" t="s">
        <v>307</v>
      </c>
      <c r="B110" t="n">
        <v>-0.75</v>
      </c>
      <c r="C110" t="n">
        <v>38</v>
      </c>
      <c r="D110" t="n">
        <v>-0.25</v>
      </c>
      <c r="E110" t="n">
        <v>156</v>
      </c>
    </row>
    <row r="111">
      <c r="A111" t="s">
        <v>308</v>
      </c>
      <c r="B111" t="n">
        <v>-0.25</v>
      </c>
      <c r="C111" t="n">
        <v>97</v>
      </c>
      <c r="D111" t="n">
        <v>0</v>
      </c>
      <c r="E111" t="n">
        <v>166</v>
      </c>
    </row>
    <row r="112">
      <c r="A112" t="s">
        <v>307</v>
      </c>
      <c r="B112" t="n">
        <v>-1</v>
      </c>
      <c r="C112" t="n">
        <v>129</v>
      </c>
      <c r="D112"/>
      <c r="E112"/>
    </row>
    <row r="113">
      <c r="A113" t="s">
        <v>308</v>
      </c>
      <c r="B113" t="n">
        <v>-0.75</v>
      </c>
      <c r="C113" t="n">
        <v>54</v>
      </c>
      <c r="D113"/>
      <c r="E113"/>
    </row>
    <row r="114">
      <c r="A114" t="s">
        <v>308</v>
      </c>
      <c r="B114" t="n">
        <v>-1.5</v>
      </c>
      <c r="C114" t="n">
        <v>157</v>
      </c>
      <c r="D114" t="n">
        <v>-0.5</v>
      </c>
      <c r="E114" t="n">
        <v>177</v>
      </c>
    </row>
    <row r="115">
      <c r="A115" t="s">
        <v>307</v>
      </c>
      <c r="B115" t="n">
        <v>-1.5</v>
      </c>
      <c r="C115" t="n">
        <v>165</v>
      </c>
      <c r="D115" t="n">
        <v>-0.25</v>
      </c>
      <c r="E115" t="n">
        <v>157</v>
      </c>
    </row>
    <row r="116">
      <c r="A116" t="s">
        <v>308</v>
      </c>
      <c r="B116" t="n">
        <v>-0.75</v>
      </c>
      <c r="C116" t="n">
        <v>15</v>
      </c>
      <c r="D116" t="n">
        <v>0</v>
      </c>
      <c r="E116" t="n">
        <v>110</v>
      </c>
    </row>
    <row r="117">
      <c r="A117" t="s">
        <v>307</v>
      </c>
      <c r="B117" t="n">
        <v>-0.5</v>
      </c>
      <c r="C117" t="n">
        <v>84</v>
      </c>
      <c r="D117" t="n">
        <v>-0.25</v>
      </c>
      <c r="E117" t="n">
        <v>54</v>
      </c>
    </row>
    <row r="118">
      <c r="A118" t="s">
        <v>308</v>
      </c>
      <c r="B118" t="n">
        <v>-0.25</v>
      </c>
      <c r="C118" t="n">
        <v>83</v>
      </c>
      <c r="D118" t="n">
        <v>-0.25</v>
      </c>
      <c r="E118" t="n">
        <v>154</v>
      </c>
    </row>
    <row r="119">
      <c r="A119" t="s">
        <v>307</v>
      </c>
      <c r="B119" t="n">
        <v>-0.75</v>
      </c>
      <c r="C119" t="n">
        <v>10</v>
      </c>
      <c r="D119" t="n">
        <v>-0.25</v>
      </c>
      <c r="E119" t="n">
        <v>68</v>
      </c>
    </row>
    <row r="120">
      <c r="A120" t="s">
        <v>308</v>
      </c>
      <c r="B120" t="n">
        <v>-1.25</v>
      </c>
      <c r="C120" t="n">
        <v>171</v>
      </c>
      <c r="D120" t="n">
        <v>-0.25</v>
      </c>
      <c r="E120" t="n">
        <v>41</v>
      </c>
    </row>
    <row r="121">
      <c r="A121" t="s">
        <v>307</v>
      </c>
      <c r="B121" t="n">
        <v>-0.25</v>
      </c>
      <c r="C121" t="n">
        <v>165</v>
      </c>
      <c r="D121" t="n">
        <v>-0.25</v>
      </c>
      <c r="E121" t="n">
        <v>117</v>
      </c>
    </row>
    <row r="122">
      <c r="A122" t="s">
        <v>307</v>
      </c>
      <c r="B122" t="n">
        <v>-0.5</v>
      </c>
      <c r="C122" t="n">
        <v>157</v>
      </c>
      <c r="D122" t="n">
        <v>0</v>
      </c>
      <c r="E122" t="n">
        <v>108</v>
      </c>
    </row>
    <row r="123">
      <c r="A123" t="s">
        <v>308</v>
      </c>
      <c r="B123" t="n">
        <v>-0.75</v>
      </c>
      <c r="C123" t="n">
        <v>28</v>
      </c>
      <c r="D123" t="n">
        <v>0</v>
      </c>
      <c r="E123" t="n">
        <v>97</v>
      </c>
    </row>
    <row r="124">
      <c r="A124" t="s">
        <v>307</v>
      </c>
      <c r="B124" t="n">
        <v>-0.5</v>
      </c>
      <c r="C124" t="n">
        <v>53</v>
      </c>
      <c r="D124" t="n">
        <v>-0.25</v>
      </c>
      <c r="E124" t="n">
        <v>72</v>
      </c>
    </row>
    <row r="125">
      <c r="A125" t="s">
        <v>308</v>
      </c>
      <c r="B125" t="n">
        <v>-0.5</v>
      </c>
      <c r="C125" t="n">
        <v>126</v>
      </c>
      <c r="D125"/>
      <c r="E125"/>
    </row>
    <row r="126">
      <c r="A126" t="s">
        <v>307</v>
      </c>
      <c r="B126" t="n">
        <v>-0.25</v>
      </c>
      <c r="C126" t="n">
        <v>9</v>
      </c>
      <c r="D126" t="n">
        <v>0</v>
      </c>
      <c r="E126" t="n">
        <v>142</v>
      </c>
    </row>
    <row r="127">
      <c r="A127" t="s">
        <v>308</v>
      </c>
      <c r="B127" t="n">
        <v>-0.5</v>
      </c>
      <c r="C127" t="n">
        <v>165</v>
      </c>
      <c r="D127" t="n">
        <v>-0.25</v>
      </c>
      <c r="E127" t="n">
        <v>138</v>
      </c>
    </row>
    <row r="128">
      <c r="A128" t="s">
        <v>307</v>
      </c>
      <c r="B128" t="n">
        <v>-0.25</v>
      </c>
      <c r="C128" t="n">
        <v>10</v>
      </c>
      <c r="D128" t="n">
        <v>-0.25</v>
      </c>
      <c r="E128" t="n">
        <v>66</v>
      </c>
    </row>
    <row r="129">
      <c r="A129" t="s">
        <v>308</v>
      </c>
      <c r="B129" t="n">
        <v>-0.25</v>
      </c>
      <c r="C129" t="n">
        <v>174</v>
      </c>
      <c r="D129" t="n">
        <v>0</v>
      </c>
      <c r="E129" t="n">
        <v>31</v>
      </c>
    </row>
    <row r="130">
      <c r="A130" t="s">
        <v>307</v>
      </c>
      <c r="B130" t="n">
        <v>-0.5</v>
      </c>
      <c r="C130" t="n">
        <v>162</v>
      </c>
      <c r="D130" t="n">
        <v>-0.25</v>
      </c>
      <c r="E130" t="n">
        <v>96</v>
      </c>
    </row>
    <row r="131">
      <c r="A131" t="s">
        <v>308</v>
      </c>
      <c r="B131" t="n">
        <v>-0.5</v>
      </c>
      <c r="C131" t="n">
        <v>141</v>
      </c>
      <c r="D131" t="n">
        <v>-0.25</v>
      </c>
      <c r="E131" t="n">
        <v>145</v>
      </c>
    </row>
    <row r="132">
      <c r="A132" t="s">
        <v>307</v>
      </c>
      <c r="B132" t="n">
        <v>-0.5</v>
      </c>
      <c r="C132" t="n">
        <v>12</v>
      </c>
      <c r="D132" t="n">
        <v>-0.25</v>
      </c>
      <c r="E132" t="n">
        <v>157</v>
      </c>
    </row>
    <row r="133">
      <c r="A133" t="s">
        <v>308</v>
      </c>
      <c r="B133" t="n">
        <v>-0.75</v>
      </c>
      <c r="C133" t="n">
        <v>171</v>
      </c>
      <c r="D133" t="n">
        <v>-0.25</v>
      </c>
      <c r="E133" t="n">
        <v>42</v>
      </c>
    </row>
    <row r="134">
      <c r="A134" t="s">
        <v>307</v>
      </c>
      <c r="B134" t="n">
        <v>-0.75</v>
      </c>
      <c r="C134" t="n">
        <v>131</v>
      </c>
      <c r="D134" t="n">
        <v>-0.25</v>
      </c>
      <c r="E134" t="n">
        <v>71</v>
      </c>
    </row>
    <row r="135">
      <c r="A135" t="s">
        <v>307</v>
      </c>
      <c r="B135" t="n">
        <v>-0.75</v>
      </c>
      <c r="C135" t="n">
        <v>173</v>
      </c>
      <c r="D135" t="n">
        <v>0</v>
      </c>
      <c r="E135" t="n">
        <v>80</v>
      </c>
    </row>
    <row r="136">
      <c r="A136" t="s">
        <v>308</v>
      </c>
      <c r="B136" t="n">
        <v>-0.5</v>
      </c>
      <c r="C136" t="n">
        <v>14</v>
      </c>
      <c r="D136" t="n">
        <v>-0.25</v>
      </c>
      <c r="E136" t="n">
        <v>165</v>
      </c>
    </row>
    <row r="137">
      <c r="A137" t="s">
        <v>307</v>
      </c>
      <c r="B137" t="n">
        <v>-0.5</v>
      </c>
      <c r="C137" t="n">
        <v>152</v>
      </c>
      <c r="D137" t="n">
        <v>-0.25</v>
      </c>
      <c r="E137" t="n">
        <v>1</v>
      </c>
    </row>
    <row r="138">
      <c r="A138" t="s">
        <v>308</v>
      </c>
      <c r="B138" t="n">
        <v>-0.75</v>
      </c>
      <c r="C138" t="n">
        <v>93</v>
      </c>
      <c r="D138" t="n">
        <v>-0.5</v>
      </c>
      <c r="E138" t="n">
        <v>64</v>
      </c>
    </row>
  </sheetData>
  <pageMargins left="0.7" right="0.7" top="0.75" bottom="0.75" header="0.3" footer="0.3"/>
  <pageSetup paperSize="9" orientation="portrait" horizontalDpi="300" verticalDpi="300" r:id="rId2"/>
  <tableParts count="1">
    <tablePart r:id="rId7"/>
  </tableParts>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302</v>
      </c>
      <c r="B1" t="s">
        <v>303</v>
      </c>
      <c r="C1" t="s">
        <v>304</v>
      </c>
      <c r="D1" t="s">
        <v>305</v>
      </c>
      <c r="E1" t="s">
        <v>306</v>
      </c>
    </row>
    <row r="2">
      <c r="A2" t="s">
        <v>307</v>
      </c>
      <c r="B2" t="n">
        <v>-0.5</v>
      </c>
      <c r="C2" t="n">
        <v>5</v>
      </c>
      <c r="D2" t="n">
        <v>-0.25</v>
      </c>
      <c r="E2" t="n">
        <v>175</v>
      </c>
    </row>
    <row r="3">
      <c r="A3" t="s">
        <v>308</v>
      </c>
      <c r="B3" t="n">
        <v>-0.25</v>
      </c>
      <c r="C3" t="n">
        <v>172</v>
      </c>
      <c r="D3" t="n">
        <v>-0.25</v>
      </c>
      <c r="E3" t="n">
        <v>17</v>
      </c>
    </row>
    <row r="4">
      <c r="A4" t="s">
        <v>308</v>
      </c>
      <c r="B4" t="n">
        <v>-0.25</v>
      </c>
      <c r="C4" t="n">
        <v>14</v>
      </c>
      <c r="D4" t="n">
        <v>-0.25</v>
      </c>
      <c r="E4" t="n">
        <v>48</v>
      </c>
    </row>
    <row r="5">
      <c r="A5" t="s">
        <v>308</v>
      </c>
      <c r="B5" t="n">
        <v>-1.5</v>
      </c>
      <c r="C5" t="n">
        <v>98</v>
      </c>
      <c r="D5" t="n">
        <v>-0.25</v>
      </c>
      <c r="E5" t="n">
        <v>97</v>
      </c>
    </row>
    <row r="6">
      <c r="A6" t="s">
        <v>308</v>
      </c>
      <c r="B6" t="n">
        <v>-1.5</v>
      </c>
      <c r="C6" t="n">
        <v>171</v>
      </c>
      <c r="D6" t="n">
        <v>-0.5</v>
      </c>
      <c r="E6" t="n">
        <v>4</v>
      </c>
    </row>
    <row r="7">
      <c r="A7" t="s">
        <v>307</v>
      </c>
      <c r="B7" t="n">
        <v>-1.75</v>
      </c>
      <c r="C7" t="n">
        <v>4</v>
      </c>
      <c r="D7" t="n">
        <v>-0.25</v>
      </c>
      <c r="E7" t="n">
        <v>87</v>
      </c>
    </row>
    <row r="8">
      <c r="A8" t="s">
        <v>308</v>
      </c>
      <c r="B8" t="n">
        <v>-1</v>
      </c>
      <c r="C8" t="n">
        <v>2</v>
      </c>
      <c r="D8" t="n">
        <v>-0.25</v>
      </c>
      <c r="E8" t="n">
        <v>91</v>
      </c>
    </row>
    <row r="9">
      <c r="A9" t="s">
        <v>307</v>
      </c>
      <c r="B9" t="n">
        <v>-1.5</v>
      </c>
      <c r="C9" t="n">
        <v>38</v>
      </c>
      <c r="D9" t="n">
        <v>-0.5</v>
      </c>
      <c r="E9" t="n">
        <v>70</v>
      </c>
    </row>
    <row r="10">
      <c r="A10" t="s">
        <v>307</v>
      </c>
      <c r="B10" t="n">
        <v>-0.5</v>
      </c>
      <c r="C10" t="n">
        <v>169</v>
      </c>
      <c r="D10" t="n">
        <v>-0.25</v>
      </c>
      <c r="E10" t="n">
        <v>176</v>
      </c>
    </row>
    <row r="11">
      <c r="A11" t="s">
        <v>308</v>
      </c>
      <c r="B11" t="n">
        <v>-1.5</v>
      </c>
      <c r="C11" t="n">
        <v>179</v>
      </c>
      <c r="D11" t="n">
        <v>-0.25</v>
      </c>
      <c r="E11" t="n">
        <v>48</v>
      </c>
    </row>
    <row r="12">
      <c r="A12" t="s">
        <v>308</v>
      </c>
      <c r="B12" t="n">
        <v>-0.25</v>
      </c>
      <c r="C12" t="n">
        <v>167</v>
      </c>
      <c r="D12" t="n">
        <v>-0.25</v>
      </c>
      <c r="E12" t="n">
        <v>49</v>
      </c>
    </row>
    <row r="13">
      <c r="A13" t="s">
        <v>308</v>
      </c>
      <c r="B13" t="n">
        <v>-0.75</v>
      </c>
      <c r="C13" t="n">
        <v>49</v>
      </c>
      <c r="D13" t="n">
        <v>-0.25</v>
      </c>
      <c r="E13" t="n">
        <v>28</v>
      </c>
    </row>
    <row r="14">
      <c r="A14" t="s">
        <v>308</v>
      </c>
      <c r="B14" t="n">
        <v>-1</v>
      </c>
      <c r="C14" t="n">
        <v>166</v>
      </c>
      <c r="D14" t="n">
        <v>-0.25</v>
      </c>
      <c r="E14" t="n">
        <v>121</v>
      </c>
    </row>
    <row r="15">
      <c r="A15" t="s">
        <v>307</v>
      </c>
      <c r="B15" t="n">
        <v>-0.75</v>
      </c>
      <c r="C15" t="n">
        <v>166</v>
      </c>
      <c r="D15" t="n">
        <v>-0.25</v>
      </c>
      <c r="E15" t="n">
        <v>20</v>
      </c>
    </row>
    <row r="16">
      <c r="A16" t="s">
        <v>308</v>
      </c>
      <c r="B16" t="n">
        <v>-1</v>
      </c>
      <c r="C16" t="n">
        <v>14</v>
      </c>
      <c r="D16" t="n">
        <v>-0.25</v>
      </c>
      <c r="E16" t="n">
        <v>147</v>
      </c>
    </row>
    <row r="17">
      <c r="A17" t="s">
        <v>307</v>
      </c>
      <c r="B17" t="n">
        <v>-1.25</v>
      </c>
      <c r="C17" t="n">
        <v>157</v>
      </c>
      <c r="D17" t="n">
        <v>-0.5</v>
      </c>
      <c r="E17" t="n">
        <v>115</v>
      </c>
    </row>
    <row r="18">
      <c r="A18" t="s">
        <v>308</v>
      </c>
      <c r="B18" t="n">
        <v>-0.25</v>
      </c>
      <c r="C18" t="n">
        <v>13</v>
      </c>
      <c r="D18" t="n">
        <v>-0.25</v>
      </c>
      <c r="E18" t="n">
        <v>130</v>
      </c>
    </row>
    <row r="19">
      <c r="A19" t="s">
        <v>307</v>
      </c>
      <c r="B19" t="n">
        <v>-1.75</v>
      </c>
      <c r="C19" t="n">
        <v>7</v>
      </c>
      <c r="D19" t="n">
        <v>-0.25</v>
      </c>
      <c r="E19" t="n">
        <v>161</v>
      </c>
    </row>
    <row r="20">
      <c r="A20" t="s">
        <v>308</v>
      </c>
      <c r="B20" t="n">
        <v>-1</v>
      </c>
      <c r="C20" t="n">
        <v>180</v>
      </c>
      <c r="D20" t="n">
        <v>-0.25</v>
      </c>
      <c r="E20" t="n">
        <v>32</v>
      </c>
    </row>
    <row r="21">
      <c r="A21" t="s">
        <v>307</v>
      </c>
      <c r="B21" t="n">
        <v>-0.25</v>
      </c>
      <c r="C21" t="n">
        <v>94</v>
      </c>
      <c r="D21" t="n">
        <v>-0.25</v>
      </c>
      <c r="E21" t="n">
        <v>39</v>
      </c>
    </row>
    <row r="22">
      <c r="A22" t="s">
        <v>308</v>
      </c>
      <c r="B22" t="n">
        <v>-0.25</v>
      </c>
      <c r="C22" t="n">
        <v>89</v>
      </c>
      <c r="D22" t="n">
        <v>-0.25</v>
      </c>
      <c r="E22" t="n">
        <v>162</v>
      </c>
    </row>
    <row r="23">
      <c r="A23" t="s">
        <v>307</v>
      </c>
      <c r="B23" t="n">
        <v>-0.5</v>
      </c>
      <c r="C23" t="n">
        <v>152</v>
      </c>
      <c r="D23" t="n">
        <v>-0.25</v>
      </c>
      <c r="E23" t="n">
        <v>114</v>
      </c>
    </row>
    <row r="24">
      <c r="A24" t="s">
        <v>308</v>
      </c>
      <c r="B24" t="n">
        <v>-0.5</v>
      </c>
      <c r="C24" t="n">
        <v>43</v>
      </c>
      <c r="D24" t="n">
        <v>0</v>
      </c>
      <c r="E24" t="n">
        <v>90</v>
      </c>
    </row>
    <row r="25">
      <c r="A25" t="s">
        <v>307</v>
      </c>
      <c r="B25" t="n">
        <v>-0.25</v>
      </c>
      <c r="C25" t="n">
        <v>4</v>
      </c>
      <c r="D25" t="n">
        <v>-0.25</v>
      </c>
      <c r="E25" t="n">
        <v>36</v>
      </c>
    </row>
    <row r="26">
      <c r="A26" t="s">
        <v>308</v>
      </c>
      <c r="B26" t="n">
        <v>-0.75</v>
      </c>
      <c r="C26" t="n">
        <v>4</v>
      </c>
      <c r="D26" t="n">
        <v>-0.25</v>
      </c>
      <c r="E26" t="n">
        <v>7</v>
      </c>
    </row>
    <row r="27">
      <c r="A27" t="s">
        <v>307</v>
      </c>
      <c r="B27" t="n">
        <v>-0.5</v>
      </c>
      <c r="C27" t="n">
        <v>130</v>
      </c>
      <c r="D27"/>
      <c r="E27"/>
    </row>
    <row r="28">
      <c r="A28" t="s">
        <v>307</v>
      </c>
      <c r="B28" t="n">
        <v>-0.25</v>
      </c>
      <c r="C28" t="n">
        <v>177</v>
      </c>
      <c r="D28" t="n">
        <v>0</v>
      </c>
      <c r="E28" t="n">
        <v>125</v>
      </c>
    </row>
    <row r="29">
      <c r="A29" t="s">
        <v>308</v>
      </c>
      <c r="B29" t="n">
        <v>-1</v>
      </c>
      <c r="C29" t="n">
        <v>6</v>
      </c>
      <c r="D29" t="n">
        <v>-0.25</v>
      </c>
      <c r="E29" t="n">
        <v>170</v>
      </c>
    </row>
    <row r="30">
      <c r="A30" t="s">
        <v>307</v>
      </c>
      <c r="B30" t="n">
        <v>-0.75</v>
      </c>
      <c r="C30" t="n">
        <v>178</v>
      </c>
      <c r="D30" t="n">
        <v>-0.25</v>
      </c>
      <c r="E30" t="n">
        <v>140</v>
      </c>
    </row>
    <row r="31">
      <c r="A31" t="s">
        <v>308</v>
      </c>
      <c r="B31" t="n">
        <v>-0.5</v>
      </c>
      <c r="C31" t="n">
        <v>5</v>
      </c>
      <c r="D31" t="n">
        <v>-0.25</v>
      </c>
      <c r="E31" t="n">
        <v>58</v>
      </c>
    </row>
    <row r="32">
      <c r="A32" t="s">
        <v>308</v>
      </c>
      <c r="B32" t="n">
        <v>-0.25</v>
      </c>
      <c r="C32" t="n">
        <v>15</v>
      </c>
      <c r="D32" t="n">
        <v>-0.25</v>
      </c>
      <c r="E32" t="n">
        <v>31</v>
      </c>
    </row>
    <row r="33">
      <c r="A33" t="s">
        <v>308</v>
      </c>
      <c r="B33" t="n">
        <v>-0.75</v>
      </c>
      <c r="C33" t="n">
        <v>16</v>
      </c>
      <c r="D33" t="n">
        <v>-0.25</v>
      </c>
      <c r="E33" t="n">
        <v>137</v>
      </c>
    </row>
    <row r="34">
      <c r="A34" t="s">
        <v>307</v>
      </c>
      <c r="B34" t="n">
        <v>-0.75</v>
      </c>
      <c r="C34" t="n">
        <v>9</v>
      </c>
      <c r="D34" t="n">
        <v>-0.25</v>
      </c>
      <c r="E34" t="n">
        <v>16</v>
      </c>
    </row>
    <row r="35">
      <c r="A35" t="s">
        <v>308</v>
      </c>
      <c r="B35" t="n">
        <v>-0.5</v>
      </c>
      <c r="C35" t="n">
        <v>164</v>
      </c>
      <c r="D35" t="n">
        <v>0</v>
      </c>
      <c r="E35" t="n">
        <v>7</v>
      </c>
    </row>
    <row r="36">
      <c r="A36" t="s">
        <v>308</v>
      </c>
      <c r="B36" t="n">
        <v>-1.25</v>
      </c>
      <c r="C36" t="n">
        <v>158</v>
      </c>
      <c r="D36"/>
      <c r="E36"/>
    </row>
    <row r="37">
      <c r="A37" t="s">
        <v>307</v>
      </c>
      <c r="B37" t="n">
        <v>-0.5</v>
      </c>
      <c r="C37" t="n">
        <v>10</v>
      </c>
      <c r="D37" t="n">
        <v>-0.25</v>
      </c>
      <c r="E37" t="n">
        <v>155</v>
      </c>
    </row>
    <row r="38">
      <c r="A38" t="s">
        <v>307</v>
      </c>
      <c r="B38" t="n">
        <v>-0.75</v>
      </c>
      <c r="C38" t="n">
        <v>157</v>
      </c>
      <c r="D38"/>
      <c r="E38"/>
    </row>
    <row r="39">
      <c r="A39" t="s">
        <v>308</v>
      </c>
      <c r="B39" t="n">
        <v>-0.5</v>
      </c>
      <c r="C39" t="n">
        <v>20</v>
      </c>
      <c r="D39"/>
      <c r="E39"/>
    </row>
    <row r="40">
      <c r="A40" t="s">
        <v>307</v>
      </c>
      <c r="B40" t="n">
        <v>-0.75</v>
      </c>
      <c r="C40" t="n">
        <v>170</v>
      </c>
      <c r="D40" t="n">
        <v>-0.25</v>
      </c>
      <c r="E40" t="n">
        <v>129</v>
      </c>
    </row>
    <row r="41">
      <c r="A41" t="s">
        <v>308</v>
      </c>
      <c r="B41" t="n">
        <v>-0.75</v>
      </c>
      <c r="C41" t="n">
        <v>6</v>
      </c>
      <c r="D41" t="n">
        <v>0</v>
      </c>
      <c r="E41" t="n">
        <v>106</v>
      </c>
    </row>
    <row r="42">
      <c r="A42" t="s">
        <v>307</v>
      </c>
      <c r="B42" t="n">
        <v>-1.25</v>
      </c>
      <c r="C42" t="n">
        <v>78</v>
      </c>
      <c r="D42" t="n">
        <v>-0.5</v>
      </c>
      <c r="E42" t="n">
        <v>108</v>
      </c>
    </row>
    <row r="43">
      <c r="A43" t="s">
        <v>308</v>
      </c>
      <c r="B43" t="n">
        <v>-0.75</v>
      </c>
      <c r="C43" t="n">
        <v>93</v>
      </c>
      <c r="D43" t="n">
        <v>-0.25</v>
      </c>
      <c r="E43" t="n">
        <v>66</v>
      </c>
    </row>
    <row r="44">
      <c r="A44" t="s">
        <v>307</v>
      </c>
      <c r="B44" t="n">
        <v>-1.25</v>
      </c>
      <c r="C44" t="n">
        <v>98</v>
      </c>
      <c r="D44" t="n">
        <v>0</v>
      </c>
      <c r="E44" t="n">
        <v>63</v>
      </c>
    </row>
    <row r="45">
      <c r="A45" t="s">
        <v>308</v>
      </c>
      <c r="B45" t="n">
        <v>-1</v>
      </c>
      <c r="C45" t="n">
        <v>25</v>
      </c>
      <c r="D45" t="n">
        <v>-0.5</v>
      </c>
      <c r="E45" t="n">
        <v>117</v>
      </c>
    </row>
    <row r="46">
      <c r="A46" t="s">
        <v>307</v>
      </c>
      <c r="B46" t="n">
        <v>-0.75</v>
      </c>
      <c r="C46" t="n">
        <v>125</v>
      </c>
      <c r="D46" t="n">
        <v>-0.5</v>
      </c>
      <c r="E46" t="n">
        <v>96</v>
      </c>
    </row>
    <row r="47">
      <c r="A47" t="s">
        <v>308</v>
      </c>
      <c r="B47" t="n">
        <v>-0.5</v>
      </c>
      <c r="C47" t="n">
        <v>69</v>
      </c>
      <c r="D47" t="n">
        <v>0</v>
      </c>
      <c r="E47" t="n">
        <v>66</v>
      </c>
    </row>
    <row r="48">
      <c r="A48" t="s">
        <v>307</v>
      </c>
      <c r="B48" t="n">
        <v>-1</v>
      </c>
      <c r="C48" t="n">
        <v>73</v>
      </c>
      <c r="D48" t="n">
        <v>-0.25</v>
      </c>
      <c r="E48" t="n">
        <v>22</v>
      </c>
    </row>
    <row r="49">
      <c r="A49" t="s">
        <v>307</v>
      </c>
      <c r="B49" t="n">
        <v>-0.75</v>
      </c>
      <c r="C49" t="n">
        <v>50</v>
      </c>
      <c r="D49" t="n">
        <v>-0.5</v>
      </c>
      <c r="E49" t="n">
        <v>83</v>
      </c>
    </row>
    <row r="50">
      <c r="A50" t="s">
        <v>307</v>
      </c>
      <c r="B50" t="n">
        <v>-1.5</v>
      </c>
      <c r="C50" t="n">
        <v>177</v>
      </c>
      <c r="D50" t="n">
        <v>-0.25</v>
      </c>
      <c r="E50" t="n">
        <v>129</v>
      </c>
    </row>
    <row r="51">
      <c r="A51" t="s">
        <v>308</v>
      </c>
      <c r="B51" t="n">
        <v>-1.5</v>
      </c>
      <c r="C51" t="n">
        <v>153</v>
      </c>
      <c r="D51" t="n">
        <v>-0.25</v>
      </c>
      <c r="E51" t="n">
        <v>115</v>
      </c>
    </row>
    <row r="52">
      <c r="A52" t="s">
        <v>308</v>
      </c>
      <c r="B52" t="n">
        <v>-0.75</v>
      </c>
      <c r="C52" t="n">
        <v>41</v>
      </c>
      <c r="D52" t="n">
        <v>0</v>
      </c>
      <c r="E52" t="n">
        <v>140</v>
      </c>
    </row>
    <row r="53">
      <c r="A53" t="s">
        <v>308</v>
      </c>
      <c r="B53" t="n">
        <v>-1.5</v>
      </c>
      <c r="C53" t="n">
        <v>165</v>
      </c>
      <c r="D53" t="n">
        <v>-0.25</v>
      </c>
      <c r="E53" t="n">
        <v>166</v>
      </c>
    </row>
    <row r="54">
      <c r="A54" t="s">
        <v>308</v>
      </c>
      <c r="B54" t="n">
        <v>-0.25</v>
      </c>
      <c r="C54" t="n">
        <v>90</v>
      </c>
      <c r="D54" t="n">
        <v>-0.25</v>
      </c>
      <c r="E54" t="n">
        <v>147</v>
      </c>
    </row>
    <row r="55">
      <c r="A55" t="s">
        <v>307</v>
      </c>
      <c r="B55" t="n">
        <v>-1</v>
      </c>
      <c r="C55" t="n">
        <v>82</v>
      </c>
      <c r="D55" t="n">
        <v>-0.25</v>
      </c>
      <c r="E55" t="n">
        <v>99</v>
      </c>
    </row>
    <row r="56">
      <c r="A56" t="s">
        <v>308</v>
      </c>
      <c r="B56" t="n">
        <v>-1</v>
      </c>
      <c r="C56" t="n">
        <v>80</v>
      </c>
      <c r="D56" t="n">
        <v>-0.5</v>
      </c>
      <c r="E56" t="n">
        <v>36</v>
      </c>
    </row>
    <row r="57">
      <c r="A57" t="s">
        <v>308</v>
      </c>
      <c r="B57" t="n">
        <v>-0.5</v>
      </c>
      <c r="C57" t="n">
        <v>165</v>
      </c>
      <c r="D57" t="n">
        <v>-0.25</v>
      </c>
      <c r="E57" t="n">
        <v>155</v>
      </c>
    </row>
    <row r="58">
      <c r="A58" t="s">
        <v>308</v>
      </c>
      <c r="B58" t="n">
        <v>-0.5</v>
      </c>
      <c r="C58" t="n">
        <v>14</v>
      </c>
      <c r="D58" t="n">
        <v>-0.25</v>
      </c>
      <c r="E58" t="n">
        <v>144</v>
      </c>
    </row>
    <row r="59">
      <c r="A59" t="s">
        <v>308</v>
      </c>
      <c r="B59" t="n">
        <v>-0.75</v>
      </c>
      <c r="C59" t="n">
        <v>21</v>
      </c>
      <c r="D59" t="n">
        <v>-0.25</v>
      </c>
      <c r="E59" t="n">
        <v>177</v>
      </c>
    </row>
    <row r="60">
      <c r="A60" t="s">
        <v>307</v>
      </c>
      <c r="B60" t="n">
        <v>-0.75</v>
      </c>
      <c r="C60" t="n">
        <v>21</v>
      </c>
      <c r="D60" t="n">
        <v>0</v>
      </c>
      <c r="E60" t="n">
        <v>180</v>
      </c>
    </row>
    <row r="61">
      <c r="A61" t="s">
        <v>308</v>
      </c>
      <c r="B61" t="n">
        <v>-0.5</v>
      </c>
      <c r="C61" t="n">
        <v>166</v>
      </c>
      <c r="D61" t="n">
        <v>-0.25</v>
      </c>
      <c r="E61" t="n">
        <v>26</v>
      </c>
    </row>
    <row r="62">
      <c r="A62" t="s">
        <v>307</v>
      </c>
      <c r="B62" t="n">
        <v>-0.75</v>
      </c>
      <c r="C62" t="n">
        <v>43</v>
      </c>
      <c r="D62" t="n">
        <v>-0.25</v>
      </c>
      <c r="E62" t="n">
        <v>180</v>
      </c>
    </row>
    <row r="63">
      <c r="A63" t="s">
        <v>308</v>
      </c>
      <c r="B63" t="n">
        <v>-0.75</v>
      </c>
      <c r="C63" t="n">
        <v>5</v>
      </c>
      <c r="D63" t="n">
        <v>-0.25</v>
      </c>
      <c r="E63" t="n">
        <v>162</v>
      </c>
    </row>
    <row r="64">
      <c r="A64" t="s">
        <v>308</v>
      </c>
      <c r="B64" t="n">
        <v>-1</v>
      </c>
      <c r="C64" t="n">
        <v>55</v>
      </c>
      <c r="D64" t="n">
        <v>-0.25</v>
      </c>
      <c r="E64" t="n">
        <v>58</v>
      </c>
    </row>
    <row r="65">
      <c r="A65" t="s">
        <v>307</v>
      </c>
      <c r="B65" t="n">
        <v>-0.25</v>
      </c>
      <c r="C65" t="n">
        <v>4</v>
      </c>
      <c r="D65" t="n">
        <v>0</v>
      </c>
      <c r="E65" t="n">
        <v>154</v>
      </c>
    </row>
    <row r="66">
      <c r="A66" t="s">
        <v>307</v>
      </c>
      <c r="B66" t="n">
        <v>-0.5</v>
      </c>
      <c r="C66" t="n">
        <v>95</v>
      </c>
      <c r="D66" t="n">
        <v>-0.25</v>
      </c>
      <c r="E66" t="n">
        <v>62</v>
      </c>
    </row>
    <row r="67">
      <c r="A67" t="s">
        <v>308</v>
      </c>
      <c r="B67" t="n">
        <v>-0.25</v>
      </c>
      <c r="C67" t="n">
        <v>85</v>
      </c>
      <c r="D67" t="n">
        <v>0</v>
      </c>
      <c r="E67" t="n">
        <v>142</v>
      </c>
    </row>
    <row r="68">
      <c r="A68" t="s">
        <v>307</v>
      </c>
      <c r="B68" t="n">
        <v>-0.5</v>
      </c>
      <c r="C68" t="n">
        <v>5</v>
      </c>
      <c r="D68" t="n">
        <v>0</v>
      </c>
      <c r="E68" t="n">
        <v>10</v>
      </c>
    </row>
    <row r="69">
      <c r="A69" t="s">
        <v>308</v>
      </c>
      <c r="B69" t="n">
        <v>-1.25</v>
      </c>
      <c r="C69" t="n">
        <v>6</v>
      </c>
      <c r="D69" t="n">
        <v>-0.25</v>
      </c>
      <c r="E69" t="n">
        <v>2</v>
      </c>
    </row>
    <row r="70">
      <c r="A70" t="s">
        <v>307</v>
      </c>
      <c r="B70" t="n">
        <v>-0.5</v>
      </c>
      <c r="C70" t="n">
        <v>101</v>
      </c>
      <c r="D70" t="n">
        <v>0</v>
      </c>
      <c r="E70" t="n">
        <v>166</v>
      </c>
    </row>
    <row r="71">
      <c r="A71" t="s">
        <v>308</v>
      </c>
      <c r="B71" t="n">
        <v>-0.5</v>
      </c>
      <c r="C71" t="n">
        <v>78</v>
      </c>
      <c r="D71" t="n">
        <v>-0.25</v>
      </c>
      <c r="E71" t="n">
        <v>51</v>
      </c>
    </row>
    <row r="72">
      <c r="A72" t="s">
        <v>307</v>
      </c>
      <c r="B72" t="n">
        <v>-1.5</v>
      </c>
      <c r="C72" t="n">
        <v>160</v>
      </c>
      <c r="D72" t="n">
        <v>-0.25</v>
      </c>
      <c r="E72" t="n">
        <v>2</v>
      </c>
    </row>
    <row r="73">
      <c r="A73" t="s">
        <v>308</v>
      </c>
      <c r="B73" t="n">
        <v>-0.25</v>
      </c>
      <c r="C73" t="n">
        <v>1</v>
      </c>
      <c r="D73" t="n">
        <v>-0.25</v>
      </c>
      <c r="E73" t="n">
        <v>107</v>
      </c>
    </row>
    <row r="74">
      <c r="A74" t="s">
        <v>307</v>
      </c>
      <c r="B74" t="n">
        <v>-1.5</v>
      </c>
      <c r="C74" t="n">
        <v>173</v>
      </c>
      <c r="D74" t="n">
        <v>-0.75</v>
      </c>
      <c r="E74" t="n">
        <v>148</v>
      </c>
    </row>
    <row r="75">
      <c r="A75" t="s">
        <v>308</v>
      </c>
      <c r="B75" t="n">
        <v>-1</v>
      </c>
      <c r="C75" t="n">
        <v>19</v>
      </c>
      <c r="D75" t="n">
        <v>-0.25</v>
      </c>
      <c r="E75" t="n">
        <v>32</v>
      </c>
    </row>
    <row r="76">
      <c r="A76" t="s">
        <v>307</v>
      </c>
      <c r="B76" t="n">
        <v>-1</v>
      </c>
      <c r="C76" t="n">
        <v>168</v>
      </c>
      <c r="D76" t="n">
        <v>-0.25</v>
      </c>
      <c r="E76" t="n">
        <v>176</v>
      </c>
    </row>
    <row r="77">
      <c r="A77" t="s">
        <v>308</v>
      </c>
      <c r="B77" t="n">
        <v>-0.75</v>
      </c>
      <c r="C77" t="n">
        <v>8</v>
      </c>
      <c r="D77" t="n">
        <v>-0.25</v>
      </c>
      <c r="E77" t="n">
        <v>40</v>
      </c>
    </row>
    <row r="78">
      <c r="A78" t="s">
        <v>307</v>
      </c>
      <c r="B78" t="n">
        <v>-0.75</v>
      </c>
      <c r="C78" t="n">
        <v>178</v>
      </c>
      <c r="D78" t="n">
        <v>-0.5</v>
      </c>
      <c r="E78" t="n">
        <v>22</v>
      </c>
    </row>
    <row r="79">
      <c r="A79" t="s">
        <v>307</v>
      </c>
      <c r="B79" t="n">
        <v>-1.25</v>
      </c>
      <c r="C79" t="n">
        <v>2</v>
      </c>
      <c r="D79" t="n">
        <v>-0.25</v>
      </c>
      <c r="E79" t="n">
        <v>2</v>
      </c>
    </row>
    <row r="80">
      <c r="A80" t="s">
        <v>308</v>
      </c>
      <c r="B80" t="n">
        <v>-1.25</v>
      </c>
      <c r="C80" t="n">
        <v>163</v>
      </c>
      <c r="D80" t="n">
        <v>-0.25</v>
      </c>
      <c r="E80" t="n">
        <v>147</v>
      </c>
    </row>
    <row r="81">
      <c r="A81" t="s">
        <v>307</v>
      </c>
      <c r="B81" t="n">
        <v>-1</v>
      </c>
      <c r="C81" t="n">
        <v>14</v>
      </c>
      <c r="D81" t="n">
        <v>0</v>
      </c>
      <c r="E81" t="n">
        <v>171</v>
      </c>
    </row>
    <row r="82">
      <c r="A82" t="s">
        <v>307</v>
      </c>
      <c r="B82" t="n">
        <v>-0.75</v>
      </c>
      <c r="C82" t="n">
        <v>91</v>
      </c>
      <c r="D82" t="n">
        <v>-0.25</v>
      </c>
      <c r="E82" t="n">
        <v>49</v>
      </c>
    </row>
    <row r="83">
      <c r="A83" t="s">
        <v>308</v>
      </c>
      <c r="B83" t="n">
        <v>-0.5</v>
      </c>
      <c r="C83" t="n">
        <v>3</v>
      </c>
      <c r="D83" t="n">
        <v>-0.25</v>
      </c>
      <c r="E83" t="n">
        <v>48</v>
      </c>
    </row>
    <row r="84">
      <c r="A84" t="s">
        <v>307</v>
      </c>
      <c r="B84" t="n">
        <v>-0.25</v>
      </c>
      <c r="C84" t="n">
        <v>21</v>
      </c>
      <c r="D84" t="n">
        <v>-0.25</v>
      </c>
      <c r="E84" t="n">
        <v>108</v>
      </c>
    </row>
    <row r="85">
      <c r="A85" t="s">
        <v>308</v>
      </c>
      <c r="B85" t="n">
        <v>-0.25</v>
      </c>
      <c r="C85" t="n">
        <v>146</v>
      </c>
      <c r="D85" t="n">
        <v>-0.25</v>
      </c>
      <c r="E85" t="n">
        <v>75</v>
      </c>
    </row>
    <row r="86">
      <c r="A86" t="s">
        <v>307</v>
      </c>
      <c r="B86" t="n">
        <v>-0.75</v>
      </c>
      <c r="C86" t="n">
        <v>89</v>
      </c>
      <c r="D86" t="n">
        <v>0</v>
      </c>
      <c r="E86" t="n">
        <v>23</v>
      </c>
    </row>
    <row r="87">
      <c r="A87" t="s">
        <v>308</v>
      </c>
      <c r="B87" t="n">
        <v>-0.5</v>
      </c>
      <c r="C87" t="n">
        <v>102</v>
      </c>
      <c r="D87" t="n">
        <v>-0.25</v>
      </c>
      <c r="E87" t="n">
        <v>51</v>
      </c>
    </row>
    <row r="88">
      <c r="A88" t="s">
        <v>307</v>
      </c>
      <c r="B88" t="n">
        <v>-0.25</v>
      </c>
      <c r="C88" t="n">
        <v>180</v>
      </c>
      <c r="D88" t="n">
        <v>0</v>
      </c>
      <c r="E88" t="n">
        <v>167</v>
      </c>
    </row>
    <row r="89">
      <c r="A89" t="s">
        <v>307</v>
      </c>
      <c r="B89" t="n">
        <v>-2.75</v>
      </c>
      <c r="C89" t="n">
        <v>172</v>
      </c>
      <c r="D89"/>
      <c r="E89"/>
    </row>
    <row r="90">
      <c r="A90" t="s">
        <v>308</v>
      </c>
      <c r="B90" t="n">
        <v>-0.5</v>
      </c>
      <c r="C90" t="n">
        <v>85</v>
      </c>
      <c r="D90" t="n">
        <v>-0.25</v>
      </c>
      <c r="E90" t="n">
        <v>110</v>
      </c>
    </row>
    <row r="91">
      <c r="A91" t="s">
        <v>307</v>
      </c>
      <c r="B91" t="n">
        <v>-1</v>
      </c>
      <c r="C91" t="n">
        <v>95</v>
      </c>
      <c r="D91" t="n">
        <v>0</v>
      </c>
      <c r="E91" t="n">
        <v>32</v>
      </c>
    </row>
    <row r="92">
      <c r="A92" t="s">
        <v>307</v>
      </c>
      <c r="B92" t="n">
        <v>-0.75</v>
      </c>
      <c r="C92" t="n">
        <v>104</v>
      </c>
      <c r="D92" t="n">
        <v>-0.25</v>
      </c>
      <c r="E92" t="n">
        <v>84</v>
      </c>
    </row>
    <row r="93">
      <c r="A93" t="s">
        <v>308</v>
      </c>
      <c r="B93" t="n">
        <v>-0.5</v>
      </c>
      <c r="C93" t="n">
        <v>77</v>
      </c>
      <c r="D93" t="n">
        <v>-0.25</v>
      </c>
      <c r="E93" t="n">
        <v>48</v>
      </c>
    </row>
    <row r="94">
      <c r="A94" t="s">
        <v>307</v>
      </c>
      <c r="B94" t="n">
        <v>-1.75</v>
      </c>
      <c r="C94" t="n">
        <v>65</v>
      </c>
      <c r="D94" t="n">
        <v>-0.25</v>
      </c>
      <c r="E94" t="n">
        <v>9</v>
      </c>
    </row>
    <row r="95">
      <c r="A95" t="s">
        <v>308</v>
      </c>
      <c r="B95" t="n">
        <v>-1.25</v>
      </c>
      <c r="C95" t="n">
        <v>107</v>
      </c>
      <c r="D95" t="n">
        <v>-0.25</v>
      </c>
      <c r="E95" t="n">
        <v>134</v>
      </c>
    </row>
    <row r="96">
      <c r="A96" t="s">
        <v>308</v>
      </c>
      <c r="B96" t="n">
        <v>-0.75</v>
      </c>
      <c r="C96" t="n">
        <v>5</v>
      </c>
      <c r="D96"/>
      <c r="E96"/>
    </row>
    <row r="97">
      <c r="A97" t="s">
        <v>307</v>
      </c>
      <c r="B97" t="n">
        <v>-1.25</v>
      </c>
      <c r="C97" t="n">
        <v>22</v>
      </c>
      <c r="D97" t="n">
        <v>-0.25</v>
      </c>
      <c r="E97" t="n">
        <v>156</v>
      </c>
    </row>
    <row r="98">
      <c r="A98" t="s">
        <v>308</v>
      </c>
      <c r="B98" t="n">
        <v>-1.5</v>
      </c>
      <c r="C98" t="n">
        <v>172</v>
      </c>
      <c r="D98" t="n">
        <v>-0.25</v>
      </c>
      <c r="E98" t="n">
        <v>137</v>
      </c>
    </row>
  </sheetData>
  <pageMargins left="0.7" right="0.7" top="0.75" bottom="0.75" header="0.3" footer="0.3"/>
  <pageSetup paperSize="9" orientation="portrait" horizontalDpi="300" verticalDpi="300" r:id="rId2"/>
  <tableParts count="1">
    <tablePart r:id="rId8"/>
  </tablePart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0" t="s">
        <v>1964</v>
      </c>
    </row>
    <row r="3">
      <c r="A3" s="1" t="s">
        <v>310</v>
      </c>
    </row>
    <row r="4">
      <c r="A4" t="s">
        <v>311</v>
      </c>
      <c r="B4" t="s">
        <v>312</v>
      </c>
      <c r="C4" t="s">
        <v>313</v>
      </c>
      <c r="D4" t="s">
        <v>314</v>
      </c>
      <c r="E4" t="s">
        <v>315</v>
      </c>
      <c r="F4" t="s">
        <v>316</v>
      </c>
      <c r="G4" t="s">
        <v>317</v>
      </c>
      <c r="H4" t="s">
        <v>318</v>
      </c>
      <c r="I4" t="s">
        <v>319</v>
      </c>
      <c r="J4" t="s">
        <v>320</v>
      </c>
      <c r="K4" t="s">
        <v>321</v>
      </c>
      <c r="L4" t="s">
        <v>322</v>
      </c>
      <c r="M4" t="s">
        <v>323</v>
      </c>
      <c r="N4" t="s">
        <v>324</v>
      </c>
      <c r="O4" t="s">
        <v>325</v>
      </c>
      <c r="P4" t="s">
        <v>326</v>
      </c>
      <c r="Q4" t="s">
        <v>327</v>
      </c>
      <c r="R4" t="s">
        <v>328</v>
      </c>
      <c r="S4" t="s">
        <v>329</v>
      </c>
    </row>
    <row r="5">
      <c r="A5" t="s">
        <v>330</v>
      </c>
      <c r="B5" t="s">
        <v>30</v>
      </c>
      <c r="C5" t="n">
        <v>137</v>
      </c>
      <c r="D5" t="n">
        <v>94</v>
      </c>
      <c r="E5" s="29" t="n">
        <v>-0.418434925122315</v>
      </c>
      <c r="F5" s="29" t="n">
        <v>0.000210574859417946</v>
      </c>
      <c r="G5" s="29" t="n">
        <v>0.418434978107578</v>
      </c>
      <c r="H5" s="30" t="n">
        <v>89.985583122998</v>
      </c>
      <c r="I5" t="s">
        <v>1965</v>
      </c>
      <c r="J5" s="29" t="n">
        <v>0.877071966710567</v>
      </c>
      <c r="K5" s="29" t="n">
        <v>0.85036496350365</v>
      </c>
      <c r="L5" s="29" t="n">
        <v>0.472068989161673</v>
      </c>
      <c r="M5" s="29" t="n">
        <v>0.75</v>
      </c>
      <c r="N5" s="29" t="n">
        <v>0.25</v>
      </c>
      <c r="O5" s="29" t="n">
        <v>2.5</v>
      </c>
      <c r="P5" s="29" t="n">
        <v>0.971773155470674</v>
      </c>
      <c r="Q5" t="s">
        <v>1966</v>
      </c>
      <c r="R5" t="n">
        <v>137</v>
      </c>
      <c r="S5" t="s">
        <v>1967</v>
      </c>
    </row>
    <row r="6">
      <c r="A6" t="s">
        <v>330</v>
      </c>
      <c r="B6" t="s">
        <v>31</v>
      </c>
      <c r="C6" t="n">
        <v>97</v>
      </c>
      <c r="D6" t="n">
        <v>69</v>
      </c>
      <c r="E6" s="29" t="n">
        <v>-0.321992557833398</v>
      </c>
      <c r="F6" s="29" t="n">
        <v>-0.0306988605835314</v>
      </c>
      <c r="G6" s="29" t="n">
        <v>0.323452666307176</v>
      </c>
      <c r="H6" s="30" t="n">
        <v>92.7230670484297</v>
      </c>
      <c r="I6" t="s">
        <v>1968</v>
      </c>
      <c r="J6" s="29" t="n">
        <v>0.887204006967037</v>
      </c>
      <c r="K6" s="29" t="n">
        <v>0.824742268041237</v>
      </c>
      <c r="L6" s="29" t="n">
        <v>0.462338018444264</v>
      </c>
      <c r="M6" s="29" t="n">
        <v>0.75</v>
      </c>
      <c r="N6" s="29" t="n">
        <v>0.25</v>
      </c>
      <c r="O6" s="29" t="n">
        <v>2.75</v>
      </c>
      <c r="P6" s="29" t="n">
        <v>0.944326520499974</v>
      </c>
      <c r="Q6" t="s">
        <v>1969</v>
      </c>
      <c r="R6" t="n">
        <v>97</v>
      </c>
      <c r="S6" t="s">
        <v>1970</v>
      </c>
    </row>
    <row r="7">
      <c r="A7" t="s">
        <v>340</v>
      </c>
      <c r="B7" t="s">
        <v>30</v>
      </c>
      <c r="C7" t="n">
        <v>119</v>
      </c>
      <c r="D7" t="n">
        <v>83</v>
      </c>
      <c r="E7" s="29" t="n">
        <v>0.44882097764749</v>
      </c>
      <c r="F7" s="29" t="n">
        <v>0.0178449759814184</v>
      </c>
      <c r="G7" s="29" t="n">
        <v>0.449175592774391</v>
      </c>
      <c r="H7" s="30" t="n">
        <v>1.13843113524886</v>
      </c>
      <c r="I7" t="s">
        <v>1971</v>
      </c>
      <c r="J7" s="29" t="n">
        <v>0.865686955064267</v>
      </c>
      <c r="K7" s="29" t="n">
        <v>0.850816001348473</v>
      </c>
      <c r="L7" s="29" t="n">
        <v>0.478759742568352</v>
      </c>
      <c r="M7" s="29" t="n">
        <v>0.75</v>
      </c>
      <c r="N7" s="29" t="n">
        <v>0.187303296707956</v>
      </c>
      <c r="O7" s="29" t="n">
        <v>2.29699870141587</v>
      </c>
      <c r="P7" s="29" t="n">
        <v>0.975280788959091</v>
      </c>
      <c r="Q7" t="s">
        <v>1972</v>
      </c>
      <c r="R7" t="n">
        <v>119</v>
      </c>
      <c r="S7" t="s">
        <v>1973</v>
      </c>
    </row>
    <row r="8">
      <c r="A8" t="s">
        <v>340</v>
      </c>
      <c r="B8" t="s">
        <v>31</v>
      </c>
      <c r="C8" t="n">
        <v>91</v>
      </c>
      <c r="D8" t="n">
        <v>64</v>
      </c>
      <c r="E8" s="29" t="n">
        <v>0.26980214011323</v>
      </c>
      <c r="F8" s="29" t="n">
        <v>0.0581184934451517</v>
      </c>
      <c r="G8" s="29" t="n">
        <v>0.275990858707336</v>
      </c>
      <c r="H8" s="30" t="n">
        <v>6.07820787500805</v>
      </c>
      <c r="I8" t="s">
        <v>1974</v>
      </c>
      <c r="J8" s="29" t="n">
        <v>0.827765788791648</v>
      </c>
      <c r="K8" s="29" t="n">
        <v>0.774363534036663</v>
      </c>
      <c r="L8" s="29" t="n">
        <v>0.404382557910056</v>
      </c>
      <c r="M8" s="29" t="n">
        <v>0.696076524147333</v>
      </c>
      <c r="N8" s="29" t="n">
        <v>0.1378186779085</v>
      </c>
      <c r="O8" s="29" t="n">
        <v>1.99349160030623</v>
      </c>
      <c r="P8" s="29" t="n">
        <v>0.872563553664644</v>
      </c>
      <c r="Q8" t="s">
        <v>1975</v>
      </c>
      <c r="R8" t="n">
        <v>91</v>
      </c>
      <c r="S8" t="s">
        <v>1976</v>
      </c>
    </row>
    <row r="9">
      <c r="A9" t="s">
        <v>350</v>
      </c>
      <c r="B9" t="s">
        <v>30</v>
      </c>
      <c r="C9" t="n">
        <v>119</v>
      </c>
      <c r="D9" t="n">
        <v>83</v>
      </c>
      <c r="E9" s="29" t="n">
        <v>-0.0343147169358656</v>
      </c>
      <c r="F9" s="29" t="n">
        <v>0.0125916658093048</v>
      </c>
      <c r="G9" s="29" t="n">
        <v>0.0365520156248844</v>
      </c>
      <c r="H9" s="30" t="n">
        <v>79.9247819612528</v>
      </c>
      <c r="I9" t="s">
        <v>1977</v>
      </c>
      <c r="J9" s="29" t="n">
        <v>0.286657205587271</v>
      </c>
      <c r="K9" s="29" t="n">
        <v>0.233193277310924</v>
      </c>
      <c r="L9" s="29" t="n">
        <v>0.171394741000295</v>
      </c>
      <c r="M9" s="29" t="n">
        <v>0.25</v>
      </c>
      <c r="N9" s="29" t="n">
        <v>0</v>
      </c>
      <c r="O9" s="29" t="n">
        <v>0.75</v>
      </c>
      <c r="P9" s="29" t="n">
        <v>0.288978205685731</v>
      </c>
      <c r="Q9" t="s">
        <v>1972</v>
      </c>
      <c r="R9" t="n">
        <v>119</v>
      </c>
      <c r="S9" t="s">
        <v>1973</v>
      </c>
    </row>
    <row r="10">
      <c r="A10" t="s">
        <v>350</v>
      </c>
      <c r="B10" t="s">
        <v>31</v>
      </c>
      <c r="C10" t="n">
        <v>91</v>
      </c>
      <c r="D10" t="n">
        <v>64</v>
      </c>
      <c r="E10" s="29" t="n">
        <v>-0.0173938595599188</v>
      </c>
      <c r="F10" s="29" t="n">
        <v>0.00114713128207802</v>
      </c>
      <c r="G10" s="29" t="n">
        <v>0.0174316453775454</v>
      </c>
      <c r="H10" s="30" t="n">
        <v>88.1133934547046</v>
      </c>
      <c r="I10" t="s">
        <v>1978</v>
      </c>
      <c r="J10" s="29" t="n">
        <v>0.274309293114328</v>
      </c>
      <c r="K10" s="29" t="n">
        <v>0.236263736263736</v>
      </c>
      <c r="L10" s="29" t="n">
        <v>0.141237769198283</v>
      </c>
      <c r="M10" s="29" t="n">
        <v>0.25</v>
      </c>
      <c r="N10" s="29" t="n">
        <v>0</v>
      </c>
      <c r="O10" s="29" t="n">
        <v>0.75</v>
      </c>
      <c r="P10" s="29" t="n">
        <v>0.274862603039138</v>
      </c>
      <c r="Q10" t="s">
        <v>1975</v>
      </c>
      <c r="R10" t="n">
        <v>91</v>
      </c>
      <c r="S10" t="s">
        <v>1976</v>
      </c>
    </row>
    <row r="12">
      <c r="A12" s="1" t="s">
        <v>355</v>
      </c>
    </row>
    <row r="13">
      <c r="A13" t="s">
        <v>311</v>
      </c>
      <c r="B13" t="s">
        <v>312</v>
      </c>
      <c r="C13" t="s">
        <v>313</v>
      </c>
      <c r="D13" t="s">
        <v>356</v>
      </c>
      <c r="E13" t="s">
        <v>357</v>
      </c>
      <c r="F13" t="s">
        <v>358</v>
      </c>
      <c r="G13" t="s">
        <v>359</v>
      </c>
      <c r="H13" t="s">
        <v>360</v>
      </c>
      <c r="I13" t="s">
        <v>361</v>
      </c>
      <c r="J13" t="s">
        <v>362</v>
      </c>
      <c r="K13" t="s">
        <v>363</v>
      </c>
      <c r="L13" t="s">
        <v>364</v>
      </c>
    </row>
    <row r="14">
      <c r="A14" t="s">
        <v>330</v>
      </c>
      <c r="B14" t="s">
        <v>30</v>
      </c>
      <c r="C14" t="n">
        <v>137</v>
      </c>
      <c r="D14" s="31" t="n">
        <v>11.6788321167883</v>
      </c>
      <c r="E14" s="31" t="n">
        <v>37.2262773722628</v>
      </c>
      <c r="F14" s="31" t="n">
        <v>62.043795620438</v>
      </c>
      <c r="G14" s="31" t="n">
        <v>78.1021897810219</v>
      </c>
      <c r="H14" s="31" t="n">
        <v>85.4014598540146</v>
      </c>
      <c r="I14" s="31" t="n">
        <v>91.970802919708</v>
      </c>
      <c r="J14" s="31" t="n">
        <v>95.6204379562044</v>
      </c>
      <c r="K14" s="31" t="n">
        <v>98.5401459854015</v>
      </c>
      <c r="L14" s="31" t="n">
        <v>21.8978102189781</v>
      </c>
    </row>
    <row r="15">
      <c r="A15" t="s">
        <v>330</v>
      </c>
      <c r="B15" t="s">
        <v>31</v>
      </c>
      <c r="C15" t="n">
        <v>97</v>
      </c>
      <c r="D15" s="31" t="n">
        <v>16.4948453608247</v>
      </c>
      <c r="E15" s="31" t="n">
        <v>38.1443298969072</v>
      </c>
      <c r="F15" s="31" t="n">
        <v>61.8556701030928</v>
      </c>
      <c r="G15" s="31" t="n">
        <v>76.2886597938144</v>
      </c>
      <c r="H15" s="31" t="n">
        <v>85.5670103092783</v>
      </c>
      <c r="I15" s="31" t="n">
        <v>95.8762886597938</v>
      </c>
      <c r="J15" s="31" t="n">
        <v>98.9690721649485</v>
      </c>
      <c r="K15" s="31" t="n">
        <v>98.9690721649485</v>
      </c>
      <c r="L15" s="31" t="n">
        <v>23.7113402061856</v>
      </c>
    </row>
    <row r="16">
      <c r="A16" t="s">
        <v>340</v>
      </c>
      <c r="B16" t="s">
        <v>30</v>
      </c>
      <c r="C16" t="n">
        <v>119</v>
      </c>
      <c r="D16" s="31" t="n">
        <v>6.72268907563025</v>
      </c>
      <c r="E16" s="31" t="n">
        <v>31.0924369747899</v>
      </c>
      <c r="F16" s="31" t="n">
        <v>53.781512605042</v>
      </c>
      <c r="G16" s="31" t="n">
        <v>68.0672268907563</v>
      </c>
      <c r="H16" s="31" t="n">
        <v>82.3529411764706</v>
      </c>
      <c r="I16" s="31" t="n">
        <v>90.7563025210084</v>
      </c>
      <c r="J16" s="31" t="n">
        <v>93.2773109243697</v>
      </c>
      <c r="K16" s="31" t="n">
        <v>95.7983193277311</v>
      </c>
      <c r="L16" s="31" t="n">
        <v>31.9327731092437</v>
      </c>
    </row>
    <row r="17">
      <c r="A17" t="s">
        <v>340</v>
      </c>
      <c r="B17" t="s">
        <v>31</v>
      </c>
      <c r="C17" t="n">
        <v>91</v>
      </c>
      <c r="D17" s="31" t="n">
        <v>6.59340659340659</v>
      </c>
      <c r="E17" s="31" t="n">
        <v>31.8681318681319</v>
      </c>
      <c r="F17" s="31" t="n">
        <v>57.1428571428571</v>
      </c>
      <c r="G17" s="31" t="n">
        <v>71.4285714285714</v>
      </c>
      <c r="H17" s="31" t="n">
        <v>84.6153846153846</v>
      </c>
      <c r="I17" s="31" t="n">
        <v>94.5054945054945</v>
      </c>
      <c r="J17" s="31" t="n">
        <v>97.8021978021978</v>
      </c>
      <c r="K17" s="31" t="n">
        <v>100</v>
      </c>
      <c r="L17" s="31" t="n">
        <v>28.5714285714286</v>
      </c>
    </row>
    <row r="18">
      <c r="A18" t="s">
        <v>350</v>
      </c>
      <c r="B18" t="s">
        <v>30</v>
      </c>
      <c r="C18" t="n">
        <v>119</v>
      </c>
      <c r="D18" s="31" t="n">
        <v>84.8739495798319</v>
      </c>
      <c r="E18" s="31" t="n">
        <v>97.4789915966387</v>
      </c>
      <c r="F18" s="31" t="n">
        <v>100</v>
      </c>
      <c r="G18" s="31" t="n">
        <v>100</v>
      </c>
      <c r="H18" s="31" t="n">
        <v>100</v>
      </c>
      <c r="I18" s="31" t="n">
        <v>100</v>
      </c>
      <c r="J18" s="31" t="n">
        <v>100</v>
      </c>
      <c r="K18" s="31" t="n">
        <v>100</v>
      </c>
      <c r="L18" s="31" t="n">
        <v>0</v>
      </c>
    </row>
    <row r="19">
      <c r="A19" t="s">
        <v>350</v>
      </c>
      <c r="B19" t="s">
        <v>31</v>
      </c>
      <c r="C19" t="n">
        <v>91</v>
      </c>
      <c r="D19" s="31" t="n">
        <v>89.010989010989</v>
      </c>
      <c r="E19" s="31" t="n">
        <v>98.9010989010989</v>
      </c>
      <c r="F19" s="31" t="n">
        <v>100</v>
      </c>
      <c r="G19" s="31" t="n">
        <v>100</v>
      </c>
      <c r="H19" s="31" t="n">
        <v>100</v>
      </c>
      <c r="I19" s="31" t="n">
        <v>100</v>
      </c>
      <c r="J19" s="31" t="n">
        <v>100</v>
      </c>
      <c r="K19" s="31" t="n">
        <v>100</v>
      </c>
      <c r="L19" s="31" t="n">
        <v>0</v>
      </c>
    </row>
    <row r="21">
      <c r="A21" s="1" t="s">
        <v>365</v>
      </c>
    </row>
    <row r="22">
      <c r="A22" t="s">
        <v>311</v>
      </c>
      <c r="B22" t="s">
        <v>312</v>
      </c>
      <c r="C22" t="s">
        <v>313</v>
      </c>
      <c r="D22" t="s">
        <v>314</v>
      </c>
      <c r="E22" t="s">
        <v>42</v>
      </c>
      <c r="F22" t="s">
        <v>41</v>
      </c>
      <c r="G22" t="s">
        <v>366</v>
      </c>
      <c r="H22" t="s">
        <v>1</v>
      </c>
    </row>
    <row r="23">
      <c r="A23" t="s">
        <v>330</v>
      </c>
      <c r="B23" t="s">
        <v>30</v>
      </c>
      <c r="C23" t="n">
        <v>137</v>
      </c>
      <c r="D23" t="n">
        <v>94</v>
      </c>
      <c r="E23" t="s">
        <v>367</v>
      </c>
      <c r="F23" t="s">
        <v>368</v>
      </c>
      <c r="G23" t="s">
        <v>567</v>
      </c>
      <c r="H23" t="s">
        <v>370</v>
      </c>
    </row>
    <row r="24">
      <c r="A24" t="s">
        <v>330</v>
      </c>
      <c r="B24" t="s">
        <v>31</v>
      </c>
      <c r="C24" t="n">
        <v>97</v>
      </c>
      <c r="D24" t="n">
        <v>69</v>
      </c>
      <c r="E24" t="s">
        <v>367</v>
      </c>
      <c r="F24" t="s">
        <v>368</v>
      </c>
      <c r="G24" t="s">
        <v>567</v>
      </c>
      <c r="H24" t="s">
        <v>109</v>
      </c>
    </row>
    <row r="25">
      <c r="A25" t="s">
        <v>340</v>
      </c>
      <c r="B25" t="s">
        <v>30</v>
      </c>
      <c r="C25" t="n">
        <v>119</v>
      </c>
      <c r="D25" t="n">
        <v>83</v>
      </c>
      <c r="E25" t="s">
        <v>367</v>
      </c>
      <c r="F25" t="s">
        <v>368</v>
      </c>
      <c r="G25" t="s">
        <v>567</v>
      </c>
      <c r="H25" t="s">
        <v>370</v>
      </c>
    </row>
    <row r="26">
      <c r="A26" t="s">
        <v>340</v>
      </c>
      <c r="B26" t="s">
        <v>31</v>
      </c>
      <c r="C26" t="n">
        <v>91</v>
      </c>
      <c r="D26" t="n">
        <v>64</v>
      </c>
      <c r="E26" t="s">
        <v>367</v>
      </c>
      <c r="F26" t="s">
        <v>536</v>
      </c>
      <c r="G26" t="s">
        <v>536</v>
      </c>
      <c r="H26" t="s">
        <v>109</v>
      </c>
    </row>
    <row r="27">
      <c r="A27" t="s">
        <v>350</v>
      </c>
      <c r="B27" t="s">
        <v>30</v>
      </c>
      <c r="C27" t="n">
        <v>119</v>
      </c>
      <c r="D27" t="n">
        <v>83</v>
      </c>
      <c r="E27" t="s">
        <v>367</v>
      </c>
      <c r="F27" t="s">
        <v>433</v>
      </c>
      <c r="G27" t="s">
        <v>129</v>
      </c>
      <c r="H27" t="s">
        <v>109</v>
      </c>
    </row>
    <row r="28">
      <c r="A28" t="s">
        <v>350</v>
      </c>
      <c r="B28" t="s">
        <v>31</v>
      </c>
      <c r="C28" t="n">
        <v>91</v>
      </c>
      <c r="D28" t="n">
        <v>64</v>
      </c>
      <c r="E28" t="s">
        <v>367</v>
      </c>
      <c r="F28" t="s">
        <v>374</v>
      </c>
      <c r="G28" t="s">
        <v>374</v>
      </c>
      <c r="H28" t="s">
        <v>109</v>
      </c>
    </row>
    <row r="30">
      <c r="A30" s="1" t="s">
        <v>376</v>
      </c>
    </row>
    <row r="31">
      <c r="A31" t="s">
        <v>311</v>
      </c>
      <c r="B31" t="s">
        <v>377</v>
      </c>
      <c r="C31" t="s">
        <v>378</v>
      </c>
      <c r="D31" t="s">
        <v>379</v>
      </c>
      <c r="E31" t="s">
        <v>42</v>
      </c>
      <c r="F31" t="s">
        <v>41</v>
      </c>
      <c r="G31" t="s">
        <v>380</v>
      </c>
      <c r="H31" t="s">
        <v>381</v>
      </c>
      <c r="I31" t="s">
        <v>1</v>
      </c>
    </row>
    <row r="32">
      <c r="A32" t="s">
        <v>330</v>
      </c>
      <c r="B32" t="s">
        <v>417</v>
      </c>
      <c r="C32" t="s">
        <v>319</v>
      </c>
      <c r="D32" t="s">
        <v>1979</v>
      </c>
      <c r="E32" t="s">
        <v>384</v>
      </c>
      <c r="F32" t="s">
        <v>1654</v>
      </c>
      <c r="G32" t="s">
        <v>109</v>
      </c>
      <c r="H32" t="s">
        <v>386</v>
      </c>
      <c r="I32" t="s">
        <v>109</v>
      </c>
    </row>
    <row r="33">
      <c r="A33" t="s">
        <v>330</v>
      </c>
      <c r="B33" t="s">
        <v>417</v>
      </c>
      <c r="C33" t="s">
        <v>387</v>
      </c>
      <c r="D33" t="s">
        <v>1980</v>
      </c>
      <c r="E33" t="s">
        <v>389</v>
      </c>
      <c r="F33" t="s">
        <v>494</v>
      </c>
      <c r="G33" t="s">
        <v>109</v>
      </c>
      <c r="H33" t="s">
        <v>386</v>
      </c>
      <c r="I33" t="s">
        <v>109</v>
      </c>
    </row>
    <row r="34">
      <c r="A34" t="s">
        <v>330</v>
      </c>
      <c r="B34" t="s">
        <v>417</v>
      </c>
      <c r="C34" t="s">
        <v>391</v>
      </c>
      <c r="D34" t="s">
        <v>1981</v>
      </c>
      <c r="E34" t="s">
        <v>389</v>
      </c>
      <c r="F34" t="s">
        <v>447</v>
      </c>
      <c r="G34" t="s">
        <v>109</v>
      </c>
      <c r="H34" t="s">
        <v>386</v>
      </c>
      <c r="I34" t="s">
        <v>109</v>
      </c>
    </row>
    <row r="35">
      <c r="A35" t="s">
        <v>330</v>
      </c>
      <c r="B35" t="s">
        <v>417</v>
      </c>
      <c r="C35" t="s">
        <v>394</v>
      </c>
      <c r="D35" t="s">
        <v>1982</v>
      </c>
      <c r="E35" t="s">
        <v>396</v>
      </c>
      <c r="F35" t="s">
        <v>461</v>
      </c>
      <c r="G35" t="s">
        <v>109</v>
      </c>
      <c r="H35" t="s">
        <v>386</v>
      </c>
      <c r="I35" t="s">
        <v>109</v>
      </c>
    </row>
    <row r="36">
      <c r="A36" t="s">
        <v>330</v>
      </c>
      <c r="B36" t="s">
        <v>417</v>
      </c>
      <c r="C36" t="s">
        <v>398</v>
      </c>
      <c r="D36" t="s">
        <v>1983</v>
      </c>
      <c r="E36" t="s">
        <v>396</v>
      </c>
      <c r="F36" t="s">
        <v>1830</v>
      </c>
      <c r="G36" t="s">
        <v>109</v>
      </c>
      <c r="H36" t="s">
        <v>386</v>
      </c>
      <c r="I36" t="s">
        <v>109</v>
      </c>
    </row>
    <row r="37">
      <c r="A37" t="s">
        <v>330</v>
      </c>
      <c r="B37" t="s">
        <v>417</v>
      </c>
      <c r="C37" t="s">
        <v>401</v>
      </c>
      <c r="D37" t="s">
        <v>1984</v>
      </c>
      <c r="E37" t="s">
        <v>396</v>
      </c>
      <c r="F37" t="s">
        <v>1804</v>
      </c>
      <c r="G37" t="s">
        <v>109</v>
      </c>
      <c r="H37" t="s">
        <v>386</v>
      </c>
      <c r="I37" t="s">
        <v>109</v>
      </c>
    </row>
    <row r="38">
      <c r="A38" t="s">
        <v>330</v>
      </c>
      <c r="B38" t="s">
        <v>417</v>
      </c>
      <c r="C38" t="s">
        <v>404</v>
      </c>
      <c r="D38" t="s">
        <v>1985</v>
      </c>
      <c r="E38" t="s">
        <v>396</v>
      </c>
      <c r="F38" t="s">
        <v>546</v>
      </c>
      <c r="G38" t="s">
        <v>109</v>
      </c>
      <c r="H38" t="s">
        <v>386</v>
      </c>
      <c r="I38" t="s">
        <v>109</v>
      </c>
    </row>
    <row r="39">
      <c r="A39" t="s">
        <v>330</v>
      </c>
      <c r="B39" t="s">
        <v>417</v>
      </c>
      <c r="C39" t="s">
        <v>407</v>
      </c>
      <c r="D39" t="s">
        <v>1986</v>
      </c>
      <c r="E39" t="s">
        <v>396</v>
      </c>
      <c r="F39" t="s">
        <v>1809</v>
      </c>
      <c r="G39" t="s">
        <v>109</v>
      </c>
      <c r="H39" t="s">
        <v>386</v>
      </c>
      <c r="I39" t="s">
        <v>109</v>
      </c>
    </row>
    <row r="40">
      <c r="A40" t="s">
        <v>330</v>
      </c>
      <c r="B40" t="s">
        <v>417</v>
      </c>
      <c r="C40" t="s">
        <v>409</v>
      </c>
      <c r="D40" t="s">
        <v>1987</v>
      </c>
      <c r="E40" t="s">
        <v>396</v>
      </c>
      <c r="F40" t="s">
        <v>524</v>
      </c>
      <c r="G40" t="s">
        <v>109</v>
      </c>
      <c r="H40" t="s">
        <v>386</v>
      </c>
      <c r="I40" t="s">
        <v>109</v>
      </c>
    </row>
    <row r="41">
      <c r="A41" t="s">
        <v>330</v>
      </c>
      <c r="B41" t="s">
        <v>417</v>
      </c>
      <c r="C41" t="s">
        <v>412</v>
      </c>
      <c r="D41" t="s">
        <v>1988</v>
      </c>
      <c r="E41" t="s">
        <v>396</v>
      </c>
      <c r="F41" t="s">
        <v>171</v>
      </c>
      <c r="G41" t="s">
        <v>109</v>
      </c>
      <c r="H41" t="s">
        <v>386</v>
      </c>
      <c r="I41" t="s">
        <v>109</v>
      </c>
    </row>
    <row r="42">
      <c r="A42" t="s">
        <v>330</v>
      </c>
      <c r="B42" t="s">
        <v>417</v>
      </c>
      <c r="C42" t="s">
        <v>415</v>
      </c>
      <c r="D42" t="s">
        <v>1989</v>
      </c>
      <c r="E42" t="s">
        <v>396</v>
      </c>
      <c r="F42" t="s">
        <v>1990</v>
      </c>
      <c r="G42" t="s">
        <v>109</v>
      </c>
      <c r="H42" t="s">
        <v>386</v>
      </c>
      <c r="I42" t="s">
        <v>109</v>
      </c>
    </row>
    <row r="43">
      <c r="A43" t="s">
        <v>340</v>
      </c>
      <c r="B43" t="s">
        <v>417</v>
      </c>
      <c r="C43" t="s">
        <v>319</v>
      </c>
      <c r="D43" t="s">
        <v>1991</v>
      </c>
      <c r="E43" t="s">
        <v>384</v>
      </c>
      <c r="F43" t="s">
        <v>438</v>
      </c>
      <c r="G43" t="s">
        <v>109</v>
      </c>
      <c r="H43" t="s">
        <v>386</v>
      </c>
      <c r="I43" t="s">
        <v>109</v>
      </c>
    </row>
    <row r="44">
      <c r="A44" t="s">
        <v>340</v>
      </c>
      <c r="B44" t="s">
        <v>417</v>
      </c>
      <c r="C44" t="s">
        <v>387</v>
      </c>
      <c r="D44" t="s">
        <v>1992</v>
      </c>
      <c r="E44" t="s">
        <v>389</v>
      </c>
      <c r="F44" t="s">
        <v>447</v>
      </c>
      <c r="G44" t="s">
        <v>109</v>
      </c>
      <c r="H44" t="s">
        <v>386</v>
      </c>
      <c r="I44" t="s">
        <v>109</v>
      </c>
    </row>
    <row r="45">
      <c r="A45" t="s">
        <v>340</v>
      </c>
      <c r="B45" t="s">
        <v>417</v>
      </c>
      <c r="C45" t="s">
        <v>391</v>
      </c>
      <c r="D45" t="s">
        <v>1993</v>
      </c>
      <c r="E45" t="s">
        <v>389</v>
      </c>
      <c r="F45" t="s">
        <v>461</v>
      </c>
      <c r="G45" t="s">
        <v>109</v>
      </c>
      <c r="H45" t="s">
        <v>386</v>
      </c>
      <c r="I45" t="s">
        <v>109</v>
      </c>
    </row>
    <row r="46">
      <c r="A46" t="s">
        <v>340</v>
      </c>
      <c r="B46" t="s">
        <v>417</v>
      </c>
      <c r="C46" t="s">
        <v>394</v>
      </c>
      <c r="D46" t="s">
        <v>1994</v>
      </c>
      <c r="E46" t="s">
        <v>396</v>
      </c>
      <c r="F46" t="s">
        <v>1809</v>
      </c>
      <c r="G46" t="s">
        <v>109</v>
      </c>
      <c r="H46" t="s">
        <v>386</v>
      </c>
      <c r="I46" t="s">
        <v>109</v>
      </c>
    </row>
    <row r="47">
      <c r="A47" t="s">
        <v>340</v>
      </c>
      <c r="B47" t="s">
        <v>417</v>
      </c>
      <c r="C47" t="s">
        <v>398</v>
      </c>
      <c r="D47" t="s">
        <v>1995</v>
      </c>
      <c r="E47" t="s">
        <v>396</v>
      </c>
      <c r="F47" t="s">
        <v>420</v>
      </c>
      <c r="G47" t="s">
        <v>109</v>
      </c>
      <c r="H47" t="s">
        <v>386</v>
      </c>
      <c r="I47" t="s">
        <v>109</v>
      </c>
    </row>
    <row r="48">
      <c r="A48" t="s">
        <v>340</v>
      </c>
      <c r="B48" t="s">
        <v>417</v>
      </c>
      <c r="C48" t="s">
        <v>401</v>
      </c>
      <c r="D48" t="s">
        <v>1996</v>
      </c>
      <c r="E48" t="s">
        <v>396</v>
      </c>
      <c r="F48" t="s">
        <v>458</v>
      </c>
      <c r="G48" t="s">
        <v>109</v>
      </c>
      <c r="H48" t="s">
        <v>386</v>
      </c>
      <c r="I48" t="s">
        <v>109</v>
      </c>
    </row>
    <row r="49">
      <c r="A49" t="s">
        <v>340</v>
      </c>
      <c r="B49" t="s">
        <v>417</v>
      </c>
      <c r="C49" t="s">
        <v>404</v>
      </c>
      <c r="D49" t="s">
        <v>1997</v>
      </c>
      <c r="E49" t="s">
        <v>396</v>
      </c>
      <c r="F49" t="s">
        <v>494</v>
      </c>
      <c r="G49" t="s">
        <v>109</v>
      </c>
      <c r="H49" t="s">
        <v>386</v>
      </c>
      <c r="I49" t="s">
        <v>109</v>
      </c>
    </row>
    <row r="50">
      <c r="A50" t="s">
        <v>340</v>
      </c>
      <c r="B50" t="s">
        <v>417</v>
      </c>
      <c r="C50" t="s">
        <v>407</v>
      </c>
      <c r="D50" t="s">
        <v>1998</v>
      </c>
      <c r="E50" t="s">
        <v>396</v>
      </c>
      <c r="F50" t="s">
        <v>468</v>
      </c>
      <c r="G50" t="s">
        <v>109</v>
      </c>
      <c r="H50" t="s">
        <v>386</v>
      </c>
      <c r="I50" t="s">
        <v>109</v>
      </c>
    </row>
    <row r="51">
      <c r="A51" t="s">
        <v>340</v>
      </c>
      <c r="B51" t="s">
        <v>417</v>
      </c>
      <c r="C51" t="s">
        <v>409</v>
      </c>
      <c r="D51" t="s">
        <v>1999</v>
      </c>
      <c r="E51" t="s">
        <v>396</v>
      </c>
      <c r="F51" t="s">
        <v>476</v>
      </c>
      <c r="G51" t="s">
        <v>109</v>
      </c>
      <c r="H51" t="s">
        <v>386</v>
      </c>
      <c r="I51" t="s">
        <v>109</v>
      </c>
    </row>
    <row r="52">
      <c r="A52" t="s">
        <v>340</v>
      </c>
      <c r="B52" t="s">
        <v>417</v>
      </c>
      <c r="C52" t="s">
        <v>412</v>
      </c>
      <c r="D52" t="s">
        <v>2000</v>
      </c>
      <c r="E52" t="s">
        <v>396</v>
      </c>
      <c r="F52" t="s">
        <v>426</v>
      </c>
      <c r="G52" t="s">
        <v>109</v>
      </c>
      <c r="H52" t="s">
        <v>386</v>
      </c>
      <c r="I52" t="s">
        <v>109</v>
      </c>
    </row>
    <row r="53">
      <c r="A53" t="s">
        <v>340</v>
      </c>
      <c r="B53" t="s">
        <v>417</v>
      </c>
      <c r="C53" t="s">
        <v>415</v>
      </c>
      <c r="D53" t="s">
        <v>2001</v>
      </c>
      <c r="E53" t="s">
        <v>478</v>
      </c>
      <c r="F53" t="s">
        <v>460</v>
      </c>
      <c r="G53" t="s">
        <v>109</v>
      </c>
      <c r="H53" t="s">
        <v>1654</v>
      </c>
      <c r="I53" t="s">
        <v>109</v>
      </c>
    </row>
    <row r="54">
      <c r="A54" t="s">
        <v>350</v>
      </c>
      <c r="B54" t="s">
        <v>417</v>
      </c>
      <c r="C54" t="s">
        <v>319</v>
      </c>
      <c r="D54" t="s">
        <v>2002</v>
      </c>
      <c r="E54" t="s">
        <v>384</v>
      </c>
      <c r="F54" t="s">
        <v>423</v>
      </c>
      <c r="G54" t="s">
        <v>109</v>
      </c>
      <c r="H54" t="s">
        <v>386</v>
      </c>
      <c r="I54" t="s">
        <v>109</v>
      </c>
    </row>
    <row r="55">
      <c r="A55" t="s">
        <v>350</v>
      </c>
      <c r="B55" t="s">
        <v>417</v>
      </c>
      <c r="C55" t="s">
        <v>387</v>
      </c>
      <c r="D55" t="s">
        <v>2003</v>
      </c>
      <c r="E55" t="s">
        <v>389</v>
      </c>
      <c r="F55" t="s">
        <v>393</v>
      </c>
      <c r="G55" t="s">
        <v>109</v>
      </c>
      <c r="H55" t="s">
        <v>386</v>
      </c>
      <c r="I55" t="s">
        <v>109</v>
      </c>
    </row>
    <row r="56">
      <c r="A56" t="s">
        <v>350</v>
      </c>
      <c r="B56" t="s">
        <v>417</v>
      </c>
      <c r="C56" t="s">
        <v>391</v>
      </c>
      <c r="D56" t="s">
        <v>2004</v>
      </c>
      <c r="E56" t="s">
        <v>518</v>
      </c>
      <c r="F56" t="s">
        <v>1830</v>
      </c>
      <c r="G56" t="s">
        <v>109</v>
      </c>
      <c r="H56" t="s">
        <v>386</v>
      </c>
      <c r="I56" t="s">
        <v>109</v>
      </c>
    </row>
    <row r="57">
      <c r="A57" t="s">
        <v>350</v>
      </c>
      <c r="B57" t="s">
        <v>417</v>
      </c>
      <c r="C57" t="s">
        <v>394</v>
      </c>
      <c r="D57" t="s">
        <v>2005</v>
      </c>
      <c r="E57" t="s">
        <v>396</v>
      </c>
      <c r="F57" t="s">
        <v>1629</v>
      </c>
      <c r="G57" t="s">
        <v>109</v>
      </c>
      <c r="H57" t="s">
        <v>386</v>
      </c>
      <c r="I57" t="s">
        <v>109</v>
      </c>
    </row>
    <row r="58">
      <c r="A58" t="s">
        <v>350</v>
      </c>
      <c r="B58" t="s">
        <v>417</v>
      </c>
      <c r="C58" t="s">
        <v>398</v>
      </c>
      <c r="D58" t="s">
        <v>2006</v>
      </c>
      <c r="E58" t="s">
        <v>396</v>
      </c>
      <c r="F58" t="s">
        <v>1654</v>
      </c>
      <c r="G58" t="s">
        <v>109</v>
      </c>
      <c r="H58" t="s">
        <v>386</v>
      </c>
      <c r="I58" t="s">
        <v>109</v>
      </c>
    </row>
    <row r="59">
      <c r="A59" t="s">
        <v>350</v>
      </c>
      <c r="B59" t="s">
        <v>417</v>
      </c>
      <c r="C59" t="s">
        <v>401</v>
      </c>
      <c r="D59" t="s">
        <v>542</v>
      </c>
      <c r="E59" t="s">
        <v>527</v>
      </c>
      <c r="F59" t="s">
        <v>109</v>
      </c>
      <c r="G59" t="s">
        <v>109</v>
      </c>
      <c r="H59" t="s">
        <v>109</v>
      </c>
      <c r="I59" t="s">
        <v>2007</v>
      </c>
    </row>
    <row r="60">
      <c r="A60" t="s">
        <v>350</v>
      </c>
      <c r="B60" t="s">
        <v>417</v>
      </c>
      <c r="C60" t="s">
        <v>404</v>
      </c>
      <c r="D60" t="s">
        <v>542</v>
      </c>
      <c r="E60" t="s">
        <v>527</v>
      </c>
      <c r="F60" t="s">
        <v>109</v>
      </c>
      <c r="G60" t="s">
        <v>109</v>
      </c>
      <c r="H60" t="s">
        <v>109</v>
      </c>
      <c r="I60" t="s">
        <v>2008</v>
      </c>
    </row>
    <row r="61">
      <c r="A61" t="s">
        <v>350</v>
      </c>
      <c r="B61" t="s">
        <v>417</v>
      </c>
      <c r="C61" t="s">
        <v>407</v>
      </c>
      <c r="D61" t="s">
        <v>542</v>
      </c>
      <c r="E61" t="s">
        <v>527</v>
      </c>
      <c r="F61" t="s">
        <v>109</v>
      </c>
      <c r="G61" t="s">
        <v>109</v>
      </c>
      <c r="H61" t="s">
        <v>109</v>
      </c>
      <c r="I61" t="s">
        <v>2009</v>
      </c>
    </row>
    <row r="62">
      <c r="A62" t="s">
        <v>350</v>
      </c>
      <c r="B62" t="s">
        <v>417</v>
      </c>
      <c r="C62" t="s">
        <v>409</v>
      </c>
      <c r="D62" t="s">
        <v>542</v>
      </c>
      <c r="E62" t="s">
        <v>527</v>
      </c>
      <c r="F62" t="s">
        <v>109</v>
      </c>
      <c r="G62" t="s">
        <v>109</v>
      </c>
      <c r="H62" t="s">
        <v>109</v>
      </c>
      <c r="I62" t="s">
        <v>528</v>
      </c>
    </row>
    <row r="63">
      <c r="A63" t="s">
        <v>350</v>
      </c>
      <c r="B63" t="s">
        <v>417</v>
      </c>
      <c r="C63" t="s">
        <v>412</v>
      </c>
      <c r="D63" t="s">
        <v>542</v>
      </c>
      <c r="E63" t="s">
        <v>527</v>
      </c>
      <c r="F63" t="s">
        <v>109</v>
      </c>
      <c r="G63" t="s">
        <v>109</v>
      </c>
      <c r="H63" t="s">
        <v>109</v>
      </c>
      <c r="I63" t="s">
        <v>529</v>
      </c>
    </row>
    <row r="64">
      <c r="A64" t="s">
        <v>350</v>
      </c>
      <c r="B64" t="s">
        <v>417</v>
      </c>
      <c r="C64" t="s">
        <v>415</v>
      </c>
      <c r="D64" t="s">
        <v>542</v>
      </c>
      <c r="E64" t="s">
        <v>527</v>
      </c>
      <c r="F64" t="s">
        <v>109</v>
      </c>
      <c r="G64" t="s">
        <v>109</v>
      </c>
      <c r="H64" t="s">
        <v>109</v>
      </c>
      <c r="I64" t="s">
        <v>530</v>
      </c>
    </row>
    <row r="66">
      <c r="A66" s="1" t="s">
        <v>555</v>
      </c>
    </row>
    <row r="67">
      <c r="A67" t="s">
        <v>312</v>
      </c>
      <c r="B67" t="s">
        <v>556</v>
      </c>
      <c r="C67" t="s">
        <v>313</v>
      </c>
      <c r="D67" t="s">
        <v>314</v>
      </c>
      <c r="E67" t="s">
        <v>557</v>
      </c>
      <c r="F67" t="s">
        <v>558</v>
      </c>
      <c r="G67" t="s">
        <v>559</v>
      </c>
      <c r="H67" t="s">
        <v>560</v>
      </c>
      <c r="I67" t="s">
        <v>42</v>
      </c>
      <c r="J67" t="s">
        <v>561</v>
      </c>
      <c r="K67" t="s">
        <v>41</v>
      </c>
      <c r="L67" t="s">
        <v>562</v>
      </c>
      <c r="M67" t="s">
        <v>1</v>
      </c>
    </row>
    <row r="68">
      <c r="A68" t="s">
        <v>30</v>
      </c>
      <c r="B68" t="s">
        <v>394</v>
      </c>
      <c r="C68" t="n">
        <v>119</v>
      </c>
      <c r="D68" t="n">
        <v>83</v>
      </c>
      <c r="E68" s="31" t="n">
        <v>10.9243697478992</v>
      </c>
      <c r="F68" s="31" t="n">
        <v>84.8739495798319</v>
      </c>
      <c r="G68" t="n">
        <v>88</v>
      </c>
      <c r="H68" t="n">
        <v>0</v>
      </c>
      <c r="I68" t="s">
        <v>563</v>
      </c>
      <c r="J68" s="29" t="n">
        <v>56.9411764705882</v>
      </c>
      <c r="K68" t="s">
        <v>50</v>
      </c>
      <c r="L68" t="s">
        <v>50</v>
      </c>
      <c r="M68" t="s">
        <v>109</v>
      </c>
    </row>
    <row r="69">
      <c r="A69" t="s">
        <v>30</v>
      </c>
      <c r="B69" t="s">
        <v>398</v>
      </c>
      <c r="C69" t="n">
        <v>119</v>
      </c>
      <c r="D69" t="n">
        <v>83</v>
      </c>
      <c r="E69" s="31" t="n">
        <v>36.9747899159664</v>
      </c>
      <c r="F69" s="31" t="n">
        <v>97.4789915966387</v>
      </c>
      <c r="G69" t="n">
        <v>72</v>
      </c>
      <c r="H69" t="n">
        <v>0</v>
      </c>
      <c r="I69" t="s">
        <v>563</v>
      </c>
      <c r="J69" s="29" t="n">
        <v>48</v>
      </c>
      <c r="K69" t="s">
        <v>50</v>
      </c>
      <c r="L69" t="s">
        <v>50</v>
      </c>
      <c r="M69" t="s">
        <v>109</v>
      </c>
    </row>
    <row r="70">
      <c r="A70" t="s">
        <v>30</v>
      </c>
      <c r="B70" t="s">
        <v>401</v>
      </c>
      <c r="C70" t="n">
        <v>119</v>
      </c>
      <c r="D70" t="n">
        <v>83</v>
      </c>
      <c r="E70" s="31" t="n">
        <v>59.6638655462185</v>
      </c>
      <c r="F70" s="31" t="n">
        <v>100</v>
      </c>
      <c r="G70" t="n">
        <v>48</v>
      </c>
      <c r="H70" t="n">
        <v>0</v>
      </c>
      <c r="I70" t="s">
        <v>563</v>
      </c>
      <c r="J70" s="29" t="n">
        <v>33.8823529411765</v>
      </c>
      <c r="K70" t="s">
        <v>50</v>
      </c>
      <c r="L70" t="s">
        <v>50</v>
      </c>
      <c r="M70" t="s">
        <v>109</v>
      </c>
    </row>
    <row r="71">
      <c r="A71" t="s">
        <v>30</v>
      </c>
      <c r="B71" t="s">
        <v>404</v>
      </c>
      <c r="C71" t="n">
        <v>119</v>
      </c>
      <c r="D71" t="n">
        <v>83</v>
      </c>
      <c r="E71" s="31" t="n">
        <v>76.4705882352941</v>
      </c>
      <c r="F71" s="31" t="n">
        <v>100</v>
      </c>
      <c r="G71" t="n">
        <v>28</v>
      </c>
      <c r="H71" t="n">
        <v>0</v>
      </c>
      <c r="I71" t="s">
        <v>563</v>
      </c>
      <c r="J71" s="29" t="n">
        <v>20.6315789473684</v>
      </c>
      <c r="K71" t="s">
        <v>50</v>
      </c>
      <c r="L71" t="s">
        <v>50</v>
      </c>
      <c r="M71" t="s">
        <v>109</v>
      </c>
    </row>
    <row r="72">
      <c r="A72" t="s">
        <v>30</v>
      </c>
      <c r="B72" t="s">
        <v>407</v>
      </c>
      <c r="C72" t="n">
        <v>119</v>
      </c>
      <c r="D72" t="n">
        <v>83</v>
      </c>
      <c r="E72" s="31" t="n">
        <v>84.0336134453782</v>
      </c>
      <c r="F72" s="31" t="n">
        <v>100</v>
      </c>
      <c r="G72" t="n">
        <v>19</v>
      </c>
      <c r="H72" t="n">
        <v>0</v>
      </c>
      <c r="I72" t="s">
        <v>564</v>
      </c>
      <c r="J72" s="29"/>
      <c r="K72" t="s">
        <v>50</v>
      </c>
      <c r="L72" t="s">
        <v>50</v>
      </c>
      <c r="M72" t="s">
        <v>109</v>
      </c>
    </row>
    <row r="73">
      <c r="A73" t="s">
        <v>30</v>
      </c>
      <c r="B73" t="s">
        <v>409</v>
      </c>
      <c r="C73" t="n">
        <v>119</v>
      </c>
      <c r="D73" t="n">
        <v>83</v>
      </c>
      <c r="E73" s="31" t="n">
        <v>91.5966386554622</v>
      </c>
      <c r="F73" s="31" t="n">
        <v>100</v>
      </c>
      <c r="G73" t="n">
        <v>10</v>
      </c>
      <c r="H73" t="n">
        <v>0</v>
      </c>
      <c r="I73" t="s">
        <v>564</v>
      </c>
      <c r="J73" s="29"/>
      <c r="K73" t="s">
        <v>371</v>
      </c>
      <c r="L73" t="s">
        <v>372</v>
      </c>
      <c r="M73" t="s">
        <v>109</v>
      </c>
    </row>
    <row r="74">
      <c r="A74" t="s">
        <v>30</v>
      </c>
      <c r="B74" t="s">
        <v>412</v>
      </c>
      <c r="C74" t="n">
        <v>119</v>
      </c>
      <c r="D74" t="n">
        <v>83</v>
      </c>
      <c r="E74" s="31" t="n">
        <v>94.9579831932773</v>
      </c>
      <c r="F74" s="31" t="n">
        <v>100</v>
      </c>
      <c r="G74" t="n">
        <v>6</v>
      </c>
      <c r="H74" t="n">
        <v>0</v>
      </c>
      <c r="I74" t="s">
        <v>565</v>
      </c>
      <c r="J74" s="29"/>
      <c r="K74" t="s">
        <v>198</v>
      </c>
      <c r="L74" t="s">
        <v>481</v>
      </c>
      <c r="M74" t="s">
        <v>109</v>
      </c>
    </row>
    <row r="75">
      <c r="A75" t="s">
        <v>30</v>
      </c>
      <c r="B75" t="s">
        <v>415</v>
      </c>
      <c r="C75" t="n">
        <v>119</v>
      </c>
      <c r="D75" t="n">
        <v>83</v>
      </c>
      <c r="E75" s="31" t="n">
        <v>98.3193277310924</v>
      </c>
      <c r="F75" s="31" t="n">
        <v>100</v>
      </c>
      <c r="G75" t="n">
        <v>2</v>
      </c>
      <c r="H75" t="n">
        <v>0</v>
      </c>
      <c r="I75" t="s">
        <v>565</v>
      </c>
      <c r="J75" s="29"/>
      <c r="K75" t="s">
        <v>2010</v>
      </c>
      <c r="L75" t="s">
        <v>2010</v>
      </c>
      <c r="M75" t="s">
        <v>109</v>
      </c>
    </row>
    <row r="76">
      <c r="A76" t="s">
        <v>31</v>
      </c>
      <c r="B76" t="s">
        <v>394</v>
      </c>
      <c r="C76" t="n">
        <v>91</v>
      </c>
      <c r="D76" t="n">
        <v>64</v>
      </c>
      <c r="E76" s="31" t="n">
        <v>17.5824175824176</v>
      </c>
      <c r="F76" s="31" t="n">
        <v>89.010989010989</v>
      </c>
      <c r="G76" t="n">
        <v>65</v>
      </c>
      <c r="H76" t="n">
        <v>0</v>
      </c>
      <c r="I76" t="s">
        <v>563</v>
      </c>
      <c r="J76" s="29" t="n">
        <v>42.6767676767677</v>
      </c>
      <c r="K76" t="s">
        <v>50</v>
      </c>
      <c r="L76" t="s">
        <v>50</v>
      </c>
      <c r="M76" t="s">
        <v>109</v>
      </c>
    </row>
    <row r="77">
      <c r="A77" t="s">
        <v>31</v>
      </c>
      <c r="B77" t="s">
        <v>398</v>
      </c>
      <c r="C77" t="n">
        <v>91</v>
      </c>
      <c r="D77" t="n">
        <v>64</v>
      </c>
      <c r="E77" s="31" t="n">
        <v>38.4615384615385</v>
      </c>
      <c r="F77" s="31" t="n">
        <v>98.9010989010989</v>
      </c>
      <c r="G77" t="n">
        <v>55</v>
      </c>
      <c r="H77" t="n">
        <v>0</v>
      </c>
      <c r="I77" t="s">
        <v>563</v>
      </c>
      <c r="J77" s="29" t="n">
        <v>39.2857142857143</v>
      </c>
      <c r="K77" t="s">
        <v>50</v>
      </c>
      <c r="L77" t="s">
        <v>50</v>
      </c>
      <c r="M77" t="s">
        <v>109</v>
      </c>
    </row>
    <row r="78">
      <c r="A78" t="s">
        <v>31</v>
      </c>
      <c r="B78" t="s">
        <v>401</v>
      </c>
      <c r="C78" t="n">
        <v>91</v>
      </c>
      <c r="D78" t="n">
        <v>64</v>
      </c>
      <c r="E78" s="31" t="n">
        <v>61.5384615384615</v>
      </c>
      <c r="F78" s="31" t="n">
        <v>100</v>
      </c>
      <c r="G78" t="n">
        <v>35</v>
      </c>
      <c r="H78" t="n">
        <v>0</v>
      </c>
      <c r="I78" t="s">
        <v>563</v>
      </c>
      <c r="J78" s="29" t="n">
        <v>24.0196078431373</v>
      </c>
      <c r="K78" t="s">
        <v>50</v>
      </c>
      <c r="L78" t="s">
        <v>50</v>
      </c>
      <c r="M78" t="s">
        <v>109</v>
      </c>
    </row>
    <row r="79">
      <c r="A79" t="s">
        <v>31</v>
      </c>
      <c r="B79" t="s">
        <v>404</v>
      </c>
      <c r="C79" t="n">
        <v>91</v>
      </c>
      <c r="D79" t="n">
        <v>64</v>
      </c>
      <c r="E79" s="31" t="n">
        <v>76.9230769230769</v>
      </c>
      <c r="F79" s="31" t="n">
        <v>100</v>
      </c>
      <c r="G79" t="n">
        <v>21</v>
      </c>
      <c r="H79" t="n">
        <v>0</v>
      </c>
      <c r="I79" t="s">
        <v>564</v>
      </c>
      <c r="J79" s="29"/>
      <c r="K79" t="s">
        <v>50</v>
      </c>
      <c r="L79" t="s">
        <v>50</v>
      </c>
      <c r="M79" t="s">
        <v>109</v>
      </c>
    </row>
    <row r="80">
      <c r="A80" t="s">
        <v>31</v>
      </c>
      <c r="B80" t="s">
        <v>407</v>
      </c>
      <c r="C80" t="n">
        <v>91</v>
      </c>
      <c r="D80" t="n">
        <v>64</v>
      </c>
      <c r="E80" s="31" t="n">
        <v>85.7142857142857</v>
      </c>
      <c r="F80" s="31" t="n">
        <v>100</v>
      </c>
      <c r="G80" t="n">
        <v>13</v>
      </c>
      <c r="H80" t="n">
        <v>0</v>
      </c>
      <c r="I80" t="s">
        <v>564</v>
      </c>
      <c r="J80" s="29"/>
      <c r="K80" t="s">
        <v>50</v>
      </c>
      <c r="L80" t="s">
        <v>50</v>
      </c>
      <c r="M80" t="s">
        <v>109</v>
      </c>
    </row>
    <row r="81">
      <c r="A81" t="s">
        <v>31</v>
      </c>
      <c r="B81" t="s">
        <v>409</v>
      </c>
      <c r="C81" t="n">
        <v>91</v>
      </c>
      <c r="D81" t="n">
        <v>64</v>
      </c>
      <c r="E81" s="31" t="n">
        <v>96.7032967032967</v>
      </c>
      <c r="F81" s="31" t="n">
        <v>100</v>
      </c>
      <c r="G81" t="n">
        <v>3</v>
      </c>
      <c r="H81" t="n">
        <v>0</v>
      </c>
      <c r="I81" t="s">
        <v>565</v>
      </c>
      <c r="J81" s="29"/>
      <c r="K81" t="s">
        <v>400</v>
      </c>
      <c r="L81" t="s">
        <v>400</v>
      </c>
      <c r="M81" t="s">
        <v>109</v>
      </c>
    </row>
    <row r="82">
      <c r="A82" t="s">
        <v>31</v>
      </c>
      <c r="B82" t="s">
        <v>412</v>
      </c>
      <c r="C82" t="n">
        <v>91</v>
      </c>
      <c r="D82" t="n">
        <v>64</v>
      </c>
      <c r="E82" s="31" t="n">
        <v>100</v>
      </c>
      <c r="F82" s="31" t="n">
        <v>100</v>
      </c>
      <c r="G82" t="n">
        <v>0</v>
      </c>
      <c r="H82" t="n">
        <v>0</v>
      </c>
      <c r="I82" t="s">
        <v>527</v>
      </c>
      <c r="J82" s="29"/>
      <c r="K82" t="s">
        <v>109</v>
      </c>
      <c r="L82" t="s">
        <v>109</v>
      </c>
      <c r="M82" t="s">
        <v>566</v>
      </c>
    </row>
    <row r="83">
      <c r="A83" t="s">
        <v>31</v>
      </c>
      <c r="B83" t="s">
        <v>415</v>
      </c>
      <c r="C83" t="n">
        <v>91</v>
      </c>
      <c r="D83" t="n">
        <v>64</v>
      </c>
      <c r="E83" s="31" t="n">
        <v>100</v>
      </c>
      <c r="F83" s="31" t="n">
        <v>100</v>
      </c>
      <c r="G83" t="n">
        <v>0</v>
      </c>
      <c r="H83" t="n">
        <v>0</v>
      </c>
      <c r="I83" t="s">
        <v>527</v>
      </c>
      <c r="J83" s="29"/>
      <c r="K83" t="s">
        <v>109</v>
      </c>
      <c r="L83" t="s">
        <v>109</v>
      </c>
      <c r="M83" t="s">
        <v>566</v>
      </c>
    </row>
    <row r="85">
      <c r="A85" s="1" t="s">
        <v>569</v>
      </c>
    </row>
    <row r="86">
      <c r="A86" t="s">
        <v>311</v>
      </c>
      <c r="B86" t="s">
        <v>312</v>
      </c>
      <c r="C86" t="s">
        <v>302</v>
      </c>
      <c r="D86" t="s">
        <v>313</v>
      </c>
      <c r="E86" t="s">
        <v>315</v>
      </c>
      <c r="F86" t="s">
        <v>316</v>
      </c>
      <c r="G86" t="s">
        <v>319</v>
      </c>
    </row>
    <row r="87">
      <c r="A87" t="s">
        <v>330</v>
      </c>
      <c r="B87" t="s">
        <v>30</v>
      </c>
      <c r="C87" t="s">
        <v>307</v>
      </c>
      <c r="D87" t="n">
        <v>69</v>
      </c>
      <c r="E87" s="29" t="n">
        <v>-0.370998838278524</v>
      </c>
      <c r="F87" s="29" t="n">
        <v>0.0035234499586759</v>
      </c>
      <c r="G87" t="s">
        <v>2011</v>
      </c>
    </row>
    <row r="88">
      <c r="A88" t="s">
        <v>330</v>
      </c>
      <c r="B88" t="s">
        <v>30</v>
      </c>
      <c r="C88" t="s">
        <v>308</v>
      </c>
      <c r="D88" t="n">
        <v>68</v>
      </c>
      <c r="E88" s="29" t="n">
        <v>-0.466568601478516</v>
      </c>
      <c r="F88" s="29" t="n">
        <v>-0.00315101899129968</v>
      </c>
      <c r="G88" t="s">
        <v>2012</v>
      </c>
    </row>
    <row r="89">
      <c r="A89" t="s">
        <v>330</v>
      </c>
      <c r="B89" t="s">
        <v>31</v>
      </c>
      <c r="C89" t="s">
        <v>307</v>
      </c>
      <c r="D89" t="n">
        <v>45</v>
      </c>
      <c r="E89" s="29" t="n">
        <v>-0.296607338631807</v>
      </c>
      <c r="F89" s="29" t="n">
        <v>-0.0272937696208991</v>
      </c>
      <c r="G89" t="s">
        <v>2013</v>
      </c>
    </row>
    <row r="90">
      <c r="A90" t="s">
        <v>330</v>
      </c>
      <c r="B90" t="s">
        <v>31</v>
      </c>
      <c r="C90" t="s">
        <v>308</v>
      </c>
      <c r="D90" t="n">
        <v>52</v>
      </c>
      <c r="E90" s="29" t="n">
        <v>-0.343960535988622</v>
      </c>
      <c r="F90" s="29" t="n">
        <v>-0.0336455739165785</v>
      </c>
      <c r="G90" t="s">
        <v>2014</v>
      </c>
    </row>
    <row r="91">
      <c r="A91" t="s">
        <v>340</v>
      </c>
      <c r="B91" t="s">
        <v>30</v>
      </c>
      <c r="C91" t="s">
        <v>307</v>
      </c>
      <c r="D91" t="n">
        <v>61</v>
      </c>
      <c r="E91" s="29" t="n">
        <v>0.409004792661623</v>
      </c>
      <c r="F91" s="29" t="n">
        <v>0.0695072682807258</v>
      </c>
      <c r="G91" t="s">
        <v>2015</v>
      </c>
    </row>
    <row r="92">
      <c r="A92" t="s">
        <v>340</v>
      </c>
      <c r="B92" t="s">
        <v>30</v>
      </c>
      <c r="C92" t="s">
        <v>308</v>
      </c>
      <c r="D92" t="n">
        <v>58</v>
      </c>
      <c r="E92" s="29" t="n">
        <v>0.490696620477454</v>
      </c>
      <c r="F92" s="29" t="n">
        <v>-0.0364895038506103</v>
      </c>
      <c r="G92" t="s">
        <v>2016</v>
      </c>
    </row>
    <row r="93">
      <c r="A93" t="s">
        <v>340</v>
      </c>
      <c r="B93" t="s">
        <v>31</v>
      </c>
      <c r="C93" t="s">
        <v>307</v>
      </c>
      <c r="D93" t="n">
        <v>42</v>
      </c>
      <c r="E93" s="29" t="n">
        <v>0.238917568865821</v>
      </c>
      <c r="F93" s="29" t="n">
        <v>0.0923494259769971</v>
      </c>
      <c r="G93" t="s">
        <v>2017</v>
      </c>
    </row>
    <row r="94">
      <c r="A94" t="s">
        <v>340</v>
      </c>
      <c r="B94" t="s">
        <v>31</v>
      </c>
      <c r="C94" t="s">
        <v>308</v>
      </c>
      <c r="D94" t="n">
        <v>49</v>
      </c>
      <c r="E94" s="29" t="n">
        <v>0.296274629753865</v>
      </c>
      <c r="F94" s="29" t="n">
        <v>0.0287776941321405</v>
      </c>
      <c r="G94" t="s">
        <v>2018</v>
      </c>
    </row>
    <row r="95">
      <c r="A95" t="s">
        <v>350</v>
      </c>
      <c r="B95" t="s">
        <v>30</v>
      </c>
      <c r="C95" t="s">
        <v>307</v>
      </c>
      <c r="D95" t="n">
        <v>61</v>
      </c>
      <c r="E95" s="29" t="n">
        <v>-0.0300308232643091</v>
      </c>
      <c r="F95" s="29" t="n">
        <v>0.0517608995021619</v>
      </c>
      <c r="G95" t="s">
        <v>2019</v>
      </c>
    </row>
    <row r="96">
      <c r="A96" t="s">
        <v>350</v>
      </c>
      <c r="B96" t="s">
        <v>30</v>
      </c>
      <c r="C96" t="s">
        <v>308</v>
      </c>
      <c r="D96" t="n">
        <v>58</v>
      </c>
      <c r="E96" s="29" t="n">
        <v>-0.0388201913145715</v>
      </c>
      <c r="F96" s="29" t="n">
        <v>-0.0286035627297346</v>
      </c>
      <c r="G96" t="s">
        <v>2020</v>
      </c>
    </row>
    <row r="97">
      <c r="A97" t="s">
        <v>350</v>
      </c>
      <c r="B97" t="s">
        <v>31</v>
      </c>
      <c r="C97" t="s">
        <v>307</v>
      </c>
      <c r="D97" t="n">
        <v>42</v>
      </c>
      <c r="E97" s="29" t="n">
        <v>-0.00559888079108688</v>
      </c>
      <c r="F97" s="29" t="n">
        <v>0.0204891619722995</v>
      </c>
      <c r="G97" t="s">
        <v>2021</v>
      </c>
    </row>
    <row r="98">
      <c r="A98" t="s">
        <v>350</v>
      </c>
      <c r="B98" t="s">
        <v>31</v>
      </c>
      <c r="C98" t="s">
        <v>308</v>
      </c>
      <c r="D98" t="n">
        <v>49</v>
      </c>
      <c r="E98" s="29" t="n">
        <v>-0.0275038413617747</v>
      </c>
      <c r="F98" s="29" t="n">
        <v>-0.0154317521666832</v>
      </c>
      <c r="G98" t="s">
        <v>2022</v>
      </c>
    </row>
    <row r="100">
      <c r="A100" s="1" t="s">
        <v>587</v>
      </c>
    </row>
    <row r="101">
      <c r="A101" t="s">
        <v>311</v>
      </c>
      <c r="B101" t="s">
        <v>312</v>
      </c>
      <c r="C101" t="s">
        <v>588</v>
      </c>
      <c r="D101" t="s">
        <v>589</v>
      </c>
      <c r="E101" t="s">
        <v>590</v>
      </c>
      <c r="F101" t="s">
        <v>591</v>
      </c>
    </row>
    <row r="102">
      <c r="A102" t="s">
        <v>330</v>
      </c>
      <c r="B102" t="s">
        <v>30</v>
      </c>
      <c r="C102" t="s">
        <v>592</v>
      </c>
      <c r="D102" t="n">
        <v>1</v>
      </c>
      <c r="E102" s="29" t="n">
        <v>1.37901881881176</v>
      </c>
      <c r="F102" s="29" t="n">
        <v>-1.0774075818199</v>
      </c>
    </row>
    <row r="103">
      <c r="A103" t="s">
        <v>330</v>
      </c>
      <c r="B103" t="s">
        <v>30</v>
      </c>
      <c r="C103" t="s">
        <v>592</v>
      </c>
      <c r="D103" t="n">
        <v>2</v>
      </c>
      <c r="E103" s="29" t="n">
        <v>0.927358712408108</v>
      </c>
      <c r="F103" s="29" t="n">
        <v>-1.48408416827375</v>
      </c>
    </row>
    <row r="104">
      <c r="A104" t="s">
        <v>330</v>
      </c>
      <c r="B104" t="s">
        <v>30</v>
      </c>
      <c r="C104" t="s">
        <v>592</v>
      </c>
      <c r="D104" t="n">
        <v>3</v>
      </c>
      <c r="E104" s="29" t="n">
        <v>-0.618033988749895</v>
      </c>
      <c r="F104" s="29" t="n">
        <v>-1.90211303259031</v>
      </c>
    </row>
    <row r="105">
      <c r="A105" t="s">
        <v>330</v>
      </c>
      <c r="B105" t="s">
        <v>30</v>
      </c>
      <c r="C105" t="s">
        <v>592</v>
      </c>
      <c r="D105" t="n">
        <v>4</v>
      </c>
      <c r="E105" s="29" t="n">
        <v>-1.32251681765806</v>
      </c>
      <c r="F105" s="29" t="n">
        <v>-1.82028823734363</v>
      </c>
    </row>
    <row r="106">
      <c r="A106" t="s">
        <v>330</v>
      </c>
      <c r="B106" t="s">
        <v>30</v>
      </c>
      <c r="C106" t="s">
        <v>592</v>
      </c>
      <c r="D106" t="n">
        <v>5</v>
      </c>
      <c r="E106" s="29" t="n">
        <v>-2.42573931568999</v>
      </c>
      <c r="F106" s="29" t="n">
        <v>0.604804738999169</v>
      </c>
    </row>
    <row r="107">
      <c r="A107" t="s">
        <v>330</v>
      </c>
      <c r="B107" t="s">
        <v>30</v>
      </c>
      <c r="C107" t="s">
        <v>592</v>
      </c>
      <c r="D107" t="n">
        <v>6</v>
      </c>
      <c r="E107" s="29" t="n">
        <v>-0.767149506880886</v>
      </c>
      <c r="F107" s="29" t="n">
        <v>1.57288958102354</v>
      </c>
    </row>
    <row r="108">
      <c r="A108" t="s">
        <v>330</v>
      </c>
      <c r="B108" t="s">
        <v>30</v>
      </c>
      <c r="C108" t="s">
        <v>592</v>
      </c>
      <c r="D108" t="n">
        <v>7</v>
      </c>
      <c r="E108" s="29" t="n">
        <v>0.0697989934050022</v>
      </c>
      <c r="F108" s="29" t="n">
        <v>1.99878165403819</v>
      </c>
    </row>
    <row r="109">
      <c r="A109" t="s">
        <v>330</v>
      </c>
      <c r="B109" t="s">
        <v>30</v>
      </c>
      <c r="C109" t="s">
        <v>592</v>
      </c>
      <c r="D109" t="n">
        <v>8</v>
      </c>
      <c r="E109" s="29" t="n">
        <v>0.698991129338433</v>
      </c>
      <c r="F109" s="29" t="n">
        <v>1.0362969656938</v>
      </c>
    </row>
    <row r="110">
      <c r="A110" t="s">
        <v>330</v>
      </c>
      <c r="B110" t="s">
        <v>30</v>
      </c>
      <c r="C110" t="s">
        <v>592</v>
      </c>
      <c r="D110" t="n">
        <v>9</v>
      </c>
      <c r="E110" s="29" t="n">
        <v>0.939692620785908</v>
      </c>
      <c r="F110" s="29" t="n">
        <v>0.342020143325669</v>
      </c>
    </row>
    <row r="111">
      <c r="A111" t="s">
        <v>330</v>
      </c>
      <c r="B111" t="s">
        <v>30</v>
      </c>
      <c r="C111" t="s">
        <v>593</v>
      </c>
      <c r="D111" t="n">
        <v>1</v>
      </c>
      <c r="E111" s="29" t="n">
        <v>-0.262378001561688</v>
      </c>
      <c r="F111" s="29" t="n">
        <v>-0.0262368961187879</v>
      </c>
    </row>
    <row r="112">
      <c r="A112" t="s">
        <v>330</v>
      </c>
      <c r="B112" t="s">
        <v>30</v>
      </c>
      <c r="C112" t="s">
        <v>593</v>
      </c>
      <c r="D112" t="n">
        <v>2</v>
      </c>
      <c r="E112" s="29" t="n">
        <v>-0.267576649014735</v>
      </c>
      <c r="F112" s="29" t="n">
        <v>-0.0328167774224065</v>
      </c>
    </row>
    <row r="113">
      <c r="A113" t="s">
        <v>330</v>
      </c>
      <c r="B113" t="s">
        <v>30</v>
      </c>
      <c r="C113" t="s">
        <v>593</v>
      </c>
      <c r="D113" t="n">
        <v>3</v>
      </c>
      <c r="E113" s="29" t="n">
        <v>-0.321595196824988</v>
      </c>
      <c r="F113" s="29" t="n">
        <v>-0.0581443516097941</v>
      </c>
    </row>
    <row r="114">
      <c r="A114" t="s">
        <v>330</v>
      </c>
      <c r="B114" t="s">
        <v>30</v>
      </c>
      <c r="C114" t="s">
        <v>593</v>
      </c>
      <c r="D114" t="n">
        <v>4</v>
      </c>
      <c r="E114" s="29" t="n">
        <v>-0.396649297803653</v>
      </c>
      <c r="F114" s="29" t="n">
        <v>-0.0718959746695578</v>
      </c>
    </row>
    <row r="115">
      <c r="A115" t="s">
        <v>330</v>
      </c>
      <c r="B115" t="s">
        <v>30</v>
      </c>
      <c r="C115" t="s">
        <v>593</v>
      </c>
      <c r="D115" t="n">
        <v>5</v>
      </c>
      <c r="E115" s="29" t="n">
        <v>-0.502195086922561</v>
      </c>
      <c r="F115" s="29" t="n">
        <v>-0.0701460602414088</v>
      </c>
    </row>
    <row r="116">
      <c r="A116" t="s">
        <v>330</v>
      </c>
      <c r="B116" t="s">
        <v>30</v>
      </c>
      <c r="C116" t="s">
        <v>593</v>
      </c>
      <c r="D116" t="n">
        <v>6</v>
      </c>
      <c r="E116" s="29" t="n">
        <v>-0.550480696702801</v>
      </c>
      <c r="F116" s="29" t="n">
        <v>-0.0493728885041152</v>
      </c>
    </row>
    <row r="117">
      <c r="A117" t="s">
        <v>330</v>
      </c>
      <c r="B117" t="s">
        <v>30</v>
      </c>
      <c r="C117" t="s">
        <v>593</v>
      </c>
      <c r="D117" t="n">
        <v>7</v>
      </c>
      <c r="E117" s="29" t="n">
        <v>-0.581915205340041</v>
      </c>
      <c r="F117" s="29" t="n">
        <v>-0.0298078681924445</v>
      </c>
    </row>
    <row r="118">
      <c r="A118" t="s">
        <v>330</v>
      </c>
      <c r="B118" t="s">
        <v>30</v>
      </c>
      <c r="C118" t="s">
        <v>593</v>
      </c>
      <c r="D118" t="n">
        <v>8</v>
      </c>
      <c r="E118" s="29" t="n">
        <v>-0.583534467827176</v>
      </c>
      <c r="F118" s="29" t="n">
        <v>-0.0255984393061396</v>
      </c>
    </row>
    <row r="119">
      <c r="A119" t="s">
        <v>330</v>
      </c>
      <c r="B119" t="s">
        <v>30</v>
      </c>
      <c r="C119" t="s">
        <v>593</v>
      </c>
      <c r="D119" t="n">
        <v>9</v>
      </c>
      <c r="E119" s="29" t="n">
        <v>-0.589516335255859</v>
      </c>
      <c r="F119" s="29" t="n">
        <v>0.0085656480435147</v>
      </c>
    </row>
    <row r="120">
      <c r="A120" t="s">
        <v>330</v>
      </c>
      <c r="B120" t="s">
        <v>30</v>
      </c>
      <c r="C120" t="s">
        <v>593</v>
      </c>
      <c r="D120" t="n">
        <v>10</v>
      </c>
      <c r="E120" s="29" t="n">
        <v>-0.587561591034535</v>
      </c>
      <c r="F120" s="29" t="n">
        <v>0.010882430163195</v>
      </c>
    </row>
    <row r="121">
      <c r="A121" t="s">
        <v>330</v>
      </c>
      <c r="B121" t="s">
        <v>30</v>
      </c>
      <c r="C121" t="s">
        <v>593</v>
      </c>
      <c r="D121" t="n">
        <v>11</v>
      </c>
      <c r="E121" s="29" t="n">
        <v>-0.545650836595522</v>
      </c>
      <c r="F121" s="29" t="n">
        <v>0.0432845148661428</v>
      </c>
    </row>
    <row r="122">
      <c r="A122" t="s">
        <v>330</v>
      </c>
      <c r="B122" t="s">
        <v>30</v>
      </c>
      <c r="C122" t="s">
        <v>593</v>
      </c>
      <c r="D122" t="n">
        <v>12</v>
      </c>
      <c r="E122" s="29" t="n">
        <v>-0.524359450691843</v>
      </c>
      <c r="F122" s="29" t="n">
        <v>0.0563216386827201</v>
      </c>
    </row>
    <row r="123">
      <c r="A123" t="s">
        <v>330</v>
      </c>
      <c r="B123" t="s">
        <v>30</v>
      </c>
      <c r="C123" t="s">
        <v>593</v>
      </c>
      <c r="D123" t="n">
        <v>13</v>
      </c>
      <c r="E123" s="29" t="n">
        <v>-0.400244659089551</v>
      </c>
      <c r="F123" s="29" t="n">
        <v>0.0725989601972088</v>
      </c>
    </row>
    <row r="124">
      <c r="A124" t="s">
        <v>330</v>
      </c>
      <c r="B124" t="s">
        <v>30</v>
      </c>
      <c r="C124" t="s">
        <v>593</v>
      </c>
      <c r="D124" t="n">
        <v>14</v>
      </c>
      <c r="E124" s="29" t="n">
        <v>-0.377231353216145</v>
      </c>
      <c r="F124" s="29" t="n">
        <v>0.0729449519725254</v>
      </c>
    </row>
    <row r="125">
      <c r="A125" t="s">
        <v>330</v>
      </c>
      <c r="B125" t="s">
        <v>30</v>
      </c>
      <c r="C125" t="s">
        <v>593</v>
      </c>
      <c r="D125" t="n">
        <v>15</v>
      </c>
      <c r="E125" s="29" t="n">
        <v>-0.302072959625078</v>
      </c>
      <c r="F125" s="29" t="n">
        <v>0.0526525248102045</v>
      </c>
    </row>
    <row r="126">
      <c r="A126" t="s">
        <v>330</v>
      </c>
      <c r="B126" t="s">
        <v>30</v>
      </c>
      <c r="C126" t="s">
        <v>593</v>
      </c>
      <c r="D126" t="n">
        <v>16</v>
      </c>
      <c r="E126" s="29" t="n">
        <v>-0.269484725581201</v>
      </c>
      <c r="F126" s="29" t="n">
        <v>0.0385512935114367</v>
      </c>
    </row>
    <row r="127">
      <c r="A127" t="s">
        <v>330</v>
      </c>
      <c r="B127" t="s">
        <v>30</v>
      </c>
      <c r="C127" t="s">
        <v>593</v>
      </c>
      <c r="D127" t="n">
        <v>17</v>
      </c>
      <c r="E127" s="29" t="n">
        <v>-0.247654491927872</v>
      </c>
      <c r="F127" s="29" t="n">
        <v>0.0188890008554203</v>
      </c>
    </row>
    <row r="128">
      <c r="A128" t="s">
        <v>330</v>
      </c>
      <c r="B128" t="s">
        <v>31</v>
      </c>
      <c r="C128" t="s">
        <v>592</v>
      </c>
      <c r="D128" t="n">
        <v>1</v>
      </c>
      <c r="E128" s="29" t="n">
        <v>1.12487831695144</v>
      </c>
      <c r="F128" s="29" t="n">
        <v>-1.34057777545821</v>
      </c>
    </row>
    <row r="129">
      <c r="A129" t="s">
        <v>330</v>
      </c>
      <c r="B129" t="s">
        <v>31</v>
      </c>
      <c r="C129" t="s">
        <v>592</v>
      </c>
      <c r="D129" t="n">
        <v>2</v>
      </c>
      <c r="E129" s="29" t="n">
        <v>-0.362882843399502</v>
      </c>
      <c r="F129" s="29" t="n">
        <v>-1.45544358941399</v>
      </c>
    </row>
    <row r="130">
      <c r="A130" t="s">
        <v>330</v>
      </c>
      <c r="B130" t="s">
        <v>31</v>
      </c>
      <c r="C130" t="s">
        <v>592</v>
      </c>
      <c r="D130" t="n">
        <v>3</v>
      </c>
      <c r="E130" s="29" t="n">
        <v>-1.69801752098299</v>
      </c>
      <c r="F130" s="29" t="n">
        <v>-0.423363317299419</v>
      </c>
    </row>
    <row r="131">
      <c r="A131" t="s">
        <v>330</v>
      </c>
      <c r="B131" t="s">
        <v>31</v>
      </c>
      <c r="C131" t="s">
        <v>592</v>
      </c>
      <c r="D131" t="n">
        <v>4</v>
      </c>
      <c r="E131" s="29" t="n">
        <v>-2.64346966383038</v>
      </c>
      <c r="F131" s="29" t="n">
        <v>0.758002728496748</v>
      </c>
    </row>
    <row r="132">
      <c r="A132" t="s">
        <v>330</v>
      </c>
      <c r="B132" t="s">
        <v>31</v>
      </c>
      <c r="C132" t="s">
        <v>592</v>
      </c>
      <c r="D132" t="n">
        <v>5</v>
      </c>
      <c r="E132" s="29" t="n">
        <v>-0.88167787843871</v>
      </c>
      <c r="F132" s="29" t="n">
        <v>1.21352549156242</v>
      </c>
    </row>
    <row r="133">
      <c r="A133" t="s">
        <v>330</v>
      </c>
      <c r="B133" t="s">
        <v>31</v>
      </c>
      <c r="C133" t="s">
        <v>592</v>
      </c>
      <c r="D133" t="n">
        <v>6</v>
      </c>
      <c r="E133" s="29" t="n">
        <v>1.0362969656938</v>
      </c>
      <c r="F133" s="29" t="n">
        <v>0.698991129338433</v>
      </c>
    </row>
    <row r="134">
      <c r="A134" t="s">
        <v>330</v>
      </c>
      <c r="B134" t="s">
        <v>31</v>
      </c>
      <c r="C134" t="s">
        <v>592</v>
      </c>
      <c r="D134" t="n">
        <v>7</v>
      </c>
      <c r="E134" s="29" t="n">
        <v>1.44189254390748</v>
      </c>
      <c r="F134" s="29" t="n">
        <v>0.413456033725499</v>
      </c>
    </row>
    <row r="135">
      <c r="A135" t="s">
        <v>330</v>
      </c>
      <c r="B135" t="s">
        <v>31</v>
      </c>
      <c r="C135" t="s">
        <v>593</v>
      </c>
      <c r="D135" t="n">
        <v>1</v>
      </c>
      <c r="E135" s="29" t="n">
        <v>-0.0908197267939856</v>
      </c>
      <c r="F135" s="29" t="n">
        <v>-0.0559206034461915</v>
      </c>
    </row>
    <row r="136">
      <c r="A136" t="s">
        <v>330</v>
      </c>
      <c r="B136" t="s">
        <v>31</v>
      </c>
      <c r="C136" t="s">
        <v>593</v>
      </c>
      <c r="D136" t="n">
        <v>2</v>
      </c>
      <c r="E136" s="29" t="n">
        <v>-0.12200528952484</v>
      </c>
      <c r="F136" s="29" t="n">
        <v>-0.0937144393558957</v>
      </c>
    </row>
    <row r="137">
      <c r="A137" t="s">
        <v>330</v>
      </c>
      <c r="B137" t="s">
        <v>31</v>
      </c>
      <c r="C137" t="s">
        <v>593</v>
      </c>
      <c r="D137" t="n">
        <v>3</v>
      </c>
      <c r="E137" s="29" t="n">
        <v>-0.14108481280938</v>
      </c>
      <c r="F137" s="29" t="n">
        <v>-0.116138828876734</v>
      </c>
    </row>
    <row r="138">
      <c r="A138" t="s">
        <v>330</v>
      </c>
      <c r="B138" t="s">
        <v>31</v>
      </c>
      <c r="C138" t="s">
        <v>593</v>
      </c>
      <c r="D138" t="n">
        <v>4</v>
      </c>
      <c r="E138" s="29" t="n">
        <v>-0.161170495758852</v>
      </c>
      <c r="F138" s="29" t="n">
        <v>-0.12790368798831</v>
      </c>
    </row>
    <row r="139">
      <c r="A139" t="s">
        <v>330</v>
      </c>
      <c r="B139" t="s">
        <v>31</v>
      </c>
      <c r="C139" t="s">
        <v>593</v>
      </c>
      <c r="D139" t="n">
        <v>5</v>
      </c>
      <c r="E139" s="29" t="n">
        <v>-0.216182323857461</v>
      </c>
      <c r="F139" s="29" t="n">
        <v>-0.135552608661904</v>
      </c>
    </row>
    <row r="140">
      <c r="A140" t="s">
        <v>330</v>
      </c>
      <c r="B140" t="s">
        <v>31</v>
      </c>
      <c r="C140" t="s">
        <v>593</v>
      </c>
      <c r="D140" t="n">
        <v>6</v>
      </c>
      <c r="E140" s="29" t="n">
        <v>-0.25180229017204</v>
      </c>
      <c r="F140" s="29" t="n">
        <v>-0.13837349324626</v>
      </c>
    </row>
    <row r="141">
      <c r="A141" t="s">
        <v>330</v>
      </c>
      <c r="B141" t="s">
        <v>31</v>
      </c>
      <c r="C141" t="s">
        <v>593</v>
      </c>
      <c r="D141" t="n">
        <v>7</v>
      </c>
      <c r="E141" s="29" t="n">
        <v>-0.278812997250577</v>
      </c>
      <c r="F141" s="29" t="n">
        <v>-0.139674923254766</v>
      </c>
    </row>
    <row r="142">
      <c r="A142" t="s">
        <v>330</v>
      </c>
      <c r="B142" t="s">
        <v>31</v>
      </c>
      <c r="C142" t="s">
        <v>593</v>
      </c>
      <c r="D142" t="n">
        <v>8</v>
      </c>
      <c r="E142" s="29" t="n">
        <v>-0.362428737320204</v>
      </c>
      <c r="F142" s="29" t="n">
        <v>-0.122415752922605</v>
      </c>
    </row>
    <row r="143">
      <c r="A143" t="s">
        <v>330</v>
      </c>
      <c r="B143" t="s">
        <v>31</v>
      </c>
      <c r="C143" t="s">
        <v>593</v>
      </c>
      <c r="D143" t="n">
        <v>9</v>
      </c>
      <c r="E143" s="29" t="n">
        <v>-0.456982324996931</v>
      </c>
      <c r="F143" s="29" t="n">
        <v>-0.0950290309286035</v>
      </c>
    </row>
    <row r="144">
      <c r="A144" t="s">
        <v>330</v>
      </c>
      <c r="B144" t="s">
        <v>31</v>
      </c>
      <c r="C144" t="s">
        <v>593</v>
      </c>
      <c r="D144" t="n">
        <v>10</v>
      </c>
      <c r="E144" s="29" t="n">
        <v>-0.505999243410811</v>
      </c>
      <c r="F144" s="29" t="n">
        <v>-0.0805270609518164</v>
      </c>
    </row>
    <row r="145">
      <c r="A145" t="s">
        <v>330</v>
      </c>
      <c r="B145" t="s">
        <v>31</v>
      </c>
      <c r="C145" t="s">
        <v>593</v>
      </c>
      <c r="D145" t="n">
        <v>11</v>
      </c>
      <c r="E145" s="29" t="n">
        <v>-0.531900856157547</v>
      </c>
      <c r="F145" s="29" t="n">
        <v>-0.0386853378334186</v>
      </c>
    </row>
    <row r="146">
      <c r="A146" t="s">
        <v>330</v>
      </c>
      <c r="B146" t="s">
        <v>31</v>
      </c>
      <c r="C146" t="s">
        <v>593</v>
      </c>
      <c r="D146" t="n">
        <v>12</v>
      </c>
      <c r="E146" s="29" t="n">
        <v>-0.542989600565895</v>
      </c>
      <c r="F146" s="29" t="n">
        <v>-0.0206541745493498</v>
      </c>
    </row>
    <row r="147">
      <c r="A147" t="s">
        <v>330</v>
      </c>
      <c r="B147" t="s">
        <v>31</v>
      </c>
      <c r="C147" t="s">
        <v>593</v>
      </c>
      <c r="D147" t="n">
        <v>13</v>
      </c>
      <c r="E147" s="29" t="n">
        <v>-0.532793365029363</v>
      </c>
      <c r="F147" s="29" t="n">
        <v>0.0241726453776258</v>
      </c>
    </row>
    <row r="148">
      <c r="A148" t="s">
        <v>330</v>
      </c>
      <c r="B148" t="s">
        <v>31</v>
      </c>
      <c r="C148" t="s">
        <v>593</v>
      </c>
      <c r="D148" t="n">
        <v>14</v>
      </c>
      <c r="E148" s="29" t="n">
        <v>-0.48629314266169</v>
      </c>
      <c r="F148" s="29" t="n">
        <v>0.0630123812224298</v>
      </c>
    </row>
    <row r="149">
      <c r="A149" t="s">
        <v>330</v>
      </c>
      <c r="B149" t="s">
        <v>31</v>
      </c>
      <c r="C149" t="s">
        <v>593</v>
      </c>
      <c r="D149" t="n">
        <v>15</v>
      </c>
      <c r="E149" s="29" t="n">
        <v>-0.355075034979443</v>
      </c>
      <c r="F149" s="29" t="n">
        <v>0.0708562149312462</v>
      </c>
    </row>
    <row r="150">
      <c r="A150" t="s">
        <v>330</v>
      </c>
      <c r="B150" t="s">
        <v>31</v>
      </c>
      <c r="C150" t="s">
        <v>593</v>
      </c>
      <c r="D150" t="n">
        <v>16</v>
      </c>
      <c r="E150" s="29" t="n">
        <v>-0.28956186681605</v>
      </c>
      <c r="F150" s="29" t="n">
        <v>0.0687884474587304</v>
      </c>
    </row>
    <row r="151">
      <c r="A151" t="s">
        <v>330</v>
      </c>
      <c r="B151" t="s">
        <v>31</v>
      </c>
      <c r="C151" t="s">
        <v>593</v>
      </c>
      <c r="D151" t="n">
        <v>17</v>
      </c>
      <c r="E151" s="29" t="n">
        <v>-0.173999248109751</v>
      </c>
      <c r="F151" s="29" t="n">
        <v>0.0346934921693936</v>
      </c>
    </row>
    <row r="152">
      <c r="A152" t="s">
        <v>330</v>
      </c>
      <c r="B152" t="s">
        <v>31</v>
      </c>
      <c r="C152" t="s">
        <v>593</v>
      </c>
      <c r="D152" t="n">
        <v>18</v>
      </c>
      <c r="E152" s="29" t="n">
        <v>-0.123895351067728</v>
      </c>
      <c r="F152" s="29" t="n">
        <v>0.00819175823100107</v>
      </c>
    </row>
    <row r="153">
      <c r="A153" t="s">
        <v>340</v>
      </c>
      <c r="B153" t="s">
        <v>30</v>
      </c>
      <c r="C153" t="s">
        <v>592</v>
      </c>
      <c r="D153" t="n">
        <v>1</v>
      </c>
      <c r="E153" s="29" t="n">
        <v>2.19578434243987</v>
      </c>
      <c r="F153" s="29" t="n">
        <v>-0.0841163754264349</v>
      </c>
    </row>
    <row r="154">
      <c r="A154" t="s">
        <v>340</v>
      </c>
      <c r="B154" t="s">
        <v>30</v>
      </c>
      <c r="C154" t="s">
        <v>592</v>
      </c>
      <c r="D154" t="n">
        <v>2</v>
      </c>
      <c r="E154" s="29" t="n">
        <v>2.25845666410028</v>
      </c>
      <c r="F154" s="29" t="n">
        <v>-0.419018532629786</v>
      </c>
    </row>
    <row r="155">
      <c r="A155" t="s">
        <v>340</v>
      </c>
      <c r="B155" t="s">
        <v>30</v>
      </c>
      <c r="C155" t="s">
        <v>592</v>
      </c>
      <c r="D155" t="n">
        <v>3</v>
      </c>
      <c r="E155" s="29" t="n">
        <v>0.161996970236687</v>
      </c>
      <c r="F155" s="29" t="n">
        <v>-2.09243330239217</v>
      </c>
    </row>
    <row r="156">
      <c r="A156" t="s">
        <v>340</v>
      </c>
      <c r="B156" t="s">
        <v>30</v>
      </c>
      <c r="C156" t="s">
        <v>592</v>
      </c>
      <c r="D156" t="n">
        <v>4</v>
      </c>
      <c r="E156" s="29" t="n">
        <v>-1.13669530918759</v>
      </c>
      <c r="F156" s="29" t="n">
        <v>-0.188104774494255</v>
      </c>
    </row>
    <row r="157">
      <c r="A157" t="s">
        <v>340</v>
      </c>
      <c r="B157" t="s">
        <v>30</v>
      </c>
      <c r="C157" t="s">
        <v>592</v>
      </c>
      <c r="D157" t="n">
        <v>5</v>
      </c>
      <c r="E157" s="29" t="n">
        <v>-1.18680207722211</v>
      </c>
      <c r="F157" s="29" t="n">
        <v>0.366921895599668</v>
      </c>
    </row>
    <row r="158">
      <c r="A158" t="s">
        <v>340</v>
      </c>
      <c r="B158" t="s">
        <v>30</v>
      </c>
      <c r="C158" t="s">
        <v>592</v>
      </c>
      <c r="D158" t="n">
        <v>6</v>
      </c>
      <c r="E158" s="29" t="n">
        <v>-1.17189561259156</v>
      </c>
      <c r="F158" s="29" t="n">
        <v>1.43210624556931</v>
      </c>
    </row>
    <row r="159">
      <c r="A159" t="s">
        <v>340</v>
      </c>
      <c r="B159" t="s">
        <v>30</v>
      </c>
      <c r="C159" t="s">
        <v>592</v>
      </c>
      <c r="D159" t="n">
        <v>7</v>
      </c>
      <c r="E159" s="29" t="n">
        <v>0.852957143946371</v>
      </c>
      <c r="F159" s="29" t="n">
        <v>1.81660799675889</v>
      </c>
    </row>
    <row r="160">
      <c r="A160" t="s">
        <v>340</v>
      </c>
      <c r="B160" t="s">
        <v>30</v>
      </c>
      <c r="C160" t="s">
        <v>592</v>
      </c>
      <c r="D160" t="n">
        <v>8</v>
      </c>
      <c r="E160" s="29" t="n">
        <v>1.0731258050931</v>
      </c>
      <c r="F160" s="29" t="n">
        <v>1.83772735577966</v>
      </c>
    </row>
    <row r="161">
      <c r="A161" t="s">
        <v>340</v>
      </c>
      <c r="B161" t="s">
        <v>30</v>
      </c>
      <c r="C161" t="s">
        <v>593</v>
      </c>
      <c r="D161" t="n">
        <v>1</v>
      </c>
      <c r="E161" s="29" t="n">
        <v>0.624800430348478</v>
      </c>
      <c r="F161" s="29" t="n">
        <v>-0.000835581605079007</v>
      </c>
    </row>
    <row r="162">
      <c r="A162" t="s">
        <v>340</v>
      </c>
      <c r="B162" t="s">
        <v>30</v>
      </c>
      <c r="C162" t="s">
        <v>593</v>
      </c>
      <c r="D162" t="n">
        <v>2</v>
      </c>
      <c r="E162" s="29" t="n">
        <v>0.616595927010363</v>
      </c>
      <c r="F162" s="29" t="n">
        <v>-0.00819912978850921</v>
      </c>
    </row>
    <row r="163">
      <c r="A163" t="s">
        <v>340</v>
      </c>
      <c r="B163" t="s">
        <v>30</v>
      </c>
      <c r="C163" t="s">
        <v>593</v>
      </c>
      <c r="D163" t="n">
        <v>3</v>
      </c>
      <c r="E163" s="29" t="n">
        <v>0.58386367416651</v>
      </c>
      <c r="F163" s="29" t="n">
        <v>-0.0356578234845231</v>
      </c>
    </row>
    <row r="164">
      <c r="A164" t="s">
        <v>340</v>
      </c>
      <c r="B164" t="s">
        <v>30</v>
      </c>
      <c r="C164" t="s">
        <v>593</v>
      </c>
      <c r="D164" t="n">
        <v>4</v>
      </c>
      <c r="E164" s="29" t="n">
        <v>0.576655487565767</v>
      </c>
      <c r="F164" s="29" t="n">
        <v>-0.0405203451584169</v>
      </c>
    </row>
    <row r="165">
      <c r="A165" t="s">
        <v>340</v>
      </c>
      <c r="B165" t="s">
        <v>30</v>
      </c>
      <c r="C165" t="s">
        <v>593</v>
      </c>
      <c r="D165" t="n">
        <v>5</v>
      </c>
      <c r="E165" s="29" t="n">
        <v>0.508706356325568</v>
      </c>
      <c r="F165" s="29" t="n">
        <v>-0.0651142555060889</v>
      </c>
    </row>
    <row r="166">
      <c r="A166" t="s">
        <v>340</v>
      </c>
      <c r="B166" t="s">
        <v>30</v>
      </c>
      <c r="C166" t="s">
        <v>593</v>
      </c>
      <c r="D166" t="n">
        <v>6</v>
      </c>
      <c r="E166" s="29" t="n">
        <v>0.418758647883095</v>
      </c>
      <c r="F166" s="29" t="n">
        <v>-0.0636009828656899</v>
      </c>
    </row>
    <row r="167">
      <c r="A167" t="s">
        <v>340</v>
      </c>
      <c r="B167" t="s">
        <v>30</v>
      </c>
      <c r="C167" t="s">
        <v>593</v>
      </c>
      <c r="D167" t="n">
        <v>7</v>
      </c>
      <c r="E167" s="29" t="n">
        <v>0.344543255861795</v>
      </c>
      <c r="F167" s="29" t="n">
        <v>-0.0614358073725879</v>
      </c>
    </row>
    <row r="168">
      <c r="A168" t="s">
        <v>340</v>
      </c>
      <c r="B168" t="s">
        <v>30</v>
      </c>
      <c r="C168" t="s">
        <v>593</v>
      </c>
      <c r="D168" t="n">
        <v>8</v>
      </c>
      <c r="E168" s="29" t="n">
        <v>0.311067718116577</v>
      </c>
      <c r="F168" s="29" t="n">
        <v>-0.0465955828641389</v>
      </c>
    </row>
    <row r="169">
      <c r="A169" t="s">
        <v>340</v>
      </c>
      <c r="B169" t="s">
        <v>30</v>
      </c>
      <c r="C169" t="s">
        <v>593</v>
      </c>
      <c r="D169" t="n">
        <v>9</v>
      </c>
      <c r="E169" s="29" t="n">
        <v>0.284518976975382</v>
      </c>
      <c r="F169" s="29" t="n">
        <v>-0.0308146796028005</v>
      </c>
    </row>
    <row r="170">
      <c r="A170" t="s">
        <v>340</v>
      </c>
      <c r="B170" t="s">
        <v>30</v>
      </c>
      <c r="C170" t="s">
        <v>593</v>
      </c>
      <c r="D170" t="n">
        <v>10</v>
      </c>
      <c r="E170" s="29" t="n">
        <v>0.266714914667105</v>
      </c>
      <c r="F170" s="29" t="n">
        <v>0.0171763113481735</v>
      </c>
    </row>
    <row r="171">
      <c r="A171" t="s">
        <v>340</v>
      </c>
      <c r="B171" t="s">
        <v>30</v>
      </c>
      <c r="C171" t="s">
        <v>593</v>
      </c>
      <c r="D171" t="n">
        <v>11</v>
      </c>
      <c r="E171" s="29" t="n">
        <v>0.272279023606422</v>
      </c>
      <c r="F171" s="29" t="n">
        <v>0.0333690126318474</v>
      </c>
    </row>
    <row r="172">
      <c r="A172" t="s">
        <v>340</v>
      </c>
      <c r="B172" t="s">
        <v>30</v>
      </c>
      <c r="C172" t="s">
        <v>593</v>
      </c>
      <c r="D172" t="n">
        <v>12</v>
      </c>
      <c r="E172" s="29" t="n">
        <v>0.292017277470569</v>
      </c>
      <c r="F172" s="29" t="n">
        <v>0.0474340347474436</v>
      </c>
    </row>
    <row r="173">
      <c r="A173" t="s">
        <v>340</v>
      </c>
      <c r="B173" t="s">
        <v>30</v>
      </c>
      <c r="C173" t="s">
        <v>593</v>
      </c>
      <c r="D173" t="n">
        <v>13</v>
      </c>
      <c r="E173" s="29" t="n">
        <v>0.304728381776459</v>
      </c>
      <c r="F173" s="29" t="n">
        <v>0.0552281272400535</v>
      </c>
    </row>
    <row r="174">
      <c r="A174" t="s">
        <v>340</v>
      </c>
      <c r="B174" t="s">
        <v>30</v>
      </c>
      <c r="C174" t="s">
        <v>593</v>
      </c>
      <c r="D174" t="n">
        <v>14</v>
      </c>
      <c r="E174" s="29" t="n">
        <v>0.362596306077603</v>
      </c>
      <c r="F174" s="29" t="n">
        <v>0.0885499051012476</v>
      </c>
    </row>
    <row r="175">
      <c r="A175" t="s">
        <v>340</v>
      </c>
      <c r="B175" t="s">
        <v>30</v>
      </c>
      <c r="C175" t="s">
        <v>593</v>
      </c>
      <c r="D175" t="n">
        <v>15</v>
      </c>
      <c r="E175" s="29" t="n">
        <v>0.382406340931241</v>
      </c>
      <c r="F175" s="29" t="n">
        <v>0.0959146024586964</v>
      </c>
    </row>
    <row r="176">
      <c r="A176" t="s">
        <v>340</v>
      </c>
      <c r="B176" t="s">
        <v>30</v>
      </c>
      <c r="C176" t="s">
        <v>593</v>
      </c>
      <c r="D176" t="n">
        <v>16</v>
      </c>
      <c r="E176" s="29" t="n">
        <v>0.429230693945608</v>
      </c>
      <c r="F176" s="29" t="n">
        <v>0.104635439754781</v>
      </c>
    </row>
    <row r="177">
      <c r="A177" t="s">
        <v>340</v>
      </c>
      <c r="B177" t="s">
        <v>30</v>
      </c>
      <c r="C177" t="s">
        <v>593</v>
      </c>
      <c r="D177" t="n">
        <v>17</v>
      </c>
      <c r="E177" s="29" t="n">
        <v>0.482857706628516</v>
      </c>
      <c r="F177" s="29" t="n">
        <v>0.107539758886121</v>
      </c>
    </row>
    <row r="178">
      <c r="A178" t="s">
        <v>340</v>
      </c>
      <c r="B178" t="s">
        <v>30</v>
      </c>
      <c r="C178" t="s">
        <v>593</v>
      </c>
      <c r="D178" t="n">
        <v>18</v>
      </c>
      <c r="E178" s="29" t="n">
        <v>0.495067092184569</v>
      </c>
      <c r="F178" s="29" t="n">
        <v>0.107081990666378</v>
      </c>
    </row>
    <row r="179">
      <c r="A179" t="s">
        <v>340</v>
      </c>
      <c r="B179" t="s">
        <v>30</v>
      </c>
      <c r="C179" t="s">
        <v>593</v>
      </c>
      <c r="D179" t="n">
        <v>19</v>
      </c>
      <c r="E179" s="29" t="n">
        <v>0.534737144486518</v>
      </c>
      <c r="F179" s="29" t="n">
        <v>0.0978188103373392</v>
      </c>
    </row>
    <row r="180">
      <c r="A180" t="s">
        <v>340</v>
      </c>
      <c r="B180" t="s">
        <v>30</v>
      </c>
      <c r="C180" t="s">
        <v>593</v>
      </c>
      <c r="D180" t="n">
        <v>20</v>
      </c>
      <c r="E180" s="29" t="n">
        <v>0.613892019984151</v>
      </c>
      <c r="F180" s="29" t="n">
        <v>0.069309250144286</v>
      </c>
    </row>
    <row r="181">
      <c r="A181" t="s">
        <v>340</v>
      </c>
      <c r="B181" t="s">
        <v>30</v>
      </c>
      <c r="C181" t="s">
        <v>593</v>
      </c>
      <c r="D181" t="n">
        <v>21</v>
      </c>
      <c r="E181" s="29" t="n">
        <v>0.633911320320773</v>
      </c>
      <c r="F181" s="29" t="n">
        <v>0.0253169514411029</v>
      </c>
    </row>
    <row r="182">
      <c r="A182" t="s">
        <v>340</v>
      </c>
      <c r="B182" t="s">
        <v>31</v>
      </c>
      <c r="C182" t="s">
        <v>592</v>
      </c>
      <c r="D182" t="n">
        <v>1</v>
      </c>
      <c r="E182" s="29" t="n">
        <v>1.04237478086035</v>
      </c>
      <c r="F182" s="29" t="n">
        <v>-1.02201438078267</v>
      </c>
    </row>
    <row r="183">
      <c r="A183" t="s">
        <v>340</v>
      </c>
      <c r="B183" t="s">
        <v>31</v>
      </c>
      <c r="C183" t="s">
        <v>592</v>
      </c>
      <c r="D183" t="n">
        <v>2</v>
      </c>
      <c r="E183" s="29" t="n">
        <v>-1.02757209151818</v>
      </c>
      <c r="F183" s="29" t="n">
        <v>-0.449143422583642</v>
      </c>
    </row>
    <row r="184">
      <c r="A184" t="s">
        <v>340</v>
      </c>
      <c r="B184" t="s">
        <v>31</v>
      </c>
      <c r="C184" t="s">
        <v>592</v>
      </c>
      <c r="D184" t="n">
        <v>3</v>
      </c>
      <c r="E184" s="29" t="n">
        <v>-1.19931861233848</v>
      </c>
      <c r="F184" s="29" t="n">
        <v>-0.352975559825579</v>
      </c>
    </row>
    <row r="185">
      <c r="A185" t="s">
        <v>340</v>
      </c>
      <c r="B185" t="s">
        <v>31</v>
      </c>
      <c r="C185" t="s">
        <v>592</v>
      </c>
      <c r="D185" t="n">
        <v>4</v>
      </c>
      <c r="E185" s="29" t="n">
        <v>-1.2015771199229</v>
      </c>
      <c r="F185" s="29" t="n">
        <v>-0.344546694771249</v>
      </c>
    </row>
    <row r="186">
      <c r="A186" t="s">
        <v>340</v>
      </c>
      <c r="B186" t="s">
        <v>31</v>
      </c>
      <c r="C186" t="s">
        <v>592</v>
      </c>
      <c r="D186" t="n">
        <v>5</v>
      </c>
      <c r="E186" s="29" t="n">
        <v>-1.36264244602523</v>
      </c>
      <c r="F186" s="29" t="n">
        <v>1.26332352686447</v>
      </c>
    </row>
    <row r="187">
      <c r="A187" t="s">
        <v>340</v>
      </c>
      <c r="B187" t="s">
        <v>31</v>
      </c>
      <c r="C187" t="s">
        <v>592</v>
      </c>
      <c r="D187" t="n">
        <v>6</v>
      </c>
      <c r="E187" s="29" t="n">
        <v>0.936680235832775</v>
      </c>
      <c r="F187" s="29" t="n">
        <v>1.17055294030645</v>
      </c>
    </row>
    <row r="188">
      <c r="A188" t="s">
        <v>340</v>
      </c>
      <c r="B188" t="s">
        <v>31</v>
      </c>
      <c r="C188" t="s">
        <v>592</v>
      </c>
      <c r="D188" t="n">
        <v>7</v>
      </c>
      <c r="E188" s="29" t="n">
        <v>1.98159959413982</v>
      </c>
      <c r="F188" s="29" t="n">
        <v>0.217420810863202</v>
      </c>
    </row>
    <row r="189">
      <c r="A189" t="s">
        <v>340</v>
      </c>
      <c r="B189" t="s">
        <v>31</v>
      </c>
      <c r="C189" t="s">
        <v>593</v>
      </c>
      <c r="D189" t="n">
        <v>1</v>
      </c>
      <c r="E189" s="29" t="n">
        <v>0.48041154430076</v>
      </c>
      <c r="F189" s="29" t="n">
        <v>0.0152470564067436</v>
      </c>
    </row>
    <row r="190">
      <c r="A190" t="s">
        <v>340</v>
      </c>
      <c r="B190" t="s">
        <v>31</v>
      </c>
      <c r="C190" t="s">
        <v>593</v>
      </c>
      <c r="D190" t="n">
        <v>2</v>
      </c>
      <c r="E190" s="29" t="n">
        <v>0.461035655854915</v>
      </c>
      <c r="F190" s="29" t="n">
        <v>0.00481955149266406</v>
      </c>
    </row>
    <row r="191">
      <c r="A191" t="s">
        <v>340</v>
      </c>
      <c r="B191" t="s">
        <v>31</v>
      </c>
      <c r="C191" t="s">
        <v>593</v>
      </c>
      <c r="D191" t="n">
        <v>3</v>
      </c>
      <c r="E191" s="29" t="n">
        <v>0.406354839281132</v>
      </c>
      <c r="F191" s="29" t="n">
        <v>-0.0157172655596237</v>
      </c>
    </row>
    <row r="192">
      <c r="A192" t="s">
        <v>340</v>
      </c>
      <c r="B192" t="s">
        <v>31</v>
      </c>
      <c r="C192" t="s">
        <v>593</v>
      </c>
      <c r="D192" t="n">
        <v>4</v>
      </c>
      <c r="E192" s="29" t="n">
        <v>0.317679456795891</v>
      </c>
      <c r="F192" s="29" t="n">
        <v>-0.0360077264173363</v>
      </c>
    </row>
    <row r="193">
      <c r="A193" t="s">
        <v>340</v>
      </c>
      <c r="B193" t="s">
        <v>31</v>
      </c>
      <c r="C193" t="s">
        <v>593</v>
      </c>
      <c r="D193" t="n">
        <v>5</v>
      </c>
      <c r="E193" s="29" t="n">
        <v>0.265586587652402</v>
      </c>
      <c r="F193" s="29" t="n">
        <v>-0.0409518222052191</v>
      </c>
    </row>
    <row r="194">
      <c r="A194" t="s">
        <v>340</v>
      </c>
      <c r="B194" t="s">
        <v>31</v>
      </c>
      <c r="C194" t="s">
        <v>593</v>
      </c>
      <c r="D194" t="n">
        <v>6</v>
      </c>
      <c r="E194" s="29" t="n">
        <v>0.244172553044795</v>
      </c>
      <c r="F194" s="29" t="n">
        <v>-0.0417436470428881</v>
      </c>
    </row>
    <row r="195">
      <c r="A195" t="s">
        <v>340</v>
      </c>
      <c r="B195" t="s">
        <v>31</v>
      </c>
      <c r="C195" t="s">
        <v>593</v>
      </c>
      <c r="D195" t="n">
        <v>7</v>
      </c>
      <c r="E195" s="29" t="n">
        <v>0.142351424000691</v>
      </c>
      <c r="F195" s="29" t="n">
        <v>-0.027837223014643</v>
      </c>
    </row>
    <row r="196">
      <c r="A196" t="s">
        <v>340</v>
      </c>
      <c r="B196" t="s">
        <v>31</v>
      </c>
      <c r="C196" t="s">
        <v>593</v>
      </c>
      <c r="D196" t="n">
        <v>8</v>
      </c>
      <c r="E196" s="29" t="n">
        <v>0.0742723950651224</v>
      </c>
      <c r="F196" s="29" t="n">
        <v>-0.00738130715180239</v>
      </c>
    </row>
    <row r="197">
      <c r="A197" t="s">
        <v>340</v>
      </c>
      <c r="B197" t="s">
        <v>31</v>
      </c>
      <c r="C197" t="s">
        <v>593</v>
      </c>
      <c r="D197" t="n">
        <v>9</v>
      </c>
      <c r="E197" s="29" t="n">
        <v>0.0463137431432189</v>
      </c>
      <c r="F197" s="29" t="n">
        <v>0.0254569097438367</v>
      </c>
    </row>
    <row r="198">
      <c r="A198" t="s">
        <v>340</v>
      </c>
      <c r="B198" t="s">
        <v>31</v>
      </c>
      <c r="C198" t="s">
        <v>593</v>
      </c>
      <c r="D198" t="n">
        <v>10</v>
      </c>
      <c r="E198" s="29" t="n">
        <v>0.0325887537628608</v>
      </c>
      <c r="F198" s="29" t="n">
        <v>0.0713893522840749</v>
      </c>
    </row>
    <row r="199">
      <c r="A199" t="s">
        <v>340</v>
      </c>
      <c r="B199" t="s">
        <v>31</v>
      </c>
      <c r="C199" t="s">
        <v>593</v>
      </c>
      <c r="D199" t="n">
        <v>11</v>
      </c>
      <c r="E199" s="29" t="n">
        <v>0.0531535962048869</v>
      </c>
      <c r="F199" s="29" t="n">
        <v>0.0900406013083571</v>
      </c>
    </row>
    <row r="200">
      <c r="A200" t="s">
        <v>340</v>
      </c>
      <c r="B200" t="s">
        <v>31</v>
      </c>
      <c r="C200" t="s">
        <v>593</v>
      </c>
      <c r="D200" t="n">
        <v>12</v>
      </c>
      <c r="E200" s="29" t="n">
        <v>0.0892841155442164</v>
      </c>
      <c r="F200" s="29" t="n">
        <v>0.110685730954783</v>
      </c>
    </row>
    <row r="201">
      <c r="A201" t="s">
        <v>340</v>
      </c>
      <c r="B201" t="s">
        <v>31</v>
      </c>
      <c r="C201" t="s">
        <v>593</v>
      </c>
      <c r="D201" t="n">
        <v>13</v>
      </c>
      <c r="E201" s="29" t="n">
        <v>0.109412245711592</v>
      </c>
      <c r="F201" s="29" t="n">
        <v>0.117729359395657</v>
      </c>
    </row>
    <row r="202">
      <c r="A202" t="s">
        <v>340</v>
      </c>
      <c r="B202" t="s">
        <v>31</v>
      </c>
      <c r="C202" t="s">
        <v>593</v>
      </c>
      <c r="D202" t="n">
        <v>14</v>
      </c>
      <c r="E202" s="29" t="n">
        <v>0.169497420932117</v>
      </c>
      <c r="F202" s="29" t="n">
        <v>0.134186225057861</v>
      </c>
    </row>
    <row r="203">
      <c r="A203" t="s">
        <v>340</v>
      </c>
      <c r="B203" t="s">
        <v>31</v>
      </c>
      <c r="C203" t="s">
        <v>593</v>
      </c>
      <c r="D203" t="n">
        <v>15</v>
      </c>
      <c r="E203" s="29" t="n">
        <v>0.211099778668466</v>
      </c>
      <c r="F203" s="29" t="n">
        <v>0.144333045928518</v>
      </c>
    </row>
    <row r="204">
      <c r="A204" t="s">
        <v>340</v>
      </c>
      <c r="B204" t="s">
        <v>31</v>
      </c>
      <c r="C204" t="s">
        <v>593</v>
      </c>
      <c r="D204" t="n">
        <v>16</v>
      </c>
      <c r="E204" s="29" t="n">
        <v>0.247085254219665</v>
      </c>
      <c r="F204" s="29" t="n">
        <v>0.149852602873148</v>
      </c>
    </row>
    <row r="205">
      <c r="A205" t="s">
        <v>340</v>
      </c>
      <c r="B205" t="s">
        <v>31</v>
      </c>
      <c r="C205" t="s">
        <v>593</v>
      </c>
      <c r="D205" t="n">
        <v>17</v>
      </c>
      <c r="E205" s="29" t="n">
        <v>0.284118455553023</v>
      </c>
      <c r="F205" s="29" t="n">
        <v>0.15299048509304</v>
      </c>
    </row>
    <row r="206">
      <c r="A206" t="s">
        <v>340</v>
      </c>
      <c r="B206" t="s">
        <v>31</v>
      </c>
      <c r="C206" t="s">
        <v>593</v>
      </c>
      <c r="D206" t="n">
        <v>18</v>
      </c>
      <c r="E206" s="29" t="n">
        <v>0.308233445938317</v>
      </c>
      <c r="F206" s="29" t="n">
        <v>0.154144340114212</v>
      </c>
    </row>
    <row r="207">
      <c r="A207" t="s">
        <v>340</v>
      </c>
      <c r="B207" t="s">
        <v>31</v>
      </c>
      <c r="C207" t="s">
        <v>593</v>
      </c>
      <c r="D207" t="n">
        <v>19</v>
      </c>
      <c r="E207" s="29" t="n">
        <v>0.437877562386957</v>
      </c>
      <c r="F207" s="29" t="n">
        <v>0.133991751555744</v>
      </c>
    </row>
    <row r="208">
      <c r="A208" t="s">
        <v>340</v>
      </c>
      <c r="B208" t="s">
        <v>31</v>
      </c>
      <c r="C208" t="s">
        <v>593</v>
      </c>
      <c r="D208" t="n">
        <v>20</v>
      </c>
      <c r="E208" s="29" t="n">
        <v>0.510326028078028</v>
      </c>
      <c r="F208" s="29" t="n">
        <v>0.0710040055871885</v>
      </c>
    </row>
    <row r="209">
      <c r="A209" t="s">
        <v>350</v>
      </c>
      <c r="B209" t="s">
        <v>30</v>
      </c>
      <c r="C209" t="s">
        <v>592</v>
      </c>
      <c r="D209" t="n">
        <v>1</v>
      </c>
      <c r="E209" s="29" t="n">
        <v>0.307830737662829</v>
      </c>
      <c r="F209" s="29" t="n">
        <v>-0.394005376803361</v>
      </c>
    </row>
    <row r="210">
      <c r="A210" t="s">
        <v>350</v>
      </c>
      <c r="B210" t="s">
        <v>30</v>
      </c>
      <c r="C210" t="s">
        <v>592</v>
      </c>
      <c r="D210" t="n">
        <v>2</v>
      </c>
      <c r="E210" s="29" t="n">
        <v>-0.0783963474507407</v>
      </c>
      <c r="F210" s="29" t="n">
        <v>-0.745891421526205</v>
      </c>
    </row>
    <row r="211">
      <c r="A211" t="s">
        <v>350</v>
      </c>
      <c r="B211" t="s">
        <v>30</v>
      </c>
      <c r="C211" t="s">
        <v>592</v>
      </c>
      <c r="D211" t="n">
        <v>3</v>
      </c>
      <c r="E211" s="29" t="n">
        <v>-0.414518786277521</v>
      </c>
      <c r="F211" s="29" t="n">
        <v>-0.279596451735373</v>
      </c>
    </row>
    <row r="212">
      <c r="A212" t="s">
        <v>350</v>
      </c>
      <c r="B212" t="s">
        <v>30</v>
      </c>
      <c r="C212" t="s">
        <v>592</v>
      </c>
      <c r="D212" t="n">
        <v>4</v>
      </c>
      <c r="E212" s="29" t="n">
        <v>-0.48063084796916</v>
      </c>
      <c r="F212" s="29" t="n">
        <v>-0.137818677908499</v>
      </c>
    </row>
    <row r="213">
      <c r="A213" t="s">
        <v>350</v>
      </c>
      <c r="B213" t="s">
        <v>30</v>
      </c>
      <c r="C213" t="s">
        <v>592</v>
      </c>
      <c r="D213" t="n">
        <v>5</v>
      </c>
      <c r="E213" s="29" t="n">
        <v>-0.495134034370785</v>
      </c>
      <c r="F213" s="29" t="n">
        <v>-0.0695865504800329</v>
      </c>
    </row>
    <row r="214">
      <c r="A214" t="s">
        <v>350</v>
      </c>
      <c r="B214" t="s">
        <v>30</v>
      </c>
      <c r="C214" t="s">
        <v>592</v>
      </c>
      <c r="D214" t="n">
        <v>6</v>
      </c>
      <c r="E214" s="29" t="n">
        <v>-0.497260947684137</v>
      </c>
      <c r="F214" s="29" t="n">
        <v>0.0522642316338269</v>
      </c>
    </row>
    <row r="215">
      <c r="A215" t="s">
        <v>350</v>
      </c>
      <c r="B215" t="s">
        <v>30</v>
      </c>
      <c r="C215" t="s">
        <v>592</v>
      </c>
      <c r="D215" t="n">
        <v>7</v>
      </c>
      <c r="E215" s="29" t="n">
        <v>-0.404508497187474</v>
      </c>
      <c r="F215" s="29" t="n">
        <v>0.293892626146237</v>
      </c>
    </row>
    <row r="216">
      <c r="A216" t="s">
        <v>350</v>
      </c>
      <c r="B216" t="s">
        <v>30</v>
      </c>
      <c r="C216" t="s">
        <v>592</v>
      </c>
      <c r="D216" t="n">
        <v>8</v>
      </c>
      <c r="E216" s="29" t="n">
        <v>-0.359669900169325</v>
      </c>
      <c r="F216" s="29" t="n">
        <v>0.347329185229499</v>
      </c>
    </row>
    <row r="217">
      <c r="A217" t="s">
        <v>350</v>
      </c>
      <c r="B217" t="s">
        <v>30</v>
      </c>
      <c r="C217" t="s">
        <v>592</v>
      </c>
      <c r="D217" t="n">
        <v>9</v>
      </c>
      <c r="E217" s="29" t="n">
        <v>-0.334565303179429</v>
      </c>
      <c r="F217" s="29" t="n">
        <v>0.371572412738697</v>
      </c>
    </row>
    <row r="218">
      <c r="A218" t="s">
        <v>350</v>
      </c>
      <c r="B218" t="s">
        <v>30</v>
      </c>
      <c r="C218" t="s">
        <v>592</v>
      </c>
      <c r="D218" t="n">
        <v>10</v>
      </c>
      <c r="E218" s="29" t="n">
        <v>0.104379825720049</v>
      </c>
      <c r="F218" s="29" t="n">
        <v>0.742701051556178</v>
      </c>
    </row>
    <row r="219">
      <c r="A219" t="s">
        <v>350</v>
      </c>
      <c r="B219" t="s">
        <v>30</v>
      </c>
      <c r="C219" t="s">
        <v>592</v>
      </c>
      <c r="D219" t="n">
        <v>11</v>
      </c>
      <c r="E219" s="29" t="n">
        <v>0.244536900183451</v>
      </c>
      <c r="F219" s="29" t="n">
        <v>0.0519779227044398</v>
      </c>
    </row>
    <row r="220">
      <c r="A220" t="s">
        <v>350</v>
      </c>
      <c r="B220" t="s">
        <v>30</v>
      </c>
      <c r="C220" t="s">
        <v>593</v>
      </c>
      <c r="D220" t="n">
        <v>1</v>
      </c>
      <c r="E220" s="29" t="n">
        <v>0.00328522713791358</v>
      </c>
      <c r="F220" s="29" t="n">
        <v>-0.00314282231319088</v>
      </c>
    </row>
    <row r="221">
      <c r="A221" t="s">
        <v>350</v>
      </c>
      <c r="B221" t="s">
        <v>30</v>
      </c>
      <c r="C221" t="s">
        <v>593</v>
      </c>
      <c r="D221" t="n">
        <v>2</v>
      </c>
      <c r="E221" s="29" t="n">
        <v>-0.000702000613446926</v>
      </c>
      <c r="F221" s="29" t="n">
        <v>-0.0116177656880661</v>
      </c>
    </row>
    <row r="222">
      <c r="A222" t="s">
        <v>350</v>
      </c>
      <c r="B222" t="s">
        <v>30</v>
      </c>
      <c r="C222" t="s">
        <v>593</v>
      </c>
      <c r="D222" t="n">
        <v>3</v>
      </c>
      <c r="E222" s="29" t="n">
        <v>-0.00552093309134496</v>
      </c>
      <c r="F222" s="29" t="n">
        <v>-0.0166860061304692</v>
      </c>
    </row>
    <row r="223">
      <c r="A223" t="s">
        <v>350</v>
      </c>
      <c r="B223" t="s">
        <v>30</v>
      </c>
      <c r="C223" t="s">
        <v>593</v>
      </c>
      <c r="D223" t="n">
        <v>4</v>
      </c>
      <c r="E223" s="29" t="n">
        <v>-0.0101755185203425</v>
      </c>
      <c r="F223" s="29" t="n">
        <v>-0.0211006939724595</v>
      </c>
    </row>
    <row r="224">
      <c r="A224" t="s">
        <v>350</v>
      </c>
      <c r="B224" t="s">
        <v>30</v>
      </c>
      <c r="C224" t="s">
        <v>593</v>
      </c>
      <c r="D224" t="n">
        <v>5</v>
      </c>
      <c r="E224" s="29" t="n">
        <v>-0.0254767323913633</v>
      </c>
      <c r="F224" s="29" t="n">
        <v>-0.0305146745030517</v>
      </c>
    </row>
    <row r="225">
      <c r="A225" t="s">
        <v>350</v>
      </c>
      <c r="B225" t="s">
        <v>30</v>
      </c>
      <c r="C225" t="s">
        <v>593</v>
      </c>
      <c r="D225" t="n">
        <v>6</v>
      </c>
      <c r="E225" s="29" t="n">
        <v>-0.0395372463472352</v>
      </c>
      <c r="F225" s="29" t="n">
        <v>-0.0340389469654697</v>
      </c>
    </row>
    <row r="226">
      <c r="A226" t="s">
        <v>350</v>
      </c>
      <c r="B226" t="s">
        <v>30</v>
      </c>
      <c r="C226" t="s">
        <v>593</v>
      </c>
      <c r="D226" t="n">
        <v>7</v>
      </c>
      <c r="E226" s="29" t="n">
        <v>-0.0415876708063505</v>
      </c>
      <c r="F226" s="29" t="n">
        <v>-0.0343873597365534</v>
      </c>
    </row>
    <row r="227">
      <c r="A227" t="s">
        <v>350</v>
      </c>
      <c r="B227" t="s">
        <v>30</v>
      </c>
      <c r="C227" t="s">
        <v>593</v>
      </c>
      <c r="D227" t="n">
        <v>8</v>
      </c>
      <c r="E227" s="29" t="n">
        <v>-0.0458533198354707</v>
      </c>
      <c r="F227" s="29" t="n">
        <v>-0.0344008241770315</v>
      </c>
    </row>
    <row r="228">
      <c r="A228" t="s">
        <v>350</v>
      </c>
      <c r="B228" t="s">
        <v>30</v>
      </c>
      <c r="C228" t="s">
        <v>593</v>
      </c>
      <c r="D228" t="n">
        <v>9</v>
      </c>
      <c r="E228" s="29" t="n">
        <v>-0.0553107889223029</v>
      </c>
      <c r="F228" s="29" t="n">
        <v>-0.031675843578739</v>
      </c>
    </row>
    <row r="229">
      <c r="A229" t="s">
        <v>350</v>
      </c>
      <c r="B229" t="s">
        <v>30</v>
      </c>
      <c r="C229" t="s">
        <v>593</v>
      </c>
      <c r="D229" t="n">
        <v>10</v>
      </c>
      <c r="E229" s="29" t="n">
        <v>-0.0679448704642708</v>
      </c>
      <c r="F229" s="29" t="n">
        <v>-0.0171415665169484</v>
      </c>
    </row>
    <row r="230">
      <c r="A230" t="s">
        <v>350</v>
      </c>
      <c r="B230" t="s">
        <v>30</v>
      </c>
      <c r="C230" t="s">
        <v>593</v>
      </c>
      <c r="D230" t="n">
        <v>11</v>
      </c>
      <c r="E230" s="29" t="n">
        <v>-0.0698297084740305</v>
      </c>
      <c r="F230" s="29" t="n">
        <v>-0.0139462586697464</v>
      </c>
    </row>
    <row r="231">
      <c r="A231" t="s">
        <v>350</v>
      </c>
      <c r="B231" t="s">
        <v>30</v>
      </c>
      <c r="C231" t="s">
        <v>593</v>
      </c>
      <c r="D231" t="n">
        <v>12</v>
      </c>
      <c r="E231" s="29" t="n">
        <v>-0.0715908630178238</v>
      </c>
      <c r="F231" s="29" t="n">
        <v>-0.0100094217883346</v>
      </c>
    </row>
    <row r="232">
      <c r="A232" t="s">
        <v>350</v>
      </c>
      <c r="B232" t="s">
        <v>30</v>
      </c>
      <c r="C232" t="s">
        <v>593</v>
      </c>
      <c r="D232" t="n">
        <v>13</v>
      </c>
      <c r="E232" s="29" t="n">
        <v>-0.0759630107731486</v>
      </c>
      <c r="F232" s="29" t="n">
        <v>0.00723544138908188</v>
      </c>
    </row>
    <row r="233">
      <c r="A233" t="s">
        <v>350</v>
      </c>
      <c r="B233" t="s">
        <v>30</v>
      </c>
      <c r="C233" t="s">
        <v>593</v>
      </c>
      <c r="D233" t="n">
        <v>14</v>
      </c>
      <c r="E233" s="29" t="n">
        <v>-0.0734417861518125</v>
      </c>
      <c r="F233" s="29" t="n">
        <v>0.024113529300626</v>
      </c>
    </row>
    <row r="234">
      <c r="A234" t="s">
        <v>350</v>
      </c>
      <c r="B234" t="s">
        <v>30</v>
      </c>
      <c r="C234" t="s">
        <v>593</v>
      </c>
      <c r="D234" t="n">
        <v>15</v>
      </c>
      <c r="E234" s="29" t="n">
        <v>-0.055624592196373</v>
      </c>
      <c r="F234" s="29" t="n">
        <v>0.0474228456346919</v>
      </c>
    </row>
    <row r="235">
      <c r="A235" t="s">
        <v>350</v>
      </c>
      <c r="B235" t="s">
        <v>30</v>
      </c>
      <c r="C235" t="s">
        <v>593</v>
      </c>
      <c r="D235" t="n">
        <v>16</v>
      </c>
      <c r="E235" s="29" t="n">
        <v>-0.0435174312381077</v>
      </c>
      <c r="F235" s="29" t="n">
        <v>0.0531512819604258</v>
      </c>
    </row>
    <row r="236">
      <c r="A236" t="s">
        <v>350</v>
      </c>
      <c r="B236" t="s">
        <v>30</v>
      </c>
      <c r="C236" t="s">
        <v>593</v>
      </c>
      <c r="D236" t="n">
        <v>17</v>
      </c>
      <c r="E236" s="29" t="n">
        <v>-0.0259002956573778</v>
      </c>
      <c r="F236" s="29" t="n">
        <v>0.0580362326263816</v>
      </c>
    </row>
    <row r="237">
      <c r="A237" t="s">
        <v>350</v>
      </c>
      <c r="B237" t="s">
        <v>30</v>
      </c>
      <c r="C237" t="s">
        <v>593</v>
      </c>
      <c r="D237" t="n">
        <v>18</v>
      </c>
      <c r="E237" s="29" t="n">
        <v>0.000970257107892226</v>
      </c>
      <c r="F237" s="29" t="n">
        <v>0.0464316677804078</v>
      </c>
    </row>
    <row r="238">
      <c r="A238" t="s">
        <v>350</v>
      </c>
      <c r="B238" t="s">
        <v>30</v>
      </c>
      <c r="C238" t="s">
        <v>593</v>
      </c>
      <c r="D238" t="n">
        <v>19</v>
      </c>
      <c r="E238" s="29" t="n">
        <v>0.00459931731843775</v>
      </c>
      <c r="F238" s="29" t="n">
        <v>0.0388470987021173</v>
      </c>
    </row>
    <row r="239">
      <c r="A239" t="s">
        <v>350</v>
      </c>
      <c r="B239" t="s">
        <v>30</v>
      </c>
      <c r="C239" t="s">
        <v>593</v>
      </c>
      <c r="D239" t="n">
        <v>20</v>
      </c>
      <c r="E239" s="29" t="n">
        <v>0.00604105912521915</v>
      </c>
      <c r="F239" s="29" t="n">
        <v>0.00714309125779612</v>
      </c>
    </row>
    <row r="240">
      <c r="A240" t="s">
        <v>350</v>
      </c>
      <c r="B240" t="s">
        <v>31</v>
      </c>
      <c r="C240" t="s">
        <v>592</v>
      </c>
      <c r="D240" t="n">
        <v>1</v>
      </c>
      <c r="E240" s="29" t="n">
        <v>0.485147863137998</v>
      </c>
      <c r="F240" s="29" t="n">
        <v>-0.120960947799834</v>
      </c>
    </row>
    <row r="241">
      <c r="A241" t="s">
        <v>350</v>
      </c>
      <c r="B241" t="s">
        <v>31</v>
      </c>
      <c r="C241" t="s">
        <v>592</v>
      </c>
      <c r="D241" t="n">
        <v>2</v>
      </c>
      <c r="E241" s="29" t="n">
        <v>0.383022221559489</v>
      </c>
      <c r="F241" s="29" t="n">
        <v>-0.32139380484327</v>
      </c>
    </row>
    <row r="242">
      <c r="A242" t="s">
        <v>350</v>
      </c>
      <c r="B242" t="s">
        <v>31</v>
      </c>
      <c r="C242" t="s">
        <v>592</v>
      </c>
      <c r="D242" t="n">
        <v>3</v>
      </c>
      <c r="E242" s="29" t="n">
        <v>-0.154508497187474</v>
      </c>
      <c r="F242" s="29" t="n">
        <v>-0.475528258147577</v>
      </c>
    </row>
    <row r="243">
      <c r="A243" t="s">
        <v>350</v>
      </c>
      <c r="B243" t="s">
        <v>31</v>
      </c>
      <c r="C243" t="s">
        <v>592</v>
      </c>
      <c r="D243" t="n">
        <v>4</v>
      </c>
      <c r="E243" s="29" t="n">
        <v>-0.359669900169326</v>
      </c>
      <c r="F243" s="29" t="n">
        <v>-0.347329185229499</v>
      </c>
    </row>
    <row r="244">
      <c r="A244" t="s">
        <v>350</v>
      </c>
      <c r="B244" t="s">
        <v>31</v>
      </c>
      <c r="C244" t="s">
        <v>592</v>
      </c>
      <c r="D244" t="n">
        <v>5</v>
      </c>
      <c r="E244" s="29" t="n">
        <v>-0.495134034370785</v>
      </c>
      <c r="F244" s="29" t="n">
        <v>-0.0695865504800329</v>
      </c>
    </row>
    <row r="245">
      <c r="A245" t="s">
        <v>350</v>
      </c>
      <c r="B245" t="s">
        <v>31</v>
      </c>
      <c r="C245" t="s">
        <v>592</v>
      </c>
      <c r="D245" t="n">
        <v>6</v>
      </c>
      <c r="E245" s="29" t="n">
        <v>-0.328778360091808</v>
      </c>
      <c r="F245" s="29" t="n">
        <v>0.674095534724375</v>
      </c>
    </row>
    <row r="246">
      <c r="A246" t="s">
        <v>350</v>
      </c>
      <c r="B246" t="s">
        <v>31</v>
      </c>
      <c r="C246" t="s">
        <v>592</v>
      </c>
      <c r="D246" t="n">
        <v>7</v>
      </c>
      <c r="E246" s="29" t="n">
        <v>0.293892626146237</v>
      </c>
      <c r="F246" s="29" t="n">
        <v>0.404508497187474</v>
      </c>
    </row>
    <row r="247">
      <c r="A247" t="s">
        <v>350</v>
      </c>
      <c r="B247" t="s">
        <v>31</v>
      </c>
      <c r="C247" t="s">
        <v>592</v>
      </c>
      <c r="D247" t="n">
        <v>8</v>
      </c>
      <c r="E247" s="29" t="n">
        <v>0.32139380484327</v>
      </c>
      <c r="F247" s="29" t="n">
        <v>0.383022221559489</v>
      </c>
    </row>
    <row r="248">
      <c r="A248" t="s">
        <v>350</v>
      </c>
      <c r="B248" t="s">
        <v>31</v>
      </c>
      <c r="C248" t="s">
        <v>592</v>
      </c>
      <c r="D248" t="n">
        <v>9</v>
      </c>
      <c r="E248" s="29" t="n">
        <v>0.404508497187474</v>
      </c>
      <c r="F248" s="29" t="n">
        <v>0.293892626146237</v>
      </c>
    </row>
    <row r="249">
      <c r="A249" t="s">
        <v>350</v>
      </c>
      <c r="B249" t="s">
        <v>31</v>
      </c>
      <c r="C249" t="s">
        <v>592</v>
      </c>
      <c r="D249" t="n">
        <v>10</v>
      </c>
      <c r="E249" s="29" t="n">
        <v>0.489073800366903</v>
      </c>
      <c r="F249" s="29" t="n">
        <v>0.10395584540888</v>
      </c>
    </row>
    <row r="250">
      <c r="A250" t="s">
        <v>350</v>
      </c>
      <c r="B250" t="s">
        <v>31</v>
      </c>
      <c r="C250" t="s">
        <v>593</v>
      </c>
      <c r="D250" t="n">
        <v>1</v>
      </c>
      <c r="E250" s="29" t="n">
        <v>0.028485439290805</v>
      </c>
      <c r="F250" s="29" t="n">
        <v>-0.0135670553059338</v>
      </c>
    </row>
    <row r="251">
      <c r="A251" t="s">
        <v>350</v>
      </c>
      <c r="B251" t="s">
        <v>31</v>
      </c>
      <c r="C251" t="s">
        <v>593</v>
      </c>
      <c r="D251" t="n">
        <v>2</v>
      </c>
      <c r="E251" s="29" t="n">
        <v>0.0215465888193616</v>
      </c>
      <c r="F251" s="29" t="n">
        <v>-0.0281978782598925</v>
      </c>
    </row>
    <row r="252">
      <c r="A252" t="s">
        <v>350</v>
      </c>
      <c r="B252" t="s">
        <v>31</v>
      </c>
      <c r="C252" t="s">
        <v>593</v>
      </c>
      <c r="D252" t="n">
        <v>3</v>
      </c>
      <c r="E252" s="29" t="n">
        <v>0.0200460335988936</v>
      </c>
      <c r="F252" s="29" t="n">
        <v>-0.0301539778686124</v>
      </c>
    </row>
    <row r="253">
      <c r="A253" t="s">
        <v>350</v>
      </c>
      <c r="B253" t="s">
        <v>31</v>
      </c>
      <c r="C253" t="s">
        <v>593</v>
      </c>
      <c r="D253" t="n">
        <v>4</v>
      </c>
      <c r="E253" s="29" t="n">
        <v>0.0113361766499321</v>
      </c>
      <c r="F253" s="29" t="n">
        <v>-0.0370534248804661</v>
      </c>
    </row>
    <row r="254">
      <c r="A254" t="s">
        <v>350</v>
      </c>
      <c r="B254" t="s">
        <v>31</v>
      </c>
      <c r="C254" t="s">
        <v>593</v>
      </c>
      <c r="D254" t="n">
        <v>5</v>
      </c>
      <c r="E254" s="29" t="n">
        <v>-0.000754272760593245</v>
      </c>
      <c r="F254" s="29" t="n">
        <v>-0.0429055906542812</v>
      </c>
    </row>
    <row r="255">
      <c r="A255" t="s">
        <v>350</v>
      </c>
      <c r="B255" t="s">
        <v>31</v>
      </c>
      <c r="C255" t="s">
        <v>593</v>
      </c>
      <c r="D255" t="n">
        <v>6</v>
      </c>
      <c r="E255" s="29" t="n">
        <v>-0.0127785345520235</v>
      </c>
      <c r="F255" s="29" t="n">
        <v>-0.0451329162931994</v>
      </c>
    </row>
    <row r="256">
      <c r="A256" t="s">
        <v>350</v>
      </c>
      <c r="B256" t="s">
        <v>31</v>
      </c>
      <c r="C256" t="s">
        <v>593</v>
      </c>
      <c r="D256" t="n">
        <v>7</v>
      </c>
      <c r="E256" s="29" t="n">
        <v>-0.0188924844287955</v>
      </c>
      <c r="F256" s="29" t="n">
        <v>-0.0460881524987711</v>
      </c>
    </row>
    <row r="257">
      <c r="A257" t="s">
        <v>350</v>
      </c>
      <c r="B257" t="s">
        <v>31</v>
      </c>
      <c r="C257" t="s">
        <v>593</v>
      </c>
      <c r="D257" t="n">
        <v>8</v>
      </c>
      <c r="E257" s="29" t="n">
        <v>-0.0239540952684452</v>
      </c>
      <c r="F257" s="29" t="n">
        <v>-0.0465036584666111</v>
      </c>
    </row>
    <row r="258">
      <c r="A258" t="s">
        <v>350</v>
      </c>
      <c r="B258" t="s">
        <v>31</v>
      </c>
      <c r="C258" t="s">
        <v>593</v>
      </c>
      <c r="D258" t="n">
        <v>9</v>
      </c>
      <c r="E258" s="29" t="n">
        <v>-0.0363753745450652</v>
      </c>
      <c r="F258" s="29" t="n">
        <v>-0.0422296589522184</v>
      </c>
    </row>
    <row r="259">
      <c r="A259" t="s">
        <v>350</v>
      </c>
      <c r="B259" t="s">
        <v>31</v>
      </c>
      <c r="C259" t="s">
        <v>593</v>
      </c>
      <c r="D259" t="n">
        <v>10</v>
      </c>
      <c r="E259" s="29" t="n">
        <v>-0.0581411732953906</v>
      </c>
      <c r="F259" s="29" t="n">
        <v>-0.0335000350705497</v>
      </c>
    </row>
    <row r="260">
      <c r="A260" t="s">
        <v>350</v>
      </c>
      <c r="B260" t="s">
        <v>31</v>
      </c>
      <c r="C260" t="s">
        <v>593</v>
      </c>
      <c r="D260" t="n">
        <v>11</v>
      </c>
      <c r="E260" s="29" t="n">
        <v>-0.0623055765565095</v>
      </c>
      <c r="F260" s="29" t="n">
        <v>-0.0269691658127256</v>
      </c>
    </row>
    <row r="261">
      <c r="A261" t="s">
        <v>350</v>
      </c>
      <c r="B261" t="s">
        <v>31</v>
      </c>
      <c r="C261" t="s">
        <v>593</v>
      </c>
      <c r="D261" t="n">
        <v>12</v>
      </c>
      <c r="E261" s="29" t="n">
        <v>-0.0690548922870218</v>
      </c>
      <c r="F261" s="29" t="n">
        <v>-0.0121291554768522</v>
      </c>
    </row>
    <row r="262">
      <c r="A262" t="s">
        <v>350</v>
      </c>
      <c r="B262" t="s">
        <v>31</v>
      </c>
      <c r="C262" t="s">
        <v>593</v>
      </c>
      <c r="D262" t="n">
        <v>13</v>
      </c>
      <c r="E262" s="29" t="n">
        <v>-0.0655631995998735</v>
      </c>
      <c r="F262" s="29" t="n">
        <v>0.0150394626020624</v>
      </c>
    </row>
    <row r="263">
      <c r="A263" t="s">
        <v>350</v>
      </c>
      <c r="B263" t="s">
        <v>31</v>
      </c>
      <c r="C263" t="s">
        <v>593</v>
      </c>
      <c r="D263" t="n">
        <v>14</v>
      </c>
      <c r="E263" s="29" t="n">
        <v>-0.0571528233040524</v>
      </c>
      <c r="F263" s="29" t="n">
        <v>0.0262822405964177</v>
      </c>
    </row>
    <row r="264">
      <c r="A264" t="s">
        <v>350</v>
      </c>
      <c r="B264" t="s">
        <v>31</v>
      </c>
      <c r="C264" t="s">
        <v>593</v>
      </c>
      <c r="D264" t="n">
        <v>15</v>
      </c>
      <c r="E264" s="29" t="n">
        <v>-0.0470752500479289</v>
      </c>
      <c r="F264" s="29" t="n">
        <v>0.035225957136358</v>
      </c>
    </row>
    <row r="265">
      <c r="A265" t="s">
        <v>350</v>
      </c>
      <c r="B265" t="s">
        <v>31</v>
      </c>
      <c r="C265" t="s">
        <v>593</v>
      </c>
      <c r="D265" t="n">
        <v>16</v>
      </c>
      <c r="E265" s="29" t="n">
        <v>-0.0334917659964897</v>
      </c>
      <c r="F265" s="29" t="n">
        <v>0.0458142342887969</v>
      </c>
    </row>
    <row r="266">
      <c r="A266" t="s">
        <v>350</v>
      </c>
      <c r="B266" t="s">
        <v>31</v>
      </c>
      <c r="C266" t="s">
        <v>593</v>
      </c>
      <c r="D266" t="n">
        <v>17</v>
      </c>
      <c r="E266" s="29" t="n">
        <v>-0.0188606911926633</v>
      </c>
      <c r="F266" s="29" t="n">
        <v>0.048669716704061</v>
      </c>
    </row>
    <row r="267">
      <c r="A267" t="s">
        <v>350</v>
      </c>
      <c r="B267" t="s">
        <v>31</v>
      </c>
      <c r="C267" t="s">
        <v>593</v>
      </c>
      <c r="D267" t="n">
        <v>18</v>
      </c>
      <c r="E267" s="29" t="n">
        <v>-0.0018071552913382</v>
      </c>
      <c r="F267" s="29" t="n">
        <v>0.0476089907750221</v>
      </c>
    </row>
    <row r="268">
      <c r="A268" t="s">
        <v>350</v>
      </c>
      <c r="B268" t="s">
        <v>31</v>
      </c>
      <c r="C268" t="s">
        <v>593</v>
      </c>
      <c r="D268" t="n">
        <v>19</v>
      </c>
      <c r="E268" s="29" t="n">
        <v>0.0167731368312604</v>
      </c>
      <c r="F268" s="29" t="n">
        <v>0.0394226877656073</v>
      </c>
    </row>
    <row r="269">
      <c r="A269" t="s">
        <v>350</v>
      </c>
      <c r="B269" t="s">
        <v>31</v>
      </c>
      <c r="C269" t="s">
        <v>593</v>
      </c>
      <c r="D269" t="n">
        <v>20</v>
      </c>
      <c r="E269" s="29" t="n">
        <v>0.0199582400697695</v>
      </c>
      <c r="F269" s="29" t="n">
        <v>0.0372507628368995</v>
      </c>
    </row>
    <row r="270">
      <c r="A270" t="s">
        <v>350</v>
      </c>
      <c r="B270" t="s">
        <v>31</v>
      </c>
      <c r="C270" t="s">
        <v>593</v>
      </c>
      <c r="D270" t="n">
        <v>21</v>
      </c>
      <c r="E270" s="29" t="n">
        <v>0.0260711748752739</v>
      </c>
      <c r="F270" s="29" t="n">
        <v>0.0322991889256459</v>
      </c>
    </row>
    <row r="271">
      <c r="A271" t="s">
        <v>350</v>
      </c>
      <c r="B271" t="s">
        <v>31</v>
      </c>
      <c r="C271" t="s">
        <v>593</v>
      </c>
      <c r="D271" t="n">
        <v>22</v>
      </c>
      <c r="E271" s="29" t="n">
        <v>0.0326635579802362</v>
      </c>
      <c r="F271" s="29" t="n">
        <v>0.00389298675928834</v>
      </c>
    </row>
    <row r="273">
      <c r="A273" s="1" t="s">
        <v>594</v>
      </c>
    </row>
    <row r="274">
      <c r="A274" t="s">
        <v>1</v>
      </c>
    </row>
    <row r="275">
      <c r="A275" t="s">
        <v>595</v>
      </c>
    </row>
    <row r="276">
      <c r="A276" t="s">
        <v>596</v>
      </c>
    </row>
    <row r="277">
      <c r="A277" t="s">
        <v>597</v>
      </c>
    </row>
    <row r="278">
      <c r="A278" t="s">
        <v>598</v>
      </c>
    </row>
    <row r="279">
      <c r="A279" t="s">
        <v>2023</v>
      </c>
    </row>
    <row r="280">
      <c r="A280" t="s">
        <v>600</v>
      </c>
    </row>
    <row r="281">
      <c r="A281" t="s">
        <v>601</v>
      </c>
    </row>
    <row r="282">
      <c r="A282" t="s">
        <v>602</v>
      </c>
    </row>
    <row r="283">
      <c r="A283" t="s">
        <v>603</v>
      </c>
    </row>
    <row r="284">
      <c r="A284" t="s">
        <v>604</v>
      </c>
    </row>
  </sheetData>
  <pageMargins left="0.7" right="0.7" top="0.75" bottom="0.75" header="0.3" footer="0.3"/>
  <pageSetup paperSize="9" orientation="portrait" horizontalDpi="300" verticalDpi="300"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 t="s">
        <v>1706</v>
      </c>
    </row>
    <row r="2">
      <c r="A2" t="s">
        <v>1707</v>
      </c>
      <c r="B2" t="s">
        <v>5</v>
      </c>
    </row>
    <row r="3">
      <c r="A3" t="s">
        <v>1708</v>
      </c>
      <c r="B3" t="s">
        <v>1709</v>
      </c>
    </row>
    <row r="4">
      <c r="A4" t="s">
        <v>1710</v>
      </c>
      <c r="B4" t="s">
        <v>1711</v>
      </c>
    </row>
    <row r="5">
      <c r="A5" t="s">
        <v>1712</v>
      </c>
      <c r="B5" t="s">
        <v>1713</v>
      </c>
    </row>
    <row r="6">
      <c r="A6" t="s">
        <v>1714</v>
      </c>
      <c r="B6" t="s">
        <v>1715</v>
      </c>
    </row>
    <row r="7">
      <c r="A7" t="s">
        <v>1716</v>
      </c>
      <c r="B7" t="s">
        <v>1717</v>
      </c>
    </row>
    <row r="8">
      <c r="A8" t="s">
        <v>1718</v>
      </c>
      <c r="B8" t="s">
        <v>2024</v>
      </c>
    </row>
    <row r="9">
      <c r="A9" t="s">
        <v>1720</v>
      </c>
      <c r="B9" t="s">
        <v>1721</v>
      </c>
    </row>
    <row r="10">
      <c r="A10" t="s">
        <v>1722</v>
      </c>
      <c r="B10" t="s">
        <v>1723</v>
      </c>
    </row>
    <row r="11">
      <c r="A11" t="s">
        <v>1724</v>
      </c>
      <c r="B11" t="s">
        <v>1725</v>
      </c>
    </row>
    <row r="12">
      <c r="A12" t="s">
        <v>1726</v>
      </c>
      <c r="B12" t="s">
        <v>30</v>
      </c>
    </row>
    <row r="13">
      <c r="A13" t="s">
        <v>1727</v>
      </c>
      <c r="B13" t="s">
        <v>1728</v>
      </c>
    </row>
    <row r="14">
      <c r="A14" t="s">
        <v>1729</v>
      </c>
      <c r="B14" t="s">
        <v>1730</v>
      </c>
    </row>
    <row r="16">
      <c r="A16" s="1" t="s">
        <v>1731</v>
      </c>
    </row>
    <row r="17">
      <c r="A17" t="s">
        <v>1732</v>
      </c>
    </row>
    <row r="18">
      <c r="A18" t="s">
        <v>1480</v>
      </c>
    </row>
    <row r="19">
      <c r="A19" t="s">
        <v>55</v>
      </c>
    </row>
    <row r="20">
      <c r="A20" t="s">
        <v>89</v>
      </c>
    </row>
    <row r="21">
      <c r="A21" t="s">
        <v>76</v>
      </c>
    </row>
    <row r="23">
      <c r="A23" s="1" t="s">
        <v>1733</v>
      </c>
    </row>
    <row r="24">
      <c r="A24" t="s">
        <v>1734</v>
      </c>
      <c r="B24" t="s">
        <v>1735</v>
      </c>
      <c r="C24" t="s">
        <v>1736</v>
      </c>
      <c r="D24" t="s">
        <v>1737</v>
      </c>
      <c r="E24" t="s">
        <v>1738</v>
      </c>
    </row>
    <row r="25">
      <c r="A25" t="s">
        <v>1739</v>
      </c>
      <c r="B25" t="s">
        <v>1710</v>
      </c>
      <c r="C25" s="32" t="n">
        <v>0.426706842824833</v>
      </c>
      <c r="D25" s="32" t="n">
        <v>0.0695300892486581</v>
      </c>
      <c r="E25" t="s">
        <v>1721</v>
      </c>
    </row>
    <row r="26">
      <c r="A26" t="s">
        <v>1480</v>
      </c>
      <c r="B26" t="s">
        <v>1740</v>
      </c>
      <c r="C26" s="32" t="n">
        <v>-0.153502481359971</v>
      </c>
      <c r="D26" s="32" t="n">
        <v>-0.025970751641232</v>
      </c>
      <c r="E26" t="s">
        <v>1721</v>
      </c>
    </row>
    <row r="27">
      <c r="A27" t="s">
        <v>55</v>
      </c>
      <c r="B27" t="s">
        <v>1740</v>
      </c>
      <c r="C27" s="32" t="n">
        <v>0.120112904197393</v>
      </c>
      <c r="D27" s="32" t="n">
        <v>0.0402887400153562</v>
      </c>
      <c r="E27" t="s">
        <v>1721</v>
      </c>
    </row>
    <row r="28">
      <c r="A28" t="s">
        <v>89</v>
      </c>
      <c r="B28" t="s">
        <v>1740</v>
      </c>
      <c r="C28" s="32" t="n">
        <v>0.305022970348683</v>
      </c>
      <c r="D28" s="32" t="n">
        <v>0.0372193769256815</v>
      </c>
      <c r="E28" t="s">
        <v>1721</v>
      </c>
    </row>
    <row r="29">
      <c r="A29" t="s">
        <v>76</v>
      </c>
      <c r="B29" t="s">
        <v>1740</v>
      </c>
      <c r="C29" s="32" t="n">
        <v>-0.144331536869083</v>
      </c>
      <c r="D29" s="32" t="n">
        <v>-0.0434990112039392</v>
      </c>
      <c r="E29" t="s">
        <v>1721</v>
      </c>
    </row>
    <row r="31">
      <c r="A31" s="1" t="s">
        <v>1741</v>
      </c>
    </row>
    <row r="32">
      <c r="A32" t="s">
        <v>1728</v>
      </c>
      <c r="B32" t="s">
        <v>29</v>
      </c>
      <c r="C32" t="s">
        <v>1739</v>
      </c>
      <c r="D32" t="s">
        <v>1742</v>
      </c>
    </row>
    <row r="33">
      <c r="A33" t="s">
        <v>609</v>
      </c>
      <c r="B33" t="s">
        <v>30</v>
      </c>
      <c r="C33" s="32" t="n">
        <v>0.0514829101253182</v>
      </c>
      <c r="D33" s="32" t="n">
        <v>1.51824817518248</v>
      </c>
    </row>
    <row r="34">
      <c r="A34" t="s">
        <v>609</v>
      </c>
      <c r="B34" t="s">
        <v>30</v>
      </c>
      <c r="C34" s="32" t="n">
        <v>-0.254533604244571</v>
      </c>
      <c r="D34" s="32" t="n">
        <v>1.51824817518248</v>
      </c>
    </row>
    <row r="35">
      <c r="A35" t="s">
        <v>613</v>
      </c>
      <c r="B35" t="s">
        <v>30</v>
      </c>
      <c r="C35" s="32" t="n">
        <v>-0.371196906035907</v>
      </c>
      <c r="D35" s="32" t="n">
        <v>0.759124087591241</v>
      </c>
    </row>
    <row r="36">
      <c r="A36" t="s">
        <v>1389</v>
      </c>
      <c r="B36" t="s">
        <v>32</v>
      </c>
      <c r="C36" s="32" t="n">
        <v>0.283634788297085</v>
      </c>
      <c r="D36" s="32" t="n">
        <v>1</v>
      </c>
    </row>
    <row r="37">
      <c r="A37" t="s">
        <v>618</v>
      </c>
      <c r="B37" t="s">
        <v>32</v>
      </c>
      <c r="C37" s="32" t="n">
        <v>0.874600357810984</v>
      </c>
      <c r="D37" s="32" t="n">
        <v>1</v>
      </c>
    </row>
    <row r="38">
      <c r="A38" t="s">
        <v>620</v>
      </c>
      <c r="B38" t="s">
        <v>30</v>
      </c>
      <c r="C38" s="32" t="n">
        <v>-1.07007445506384</v>
      </c>
      <c r="D38" s="32" t="n">
        <v>0.759124087591241</v>
      </c>
    </row>
    <row r="39">
      <c r="A39" t="s">
        <v>625</v>
      </c>
      <c r="B39" t="s">
        <v>30</v>
      </c>
      <c r="C39" s="32" t="n">
        <v>-0.833299261408154</v>
      </c>
      <c r="D39" s="32" t="n">
        <v>0.759124087591241</v>
      </c>
    </row>
    <row r="40">
      <c r="A40" t="s">
        <v>625</v>
      </c>
      <c r="B40" t="s">
        <v>30</v>
      </c>
      <c r="C40" s="32" t="n">
        <v>-0.949583332183698</v>
      </c>
      <c r="D40" s="32" t="n">
        <v>0.759124087591241</v>
      </c>
    </row>
    <row r="41">
      <c r="A41" t="s">
        <v>630</v>
      </c>
      <c r="B41" t="s">
        <v>30</v>
      </c>
      <c r="C41" s="32" t="n">
        <v>-0.982904191583357</v>
      </c>
      <c r="D41" s="32" t="n">
        <v>0.759124087591241</v>
      </c>
    </row>
    <row r="42">
      <c r="A42" t="s">
        <v>633</v>
      </c>
      <c r="B42" t="s">
        <v>30</v>
      </c>
      <c r="C42" s="32" t="n">
        <v>-0.883784302543238</v>
      </c>
      <c r="D42" s="32" t="n">
        <v>0.759124087591241</v>
      </c>
    </row>
    <row r="43">
      <c r="A43" t="s">
        <v>633</v>
      </c>
      <c r="B43" t="s">
        <v>30</v>
      </c>
      <c r="C43" s="32" t="n">
        <v>-0.688656942977429</v>
      </c>
      <c r="D43" s="32" t="n">
        <v>0.759124087591241</v>
      </c>
    </row>
    <row r="44">
      <c r="A44" t="s">
        <v>636</v>
      </c>
      <c r="B44" t="s">
        <v>30</v>
      </c>
      <c r="C44" s="32" t="n">
        <v>0.791682838611495</v>
      </c>
      <c r="D44" s="32" t="n">
        <v>1.51824817518248</v>
      </c>
    </row>
    <row r="45">
      <c r="A45" t="s">
        <v>644</v>
      </c>
      <c r="B45" t="s">
        <v>30</v>
      </c>
      <c r="C45" s="32" t="n">
        <v>-0.376793648204852</v>
      </c>
      <c r="D45" s="32" t="n">
        <v>0.759124087591241</v>
      </c>
    </row>
    <row r="46">
      <c r="A46" t="s">
        <v>646</v>
      </c>
      <c r="B46" t="s">
        <v>30</v>
      </c>
      <c r="C46" s="32" t="n">
        <v>-0.912771237866087</v>
      </c>
      <c r="D46" s="32" t="n">
        <v>0.759124087591241</v>
      </c>
    </row>
    <row r="47">
      <c r="A47" t="s">
        <v>651</v>
      </c>
      <c r="B47" t="s">
        <v>30</v>
      </c>
      <c r="C47" s="32" t="n">
        <v>-0.381503106866111</v>
      </c>
      <c r="D47" s="32" t="n">
        <v>0.759124087591241</v>
      </c>
    </row>
    <row r="48">
      <c r="A48" t="s">
        <v>651</v>
      </c>
      <c r="B48" t="s">
        <v>30</v>
      </c>
      <c r="C48" s="32" t="n">
        <v>-0.596902954517439</v>
      </c>
      <c r="D48" s="32" t="n">
        <v>0.759124087591241</v>
      </c>
    </row>
    <row r="49">
      <c r="A49" t="s">
        <v>654</v>
      </c>
      <c r="B49" t="s">
        <v>30</v>
      </c>
      <c r="C49" s="32" t="n">
        <v>0.432563740347003</v>
      </c>
      <c r="D49" s="32" t="n">
        <v>1.51824817518248</v>
      </c>
    </row>
    <row r="50">
      <c r="A50" t="s">
        <v>654</v>
      </c>
      <c r="B50" t="s">
        <v>30</v>
      </c>
      <c r="C50" s="32" t="n">
        <v>0.435620732759969</v>
      </c>
      <c r="D50" s="32" t="n">
        <v>1.51824817518248</v>
      </c>
    </row>
    <row r="51">
      <c r="A51" t="s">
        <v>657</v>
      </c>
      <c r="B51" t="s">
        <v>30</v>
      </c>
      <c r="C51" s="32" t="n">
        <v>0.212300854484942</v>
      </c>
      <c r="D51" s="32" t="n">
        <v>1.51824817518248</v>
      </c>
    </row>
    <row r="52">
      <c r="A52" t="s">
        <v>657</v>
      </c>
      <c r="B52" t="s">
        <v>30</v>
      </c>
      <c r="C52" s="32" t="n">
        <v>-0.0208878390899723</v>
      </c>
      <c r="D52" s="32" t="n">
        <v>1.51824817518248</v>
      </c>
    </row>
    <row r="53">
      <c r="A53" t="s">
        <v>662</v>
      </c>
      <c r="B53" t="s">
        <v>30</v>
      </c>
      <c r="C53" s="32" t="n">
        <v>0.019026939816999</v>
      </c>
      <c r="D53" s="32" t="n">
        <v>1.51824817518248</v>
      </c>
    </row>
    <row r="54">
      <c r="A54" t="s">
        <v>662</v>
      </c>
      <c r="B54" t="s">
        <v>30</v>
      </c>
      <c r="C54" s="32" t="n">
        <v>0.381523722741163</v>
      </c>
      <c r="D54" s="32" t="n">
        <v>1.51824817518248</v>
      </c>
    </row>
    <row r="55">
      <c r="A55" t="s">
        <v>667</v>
      </c>
      <c r="B55" t="s">
        <v>30</v>
      </c>
      <c r="C55" s="32" t="n">
        <v>-0.672142339706372</v>
      </c>
      <c r="D55" s="32" t="n">
        <v>0.759124087591241</v>
      </c>
    </row>
    <row r="56">
      <c r="A56" t="s">
        <v>669</v>
      </c>
      <c r="B56" t="s">
        <v>32</v>
      </c>
      <c r="C56" s="32" t="n">
        <v>0.0932478822623415</v>
      </c>
      <c r="D56" s="32" t="n">
        <v>1</v>
      </c>
    </row>
    <row r="57">
      <c r="A57" t="s">
        <v>669</v>
      </c>
      <c r="B57" t="s">
        <v>32</v>
      </c>
      <c r="C57" s="32" t="n">
        <v>-0.425252336042653</v>
      </c>
      <c r="D57" s="32" t="n">
        <v>1</v>
      </c>
    </row>
    <row r="58">
      <c r="A58" t="s">
        <v>672</v>
      </c>
      <c r="B58" t="s">
        <v>32</v>
      </c>
      <c r="C58" s="32" t="n">
        <v>-0.337357490589446</v>
      </c>
      <c r="D58" s="32" t="n">
        <v>1</v>
      </c>
    </row>
    <row r="59">
      <c r="A59" t="s">
        <v>672</v>
      </c>
      <c r="B59" t="s">
        <v>32</v>
      </c>
      <c r="C59" s="32" t="n">
        <v>-0.295443115245535</v>
      </c>
      <c r="D59" s="32" t="n">
        <v>1</v>
      </c>
    </row>
    <row r="60">
      <c r="A60" t="s">
        <v>675</v>
      </c>
      <c r="B60" t="s">
        <v>32</v>
      </c>
      <c r="C60" s="32" t="n">
        <v>-0.953313701274735</v>
      </c>
      <c r="D60" s="32" t="n">
        <v>1</v>
      </c>
    </row>
    <row r="61">
      <c r="A61" t="s">
        <v>675</v>
      </c>
      <c r="B61" t="s">
        <v>32</v>
      </c>
      <c r="C61" s="32" t="n">
        <v>-1.10173468242011</v>
      </c>
      <c r="D61" s="32" t="n">
        <v>1</v>
      </c>
    </row>
    <row r="62">
      <c r="A62" t="s">
        <v>681</v>
      </c>
      <c r="B62" t="s">
        <v>30</v>
      </c>
      <c r="C62" s="32" t="n">
        <v>-0.912335018802075</v>
      </c>
      <c r="D62" s="32" t="n">
        <v>0.759124087591241</v>
      </c>
    </row>
    <row r="63">
      <c r="A63" t="s">
        <v>1395</v>
      </c>
      <c r="B63" t="s">
        <v>30</v>
      </c>
      <c r="C63" s="32" t="n">
        <v>-0.518299157099687</v>
      </c>
      <c r="D63" s="32" t="n">
        <v>0.759124087591241</v>
      </c>
    </row>
    <row r="64">
      <c r="A64" t="s">
        <v>1395</v>
      </c>
      <c r="B64" t="s">
        <v>30</v>
      </c>
      <c r="C64" s="32" t="n">
        <v>-0.714272369928071</v>
      </c>
      <c r="D64" s="32" t="n">
        <v>0.759124087591241</v>
      </c>
    </row>
    <row r="65">
      <c r="A65" t="s">
        <v>1398</v>
      </c>
      <c r="B65" t="s">
        <v>32</v>
      </c>
      <c r="C65" s="32" t="n">
        <v>-0.449569613484582</v>
      </c>
      <c r="D65" s="32" t="n">
        <v>1</v>
      </c>
    </row>
    <row r="66">
      <c r="A66" t="s">
        <v>1398</v>
      </c>
      <c r="B66" t="s">
        <v>32</v>
      </c>
      <c r="C66" s="32" t="n">
        <v>-0.544567318488647</v>
      </c>
      <c r="D66" s="32" t="n">
        <v>1</v>
      </c>
    </row>
    <row r="67">
      <c r="A67" t="s">
        <v>683</v>
      </c>
      <c r="B67" t="s">
        <v>30</v>
      </c>
      <c r="C67" s="32" t="n">
        <v>-0.218910024014424</v>
      </c>
      <c r="D67" s="32" t="n">
        <v>1.51824817518248</v>
      </c>
    </row>
    <row r="68">
      <c r="A68" t="s">
        <v>1401</v>
      </c>
      <c r="B68" t="s">
        <v>32</v>
      </c>
      <c r="C68" s="32" t="n">
        <v>-0.687719630746576</v>
      </c>
      <c r="D68" s="32" t="n">
        <v>1</v>
      </c>
    </row>
    <row r="69">
      <c r="A69" t="s">
        <v>1401</v>
      </c>
      <c r="B69" t="s">
        <v>32</v>
      </c>
      <c r="C69" s="32" t="n">
        <v>-0.518933606442554</v>
      </c>
      <c r="D69" s="32" t="n">
        <v>1</v>
      </c>
    </row>
    <row r="70">
      <c r="A70" t="s">
        <v>687</v>
      </c>
      <c r="B70" t="s">
        <v>32</v>
      </c>
      <c r="C70" s="32" t="n">
        <v>-0.829930392764187</v>
      </c>
      <c r="D70" s="32" t="n">
        <v>1</v>
      </c>
    </row>
    <row r="71">
      <c r="A71" t="s">
        <v>687</v>
      </c>
      <c r="B71" t="s">
        <v>32</v>
      </c>
      <c r="C71" s="32" t="n">
        <v>-0.791384688736934</v>
      </c>
      <c r="D71" s="32" t="n">
        <v>1</v>
      </c>
    </row>
    <row r="72">
      <c r="A72" t="s">
        <v>1404</v>
      </c>
      <c r="B72" t="s">
        <v>32</v>
      </c>
      <c r="C72" s="32" t="n">
        <v>-0.338414873616857</v>
      </c>
      <c r="D72" s="32" t="n">
        <v>1</v>
      </c>
    </row>
    <row r="73">
      <c r="A73" t="s">
        <v>1404</v>
      </c>
      <c r="B73" t="s">
        <v>32</v>
      </c>
      <c r="C73" s="32" t="n">
        <v>-0.444658513004536</v>
      </c>
      <c r="D73" s="32" t="n">
        <v>1</v>
      </c>
    </row>
    <row r="74">
      <c r="A74" t="s">
        <v>696</v>
      </c>
      <c r="B74" t="s">
        <v>30</v>
      </c>
      <c r="C74" s="32" t="n">
        <v>-0.71208223021686</v>
      </c>
      <c r="D74" s="32" t="n">
        <v>0.759124087591241</v>
      </c>
    </row>
    <row r="75">
      <c r="A75" t="s">
        <v>699</v>
      </c>
      <c r="B75" t="s">
        <v>32</v>
      </c>
      <c r="C75" s="32" t="n">
        <v>-0.790589806281396</v>
      </c>
      <c r="D75" s="32" t="n">
        <v>1</v>
      </c>
    </row>
    <row r="76">
      <c r="A76" t="s">
        <v>699</v>
      </c>
      <c r="B76" t="s">
        <v>32</v>
      </c>
      <c r="C76" s="32" t="n">
        <v>-0.649583254948096</v>
      </c>
      <c r="D76" s="32" t="n">
        <v>1</v>
      </c>
    </row>
    <row r="77">
      <c r="A77" t="s">
        <v>702</v>
      </c>
      <c r="B77" t="s">
        <v>32</v>
      </c>
      <c r="C77" s="32" t="n">
        <v>-0.679746993874312</v>
      </c>
      <c r="D77" s="32" t="n">
        <v>1</v>
      </c>
    </row>
    <row r="78">
      <c r="A78" t="s">
        <v>702</v>
      </c>
      <c r="B78" t="s">
        <v>32</v>
      </c>
      <c r="C78" s="32" t="n">
        <v>-0.825907031528561</v>
      </c>
      <c r="D78" s="32" t="n">
        <v>1</v>
      </c>
    </row>
    <row r="79">
      <c r="A79" t="s">
        <v>705</v>
      </c>
      <c r="B79" t="s">
        <v>30</v>
      </c>
      <c r="C79" s="32" t="n">
        <v>-0.73271611010697</v>
      </c>
      <c r="D79" s="32" t="n">
        <v>0.759124087591241</v>
      </c>
    </row>
    <row r="80">
      <c r="A80" t="s">
        <v>709</v>
      </c>
      <c r="B80" t="s">
        <v>32</v>
      </c>
      <c r="C80" s="32" t="n">
        <v>0.000943730946171062</v>
      </c>
      <c r="D80" s="32" t="n">
        <v>1</v>
      </c>
    </row>
    <row r="81">
      <c r="A81" t="s">
        <v>711</v>
      </c>
      <c r="B81" t="s">
        <v>32</v>
      </c>
      <c r="C81" s="32" t="n">
        <v>-0.856170898515256</v>
      </c>
      <c r="D81" s="32" t="n">
        <v>1</v>
      </c>
    </row>
    <row r="82">
      <c r="A82" t="s">
        <v>714</v>
      </c>
      <c r="B82" t="s">
        <v>32</v>
      </c>
      <c r="C82" s="32" t="n">
        <v>-0.11148469704735</v>
      </c>
      <c r="D82" s="32" t="n">
        <v>1</v>
      </c>
    </row>
    <row r="83">
      <c r="A83" t="s">
        <v>714</v>
      </c>
      <c r="B83" t="s">
        <v>32</v>
      </c>
      <c r="C83" s="32" t="n">
        <v>-0.337788468478004</v>
      </c>
      <c r="D83" s="32" t="n">
        <v>1</v>
      </c>
    </row>
    <row r="84">
      <c r="A84" t="s">
        <v>1407</v>
      </c>
      <c r="B84" t="s">
        <v>30</v>
      </c>
      <c r="C84" s="32" t="n">
        <v>-1.52261444581306</v>
      </c>
      <c r="D84" s="32" t="n">
        <v>0.759124087591241</v>
      </c>
    </row>
    <row r="85">
      <c r="A85" t="s">
        <v>719</v>
      </c>
      <c r="B85" t="s">
        <v>30</v>
      </c>
      <c r="C85" s="32" t="n">
        <v>-0.607330858452414</v>
      </c>
      <c r="D85" s="32" t="n">
        <v>0.759124087591241</v>
      </c>
    </row>
    <row r="86">
      <c r="A86" t="s">
        <v>722</v>
      </c>
      <c r="B86" t="s">
        <v>30</v>
      </c>
      <c r="C86" s="32" t="n">
        <v>-0.80089417747608</v>
      </c>
      <c r="D86" s="32" t="n">
        <v>0.759124087591241</v>
      </c>
    </row>
    <row r="87">
      <c r="A87" t="s">
        <v>722</v>
      </c>
      <c r="B87" t="s">
        <v>30</v>
      </c>
      <c r="C87" s="32" t="n">
        <v>-0.585328369524494</v>
      </c>
      <c r="D87" s="32" t="n">
        <v>0.759124087591241</v>
      </c>
    </row>
    <row r="88">
      <c r="A88" t="s">
        <v>725</v>
      </c>
      <c r="B88" t="s">
        <v>32</v>
      </c>
      <c r="C88" s="32" t="n">
        <v>-0.291659551352209</v>
      </c>
      <c r="D88" s="32" t="n">
        <v>1</v>
      </c>
    </row>
    <row r="89">
      <c r="A89" t="s">
        <v>725</v>
      </c>
      <c r="B89" t="s">
        <v>32</v>
      </c>
      <c r="C89" s="32" t="n">
        <v>-0.478674949014746</v>
      </c>
      <c r="D89" s="32" t="n">
        <v>1</v>
      </c>
    </row>
    <row r="90">
      <c r="A90" t="s">
        <v>728</v>
      </c>
      <c r="B90" t="s">
        <v>30</v>
      </c>
      <c r="C90" s="32" t="n">
        <v>-0.683789252144962</v>
      </c>
      <c r="D90" s="32" t="n">
        <v>0.759124087591241</v>
      </c>
    </row>
    <row r="91">
      <c r="A91" t="s">
        <v>728</v>
      </c>
      <c r="B91" t="s">
        <v>30</v>
      </c>
      <c r="C91" s="32" t="n">
        <v>-0.315784972130057</v>
      </c>
      <c r="D91" s="32" t="n">
        <v>0.759124087591241</v>
      </c>
    </row>
    <row r="92">
      <c r="A92" t="s">
        <v>731</v>
      </c>
      <c r="B92" t="s">
        <v>30</v>
      </c>
      <c r="C92" s="32" t="n">
        <v>0.20678489857792</v>
      </c>
      <c r="D92" s="32" t="n">
        <v>0.759124087591241</v>
      </c>
    </row>
    <row r="93">
      <c r="A93" t="s">
        <v>731</v>
      </c>
      <c r="B93" t="s">
        <v>30</v>
      </c>
      <c r="C93" s="32" t="n">
        <v>-0.106116537936229</v>
      </c>
      <c r="D93" s="32" t="n">
        <v>1.51824817518248</v>
      </c>
    </row>
    <row r="94">
      <c r="A94" t="s">
        <v>734</v>
      </c>
      <c r="B94" t="s">
        <v>30</v>
      </c>
      <c r="C94" s="32" t="n">
        <v>-1.10881079805923</v>
      </c>
      <c r="D94" s="32" t="n">
        <v>0.759124087591241</v>
      </c>
    </row>
    <row r="95">
      <c r="A95" t="s">
        <v>734</v>
      </c>
      <c r="B95" t="s">
        <v>30</v>
      </c>
      <c r="C95" s="32" t="n">
        <v>-0.887610708608798</v>
      </c>
      <c r="D95" s="32" t="n">
        <v>0.759124087591241</v>
      </c>
    </row>
    <row r="96">
      <c r="A96" t="s">
        <v>737</v>
      </c>
      <c r="B96" t="s">
        <v>30</v>
      </c>
      <c r="C96" s="32" t="n">
        <v>-0.7965719557536</v>
      </c>
      <c r="D96" s="32" t="n">
        <v>0.759124087591241</v>
      </c>
    </row>
    <row r="97">
      <c r="A97" t="s">
        <v>737</v>
      </c>
      <c r="B97" t="s">
        <v>30</v>
      </c>
      <c r="C97" s="32" t="n">
        <v>-0.831765858536392</v>
      </c>
      <c r="D97" s="32" t="n">
        <v>0.759124087591241</v>
      </c>
    </row>
    <row r="98">
      <c r="A98" t="s">
        <v>743</v>
      </c>
      <c r="B98" t="s">
        <v>32</v>
      </c>
      <c r="C98" s="32" t="n">
        <v>-0.622019423906546</v>
      </c>
      <c r="D98" s="32" t="n">
        <v>1</v>
      </c>
    </row>
    <row r="99">
      <c r="A99" t="s">
        <v>743</v>
      </c>
      <c r="B99" t="s">
        <v>32</v>
      </c>
      <c r="C99" s="32" t="n">
        <v>-0.508792345543968</v>
      </c>
      <c r="D99" s="32" t="n">
        <v>1</v>
      </c>
    </row>
    <row r="100">
      <c r="A100" t="s">
        <v>746</v>
      </c>
      <c r="B100" t="s">
        <v>30</v>
      </c>
      <c r="C100" s="32" t="n">
        <v>0.160804428468627</v>
      </c>
      <c r="D100" s="32" t="n">
        <v>1.51824817518248</v>
      </c>
    </row>
    <row r="101">
      <c r="A101" t="s">
        <v>748</v>
      </c>
      <c r="B101" t="s">
        <v>32</v>
      </c>
      <c r="C101" s="32" t="n">
        <v>0.166053734479135</v>
      </c>
      <c r="D101" s="32" t="n">
        <v>1</v>
      </c>
    </row>
    <row r="102">
      <c r="A102" t="s">
        <v>750</v>
      </c>
      <c r="B102" t="s">
        <v>32</v>
      </c>
      <c r="C102" s="32" t="n">
        <v>-0.945340108212084</v>
      </c>
      <c r="D102" s="32" t="n">
        <v>1</v>
      </c>
    </row>
    <row r="103">
      <c r="A103" t="s">
        <v>750</v>
      </c>
      <c r="B103" t="s">
        <v>32</v>
      </c>
      <c r="C103" s="32" t="n">
        <v>-0.562957985456353</v>
      </c>
      <c r="D103" s="32" t="n">
        <v>1</v>
      </c>
    </row>
    <row r="104">
      <c r="A104" t="s">
        <v>753</v>
      </c>
      <c r="B104" t="s">
        <v>30</v>
      </c>
      <c r="C104" s="32" t="n">
        <v>-0.429969393023671</v>
      </c>
      <c r="D104" s="32" t="n">
        <v>1.51824817518248</v>
      </c>
    </row>
    <row r="105">
      <c r="A105" t="s">
        <v>753</v>
      </c>
      <c r="B105" t="s">
        <v>30</v>
      </c>
      <c r="C105" s="32" t="n">
        <v>-0.494320193830702</v>
      </c>
      <c r="D105" s="32" t="n">
        <v>1.51824817518248</v>
      </c>
    </row>
    <row r="106">
      <c r="A106" t="s">
        <v>756</v>
      </c>
      <c r="B106" t="s">
        <v>30</v>
      </c>
      <c r="C106" s="32" t="n">
        <v>-0.940214985162467</v>
      </c>
      <c r="D106" s="32" t="n">
        <v>0.759124087591241</v>
      </c>
    </row>
    <row r="107">
      <c r="A107" t="s">
        <v>762</v>
      </c>
      <c r="B107" t="s">
        <v>32</v>
      </c>
      <c r="C107" s="32" t="n">
        <v>-0.201235588845637</v>
      </c>
      <c r="D107" s="32" t="n">
        <v>1</v>
      </c>
    </row>
    <row r="108">
      <c r="A108" t="s">
        <v>762</v>
      </c>
      <c r="B108" t="s">
        <v>32</v>
      </c>
      <c r="C108" s="32" t="n">
        <v>-0.557807948130524</v>
      </c>
      <c r="D108" s="32" t="n">
        <v>1</v>
      </c>
    </row>
    <row r="109">
      <c r="A109" t="s">
        <v>765</v>
      </c>
      <c r="B109" t="s">
        <v>32</v>
      </c>
      <c r="C109" s="32" t="n">
        <v>-1.07304148515632</v>
      </c>
      <c r="D109" s="32" t="n">
        <v>1</v>
      </c>
    </row>
    <row r="110">
      <c r="A110" t="s">
        <v>765</v>
      </c>
      <c r="B110" t="s">
        <v>32</v>
      </c>
      <c r="C110" s="32" t="n">
        <v>-1.04672841747199</v>
      </c>
      <c r="D110" s="32" t="n">
        <v>1</v>
      </c>
    </row>
    <row r="111">
      <c r="A111" t="s">
        <v>768</v>
      </c>
      <c r="B111" t="s">
        <v>30</v>
      </c>
      <c r="C111" s="32" t="n">
        <v>0.308210441197941</v>
      </c>
      <c r="D111" s="32" t="n">
        <v>1.51824817518248</v>
      </c>
    </row>
    <row r="112">
      <c r="A112" t="s">
        <v>768</v>
      </c>
      <c r="B112" t="s">
        <v>30</v>
      </c>
      <c r="C112" s="32" t="n">
        <v>0.299039463959045</v>
      </c>
      <c r="D112" s="32" t="n">
        <v>1.51824817518248</v>
      </c>
    </row>
    <row r="113">
      <c r="A113" t="s">
        <v>1410</v>
      </c>
      <c r="B113" t="s">
        <v>32</v>
      </c>
      <c r="C113" s="32" t="n">
        <v>-0.379313630324114</v>
      </c>
      <c r="D113" s="32" t="n">
        <v>1</v>
      </c>
    </row>
    <row r="114">
      <c r="A114" t="s">
        <v>774</v>
      </c>
      <c r="B114" t="s">
        <v>30</v>
      </c>
      <c r="C114" s="32" t="n">
        <v>-0.79302050219799</v>
      </c>
      <c r="D114" s="32" t="n">
        <v>0.759124087591241</v>
      </c>
    </row>
    <row r="115">
      <c r="A115" t="s">
        <v>774</v>
      </c>
      <c r="B115" t="s">
        <v>30</v>
      </c>
      <c r="C115" s="32" t="n">
        <v>-0.700548217815948</v>
      </c>
      <c r="D115" s="32" t="n">
        <v>0.759124087591241</v>
      </c>
    </row>
    <row r="116">
      <c r="A116" t="s">
        <v>777</v>
      </c>
      <c r="B116" t="s">
        <v>32</v>
      </c>
      <c r="C116" s="32" t="n">
        <v>-0.577049369539482</v>
      </c>
      <c r="D116" s="32" t="n">
        <v>1</v>
      </c>
    </row>
    <row r="117">
      <c r="A117" t="s">
        <v>777</v>
      </c>
      <c r="B117" t="s">
        <v>32</v>
      </c>
      <c r="C117" s="32" t="n">
        <v>-0.65442418892022</v>
      </c>
      <c r="D117" s="32" t="n">
        <v>1</v>
      </c>
    </row>
    <row r="118">
      <c r="A118" t="s">
        <v>1412</v>
      </c>
      <c r="B118" t="s">
        <v>30</v>
      </c>
      <c r="C118" s="32" t="n">
        <v>-0.601365014673198</v>
      </c>
      <c r="D118" s="32" t="n">
        <v>0.759124087591241</v>
      </c>
    </row>
    <row r="119">
      <c r="A119" t="s">
        <v>780</v>
      </c>
      <c r="B119" t="s">
        <v>30</v>
      </c>
      <c r="C119" s="32" t="n">
        <v>-0.00276249568035081</v>
      </c>
      <c r="D119" s="32" t="n">
        <v>1.51824817518248</v>
      </c>
    </row>
    <row r="120">
      <c r="A120" t="s">
        <v>780</v>
      </c>
      <c r="B120" t="s">
        <v>30</v>
      </c>
      <c r="C120" s="32" t="n">
        <v>-0.397297672143698</v>
      </c>
      <c r="D120" s="32" t="n">
        <v>0.759124087591241</v>
      </c>
    </row>
    <row r="121">
      <c r="A121" t="s">
        <v>783</v>
      </c>
      <c r="B121" t="s">
        <v>30</v>
      </c>
      <c r="C121" s="32" t="n">
        <v>-0.298474983106371</v>
      </c>
      <c r="D121" s="32" t="n">
        <v>1.51824817518248</v>
      </c>
    </row>
    <row r="122">
      <c r="A122" t="s">
        <v>783</v>
      </c>
      <c r="B122" t="s">
        <v>30</v>
      </c>
      <c r="C122" s="32" t="n">
        <v>-0.584582556758296</v>
      </c>
      <c r="D122" s="32" t="n">
        <v>0.759124087591241</v>
      </c>
    </row>
    <row r="123">
      <c r="A123" t="s">
        <v>792</v>
      </c>
      <c r="B123" t="s">
        <v>32</v>
      </c>
      <c r="C123" s="32" t="n">
        <v>0.270851536204681</v>
      </c>
      <c r="D123" s="32" t="n">
        <v>1</v>
      </c>
    </row>
    <row r="124">
      <c r="A124" t="s">
        <v>792</v>
      </c>
      <c r="B124" t="s">
        <v>32</v>
      </c>
      <c r="C124" s="32" t="n">
        <v>-0.271144122899055</v>
      </c>
      <c r="D124" s="32" t="n">
        <v>1</v>
      </c>
    </row>
    <row r="125">
      <c r="A125" t="s">
        <v>795</v>
      </c>
      <c r="B125" t="s">
        <v>32</v>
      </c>
      <c r="C125" s="32" t="n">
        <v>-0.39836254484839</v>
      </c>
      <c r="D125" s="32" t="n">
        <v>1</v>
      </c>
    </row>
    <row r="126">
      <c r="A126" t="s">
        <v>795</v>
      </c>
      <c r="B126" t="s">
        <v>32</v>
      </c>
      <c r="C126" s="32" t="n">
        <v>-0.267056478421799</v>
      </c>
      <c r="D126" s="32" t="n">
        <v>1</v>
      </c>
    </row>
    <row r="127">
      <c r="A127" t="s">
        <v>809</v>
      </c>
      <c r="B127" t="s">
        <v>32</v>
      </c>
      <c r="C127" s="32" t="n">
        <v>-0.588478147244165</v>
      </c>
      <c r="D127" s="32" t="n">
        <v>1</v>
      </c>
    </row>
    <row r="128">
      <c r="A128" t="s">
        <v>809</v>
      </c>
      <c r="B128" t="s">
        <v>32</v>
      </c>
      <c r="C128" s="32" t="n">
        <v>-0.503234306327791</v>
      </c>
      <c r="D128" s="32" t="n">
        <v>1</v>
      </c>
    </row>
    <row r="129">
      <c r="A129" t="s">
        <v>812</v>
      </c>
      <c r="B129" t="s">
        <v>30</v>
      </c>
      <c r="C129" s="32" t="n">
        <v>-0.797691033524041</v>
      </c>
      <c r="D129" s="32" t="n">
        <v>0.759124087591241</v>
      </c>
    </row>
    <row r="130">
      <c r="A130" t="s">
        <v>812</v>
      </c>
      <c r="B130" t="s">
        <v>30</v>
      </c>
      <c r="C130" s="32" t="n">
        <v>-0.802315012177176</v>
      </c>
      <c r="D130" s="32" t="n">
        <v>0.759124087591241</v>
      </c>
    </row>
    <row r="131">
      <c r="A131" t="s">
        <v>815</v>
      </c>
      <c r="B131" t="s">
        <v>30</v>
      </c>
      <c r="C131" s="32" t="n">
        <v>-0.444607613679676</v>
      </c>
      <c r="D131" s="32" t="n">
        <v>0.759124087591241</v>
      </c>
    </row>
    <row r="132">
      <c r="A132" t="s">
        <v>815</v>
      </c>
      <c r="B132" t="s">
        <v>30</v>
      </c>
      <c r="C132" s="32" t="n">
        <v>-0.406090177229887</v>
      </c>
      <c r="D132" s="32" t="n">
        <v>0.759124087591241</v>
      </c>
    </row>
    <row r="133">
      <c r="A133" t="s">
        <v>818</v>
      </c>
      <c r="B133" t="s">
        <v>32</v>
      </c>
      <c r="C133" s="32" t="n">
        <v>-0.812110762246713</v>
      </c>
      <c r="D133" s="32" t="n">
        <v>1</v>
      </c>
    </row>
    <row r="134">
      <c r="A134" t="s">
        <v>823</v>
      </c>
      <c r="B134" t="s">
        <v>30</v>
      </c>
      <c r="C134" s="32" t="n">
        <v>-0.350260456278984</v>
      </c>
      <c r="D134" s="32" t="n">
        <v>1.51824817518248</v>
      </c>
    </row>
    <row r="135">
      <c r="A135" t="s">
        <v>823</v>
      </c>
      <c r="B135" t="s">
        <v>30</v>
      </c>
      <c r="C135" s="32" t="n">
        <v>-0.362754967184877</v>
      </c>
      <c r="D135" s="32" t="n">
        <v>0.759124087591241</v>
      </c>
    </row>
    <row r="136">
      <c r="A136" t="s">
        <v>1417</v>
      </c>
      <c r="B136" t="s">
        <v>30</v>
      </c>
      <c r="C136" s="32" t="n">
        <v>-0.0911135651653372</v>
      </c>
      <c r="D136" s="32" t="n">
        <v>1.51824817518248</v>
      </c>
    </row>
    <row r="137">
      <c r="A137" t="s">
        <v>1417</v>
      </c>
      <c r="B137" t="s">
        <v>30</v>
      </c>
      <c r="C137" s="32" t="n">
        <v>-0.327069109012787</v>
      </c>
      <c r="D137" s="32" t="n">
        <v>1.51824817518248</v>
      </c>
    </row>
    <row r="138">
      <c r="A138" t="s">
        <v>833</v>
      </c>
      <c r="B138" t="s">
        <v>32</v>
      </c>
      <c r="C138" s="32" t="n">
        <v>-0.161676453016673</v>
      </c>
      <c r="D138" s="32" t="n">
        <v>1</v>
      </c>
    </row>
    <row r="139">
      <c r="A139" t="s">
        <v>835</v>
      </c>
      <c r="B139" t="s">
        <v>30</v>
      </c>
      <c r="C139" s="32" t="n">
        <v>-0.712002967620669</v>
      </c>
      <c r="D139" s="32" t="n">
        <v>0.759124087591241</v>
      </c>
    </row>
    <row r="140">
      <c r="A140" t="s">
        <v>835</v>
      </c>
      <c r="B140" t="s">
        <v>30</v>
      </c>
      <c r="C140" s="32" t="n">
        <v>-0.481341758790908</v>
      </c>
      <c r="D140" s="32" t="n">
        <v>0.759124087591241</v>
      </c>
    </row>
    <row r="141">
      <c r="A141" t="s">
        <v>842</v>
      </c>
      <c r="B141" t="s">
        <v>30</v>
      </c>
      <c r="C141" s="32" t="n">
        <v>-0.997420498858672</v>
      </c>
      <c r="D141" s="32" t="n">
        <v>0.759124087591241</v>
      </c>
    </row>
    <row r="142">
      <c r="A142" t="s">
        <v>845</v>
      </c>
      <c r="B142" t="s">
        <v>32</v>
      </c>
      <c r="C142" s="32" t="n">
        <v>-0.00709058772051108</v>
      </c>
      <c r="D142" s="32" t="n">
        <v>1</v>
      </c>
    </row>
    <row r="143">
      <c r="A143" t="s">
        <v>845</v>
      </c>
      <c r="B143" t="s">
        <v>32</v>
      </c>
      <c r="C143" s="32" t="n">
        <v>-0.0610433715296312</v>
      </c>
      <c r="D143" s="32" t="n">
        <v>1</v>
      </c>
    </row>
    <row r="144">
      <c r="A144" t="s">
        <v>1423</v>
      </c>
      <c r="B144" t="s">
        <v>30</v>
      </c>
      <c r="C144" s="32" t="n">
        <v>-0.681027827426574</v>
      </c>
      <c r="D144" s="32" t="n">
        <v>0.759124087591241</v>
      </c>
    </row>
    <row r="145">
      <c r="A145" t="s">
        <v>1423</v>
      </c>
      <c r="B145" t="s">
        <v>30</v>
      </c>
      <c r="C145" s="32" t="n">
        <v>-0.74431961289798</v>
      </c>
      <c r="D145" s="32" t="n">
        <v>0.759124087591241</v>
      </c>
    </row>
    <row r="146">
      <c r="A146" t="s">
        <v>854</v>
      </c>
      <c r="B146" t="s">
        <v>32</v>
      </c>
      <c r="C146" s="32" t="n">
        <v>-0.152965493055492</v>
      </c>
      <c r="D146" s="32" t="n">
        <v>1</v>
      </c>
    </row>
    <row r="147">
      <c r="A147" t="s">
        <v>854</v>
      </c>
      <c r="B147" t="s">
        <v>32</v>
      </c>
      <c r="C147" s="32" t="n">
        <v>0.0997011504002182</v>
      </c>
      <c r="D147" s="32" t="n">
        <v>1</v>
      </c>
    </row>
    <row r="148">
      <c r="A148" t="s">
        <v>857</v>
      </c>
      <c r="B148" t="s">
        <v>30</v>
      </c>
      <c r="C148" s="32" t="n">
        <v>-1.06877629260652</v>
      </c>
      <c r="D148" s="32" t="n">
        <v>0.759124087591241</v>
      </c>
    </row>
    <row r="149">
      <c r="A149" t="s">
        <v>857</v>
      </c>
      <c r="B149" t="s">
        <v>30</v>
      </c>
      <c r="C149" s="32" t="n">
        <v>-1.08586967056203</v>
      </c>
      <c r="D149" s="32" t="n">
        <v>0.759124087591241</v>
      </c>
    </row>
    <row r="150">
      <c r="A150" t="s">
        <v>860</v>
      </c>
      <c r="B150" t="s">
        <v>30</v>
      </c>
      <c r="C150" s="32" t="n">
        <v>-0.859441053001273</v>
      </c>
      <c r="D150" s="32" t="n">
        <v>0.759124087591241</v>
      </c>
    </row>
    <row r="151">
      <c r="A151" t="s">
        <v>866</v>
      </c>
      <c r="B151" t="s">
        <v>30</v>
      </c>
      <c r="C151" s="32" t="n">
        <v>-0.974712648165495</v>
      </c>
      <c r="D151" s="32" t="n">
        <v>0.759124087591241</v>
      </c>
    </row>
    <row r="152">
      <c r="A152" t="s">
        <v>868</v>
      </c>
      <c r="B152" t="s">
        <v>32</v>
      </c>
      <c r="C152" s="32" t="n">
        <v>0.105794911852697</v>
      </c>
      <c r="D152" s="32" t="n">
        <v>1</v>
      </c>
    </row>
    <row r="153">
      <c r="A153" t="s">
        <v>875</v>
      </c>
      <c r="B153" t="s">
        <v>32</v>
      </c>
      <c r="C153" s="32" t="n">
        <v>-0.712876659779103</v>
      </c>
      <c r="D153" s="32" t="n">
        <v>1</v>
      </c>
    </row>
    <row r="154">
      <c r="A154" t="s">
        <v>875</v>
      </c>
      <c r="B154" t="s">
        <v>32</v>
      </c>
      <c r="C154" s="32" t="n">
        <v>-0.947124368689641</v>
      </c>
      <c r="D154" s="32" t="n">
        <v>1</v>
      </c>
    </row>
    <row r="155">
      <c r="A155" t="s">
        <v>1426</v>
      </c>
      <c r="B155" t="s">
        <v>30</v>
      </c>
      <c r="C155" s="32" t="n">
        <v>-0.250491651943708</v>
      </c>
      <c r="D155" s="32" t="n">
        <v>1.51824817518248</v>
      </c>
    </row>
    <row r="156">
      <c r="A156" t="s">
        <v>883</v>
      </c>
      <c r="B156" t="s">
        <v>30</v>
      </c>
      <c r="C156" s="32" t="n">
        <v>-0.599217621440355</v>
      </c>
      <c r="D156" s="32" t="n">
        <v>0.759124087591241</v>
      </c>
    </row>
    <row r="157">
      <c r="A157" t="s">
        <v>883</v>
      </c>
      <c r="B157" t="s">
        <v>30</v>
      </c>
      <c r="C157" s="32" t="n">
        <v>-0.754790065984015</v>
      </c>
      <c r="D157" s="32" t="n">
        <v>0.759124087591241</v>
      </c>
    </row>
    <row r="158">
      <c r="A158" t="s">
        <v>886</v>
      </c>
      <c r="B158" t="s">
        <v>30</v>
      </c>
      <c r="C158" s="32" t="n">
        <v>-0.537655652432656</v>
      </c>
      <c r="D158" s="32" t="n">
        <v>0.759124087591241</v>
      </c>
    </row>
    <row r="159">
      <c r="A159" t="s">
        <v>886</v>
      </c>
      <c r="B159" t="s">
        <v>30</v>
      </c>
      <c r="C159" s="32" t="n">
        <v>-0.394917665276047</v>
      </c>
      <c r="D159" s="32" t="n">
        <v>0.759124087591241</v>
      </c>
    </row>
    <row r="160">
      <c r="A160" t="s">
        <v>892</v>
      </c>
      <c r="B160" t="s">
        <v>32</v>
      </c>
      <c r="C160" s="32" t="n">
        <v>0.0951782942789738</v>
      </c>
      <c r="D160" s="32" t="n">
        <v>1</v>
      </c>
    </row>
    <row r="161">
      <c r="A161" t="s">
        <v>892</v>
      </c>
      <c r="B161" t="s">
        <v>32</v>
      </c>
      <c r="C161" s="32" t="n">
        <v>-0.0430378058953944</v>
      </c>
      <c r="D161" s="32" t="n">
        <v>1</v>
      </c>
    </row>
    <row r="162">
      <c r="A162" t="s">
        <v>895</v>
      </c>
      <c r="B162" t="s">
        <v>32</v>
      </c>
      <c r="C162" s="32" t="n">
        <v>0.0604124706623131</v>
      </c>
      <c r="D162" s="32" t="n">
        <v>1</v>
      </c>
    </row>
    <row r="163">
      <c r="A163" t="s">
        <v>895</v>
      </c>
      <c r="B163" t="s">
        <v>32</v>
      </c>
      <c r="C163" s="32" t="n">
        <v>0.328101109769068</v>
      </c>
      <c r="D163" s="32" t="n">
        <v>1</v>
      </c>
    </row>
    <row r="164">
      <c r="A164" t="s">
        <v>898</v>
      </c>
      <c r="B164" t="s">
        <v>30</v>
      </c>
      <c r="C164" s="32" t="n">
        <v>-0.582893867413353</v>
      </c>
      <c r="D164" s="32" t="n">
        <v>1.51824817518248</v>
      </c>
    </row>
    <row r="165">
      <c r="A165" t="s">
        <v>898</v>
      </c>
      <c r="B165" t="s">
        <v>30</v>
      </c>
      <c r="C165" s="32" t="n">
        <v>-0.513919087953186</v>
      </c>
      <c r="D165" s="32" t="n">
        <v>0.759124087591241</v>
      </c>
    </row>
    <row r="166">
      <c r="A166" t="s">
        <v>901</v>
      </c>
      <c r="B166" t="s">
        <v>32</v>
      </c>
      <c r="C166" s="32" t="n">
        <v>-0.126619701378555</v>
      </c>
      <c r="D166" s="32" t="n">
        <v>1</v>
      </c>
    </row>
    <row r="167">
      <c r="A167" t="s">
        <v>906</v>
      </c>
      <c r="B167" t="s">
        <v>32</v>
      </c>
      <c r="C167" s="32" t="n">
        <v>-0.872249626973113</v>
      </c>
      <c r="D167" s="32" t="n">
        <v>1</v>
      </c>
    </row>
    <row r="168">
      <c r="A168" t="s">
        <v>906</v>
      </c>
      <c r="B168" t="s">
        <v>32</v>
      </c>
      <c r="C168" s="32" t="n">
        <v>-0.763190424822984</v>
      </c>
      <c r="D168" s="32" t="n">
        <v>1</v>
      </c>
    </row>
    <row r="169">
      <c r="A169" t="s">
        <v>909</v>
      </c>
      <c r="B169" t="s">
        <v>30</v>
      </c>
      <c r="C169" s="32" t="n">
        <v>-0.94168605601921</v>
      </c>
      <c r="D169" s="32" t="n">
        <v>0.759124087591241</v>
      </c>
    </row>
    <row r="170">
      <c r="A170" t="s">
        <v>911</v>
      </c>
      <c r="B170" t="s">
        <v>32</v>
      </c>
      <c r="C170" s="32" t="n">
        <v>0.464750223703264</v>
      </c>
      <c r="D170" s="32" t="n">
        <v>1</v>
      </c>
    </row>
    <row r="171">
      <c r="A171" t="s">
        <v>913</v>
      </c>
      <c r="B171" t="s">
        <v>30</v>
      </c>
      <c r="C171" s="32" t="n">
        <v>-0.545604133891791</v>
      </c>
      <c r="D171" s="32" t="n">
        <v>1.51824817518248</v>
      </c>
    </row>
    <row r="172">
      <c r="A172" t="s">
        <v>913</v>
      </c>
      <c r="B172" t="s">
        <v>30</v>
      </c>
      <c r="C172" s="32" t="n">
        <v>-0.465891390952556</v>
      </c>
      <c r="D172" s="32" t="n">
        <v>0.759124087591241</v>
      </c>
    </row>
    <row r="173">
      <c r="A173" t="s">
        <v>916</v>
      </c>
      <c r="B173" t="s">
        <v>30</v>
      </c>
      <c r="C173" s="32" t="n">
        <v>0.143979778602089</v>
      </c>
      <c r="D173" s="32" t="n">
        <v>1.51824817518248</v>
      </c>
    </row>
    <row r="174">
      <c r="A174" t="s">
        <v>916</v>
      </c>
      <c r="B174" t="s">
        <v>30</v>
      </c>
      <c r="C174" s="32" t="n">
        <v>-0.00928300996053544</v>
      </c>
      <c r="D174" s="32" t="n">
        <v>1.51824817518248</v>
      </c>
    </row>
    <row r="175">
      <c r="A175" t="s">
        <v>919</v>
      </c>
      <c r="B175" t="s">
        <v>30</v>
      </c>
      <c r="C175" s="32" t="n">
        <v>-0.946161268737446</v>
      </c>
      <c r="D175" s="32" t="n">
        <v>0.759124087591241</v>
      </c>
    </row>
    <row r="176">
      <c r="A176" t="s">
        <v>921</v>
      </c>
      <c r="B176" t="s">
        <v>30</v>
      </c>
      <c r="C176" s="32" t="n">
        <v>-0.210916156348681</v>
      </c>
      <c r="D176" s="32" t="n">
        <v>1.51824817518248</v>
      </c>
    </row>
    <row r="177">
      <c r="A177" t="s">
        <v>921</v>
      </c>
      <c r="B177" t="s">
        <v>30</v>
      </c>
      <c r="C177" s="32" t="n">
        <v>-0.253791030197576</v>
      </c>
      <c r="D177" s="32" t="n">
        <v>1.51824817518248</v>
      </c>
    </row>
    <row r="178">
      <c r="A178" t="s">
        <v>924</v>
      </c>
      <c r="B178" t="s">
        <v>30</v>
      </c>
      <c r="C178" s="32" t="n">
        <v>-0.545993137113676</v>
      </c>
      <c r="D178" s="32" t="n">
        <v>0.759124087591241</v>
      </c>
    </row>
    <row r="179">
      <c r="A179" t="s">
        <v>927</v>
      </c>
      <c r="B179" t="s">
        <v>30</v>
      </c>
      <c r="C179" s="32" t="n">
        <v>-0.00360393080880173</v>
      </c>
      <c r="D179" s="32" t="n">
        <v>1.51824817518248</v>
      </c>
    </row>
    <row r="180">
      <c r="A180" t="s">
        <v>929</v>
      </c>
      <c r="B180" t="s">
        <v>30</v>
      </c>
      <c r="C180" s="32" t="n">
        <v>-0.312321794513651</v>
      </c>
      <c r="D180" s="32" t="n">
        <v>0.759124087591241</v>
      </c>
    </row>
    <row r="181">
      <c r="A181" t="s">
        <v>929</v>
      </c>
      <c r="B181" t="s">
        <v>30</v>
      </c>
      <c r="C181" s="32" t="n">
        <v>-0.447137380953643</v>
      </c>
      <c r="D181" s="32" t="n">
        <v>0.759124087591241</v>
      </c>
    </row>
    <row r="182">
      <c r="A182" t="s">
        <v>932</v>
      </c>
      <c r="B182" t="s">
        <v>30</v>
      </c>
      <c r="C182" s="32" t="n">
        <v>-1.40192433379097</v>
      </c>
      <c r="D182" s="32" t="n">
        <v>0.759124087591241</v>
      </c>
    </row>
    <row r="183">
      <c r="A183" t="s">
        <v>941</v>
      </c>
      <c r="B183" t="s">
        <v>30</v>
      </c>
      <c r="C183" s="32" t="n">
        <v>-0.948378152360385</v>
      </c>
      <c r="D183" s="32" t="n">
        <v>0.759124087591241</v>
      </c>
    </row>
    <row r="184">
      <c r="A184" t="s">
        <v>941</v>
      </c>
      <c r="B184" t="s">
        <v>30</v>
      </c>
      <c r="C184" s="32" t="n">
        <v>-1.13534017084194</v>
      </c>
      <c r="D184" s="32" t="n">
        <v>0.759124087591241</v>
      </c>
    </row>
    <row r="185">
      <c r="A185" t="s">
        <v>944</v>
      </c>
      <c r="B185" t="s">
        <v>30</v>
      </c>
      <c r="C185" s="32" t="n">
        <v>-0.426454359892019</v>
      </c>
      <c r="D185" s="32" t="n">
        <v>1.51824817518248</v>
      </c>
    </row>
    <row r="186">
      <c r="A186" t="s">
        <v>949</v>
      </c>
      <c r="B186" t="s">
        <v>32</v>
      </c>
      <c r="C186" s="32" t="n">
        <v>-0.469841316809794</v>
      </c>
      <c r="D186" s="32" t="n">
        <v>1</v>
      </c>
    </row>
    <row r="187">
      <c r="A187" t="s">
        <v>949</v>
      </c>
      <c r="B187" t="s">
        <v>32</v>
      </c>
      <c r="C187" s="32" t="n">
        <v>-0.400866537349627</v>
      </c>
      <c r="D187" s="32" t="n">
        <v>1</v>
      </c>
    </row>
    <row r="188">
      <c r="A188" t="s">
        <v>952</v>
      </c>
      <c r="B188" t="s">
        <v>32</v>
      </c>
      <c r="C188" s="32" t="n">
        <v>-0.972427562209856</v>
      </c>
      <c r="D188" s="32" t="n">
        <v>1</v>
      </c>
    </row>
    <row r="189">
      <c r="A189" t="s">
        <v>952</v>
      </c>
      <c r="B189" t="s">
        <v>32</v>
      </c>
      <c r="C189" s="32" t="n">
        <v>-0.726481391315269</v>
      </c>
      <c r="D189" s="32" t="n">
        <v>1</v>
      </c>
    </row>
    <row r="190">
      <c r="A190" t="s">
        <v>1436</v>
      </c>
      <c r="B190" t="s">
        <v>30</v>
      </c>
      <c r="C190" s="32" t="n">
        <v>-1.31912719135783</v>
      </c>
      <c r="D190" s="32" t="n">
        <v>0.759124087591241</v>
      </c>
    </row>
    <row r="191">
      <c r="A191" t="s">
        <v>1436</v>
      </c>
      <c r="B191" t="s">
        <v>30</v>
      </c>
      <c r="C191" s="32" t="n">
        <v>-0.971561359728702</v>
      </c>
      <c r="D191" s="32" t="n">
        <v>0.759124087591241</v>
      </c>
    </row>
    <row r="192">
      <c r="A192" t="s">
        <v>955</v>
      </c>
      <c r="B192" t="s">
        <v>32</v>
      </c>
      <c r="C192" s="32" t="n">
        <v>-0.569368704443167</v>
      </c>
      <c r="D192" s="32" t="n">
        <v>1</v>
      </c>
    </row>
    <row r="193">
      <c r="A193" t="s">
        <v>955</v>
      </c>
      <c r="B193" t="s">
        <v>32</v>
      </c>
      <c r="C193" s="32" t="n">
        <v>-0.51079194198091</v>
      </c>
      <c r="D193" s="32" t="n">
        <v>1</v>
      </c>
    </row>
    <row r="194">
      <c r="A194" t="s">
        <v>958</v>
      </c>
      <c r="B194" t="s">
        <v>30</v>
      </c>
      <c r="C194" s="32" t="n">
        <v>-0.228150491643417</v>
      </c>
      <c r="D194" s="32" t="n">
        <v>1.51824817518248</v>
      </c>
    </row>
    <row r="195">
      <c r="A195" t="s">
        <v>960</v>
      </c>
      <c r="B195" t="s">
        <v>30</v>
      </c>
      <c r="C195" s="32" t="n">
        <v>-0.674790520136271</v>
      </c>
      <c r="D195" s="32" t="n">
        <v>0.759124087591241</v>
      </c>
    </row>
    <row r="196">
      <c r="A196" t="s">
        <v>960</v>
      </c>
      <c r="B196" t="s">
        <v>30</v>
      </c>
      <c r="C196" s="32" t="n">
        <v>-0.526845667477732</v>
      </c>
      <c r="D196" s="32" t="n">
        <v>0.759124087591241</v>
      </c>
    </row>
    <row r="197">
      <c r="A197" t="s">
        <v>969</v>
      </c>
      <c r="B197" t="s">
        <v>32</v>
      </c>
      <c r="C197" s="32" t="n">
        <v>0.338599167263353</v>
      </c>
      <c r="D197" s="32" t="n">
        <v>1</v>
      </c>
    </row>
    <row r="198">
      <c r="A198" t="s">
        <v>971</v>
      </c>
      <c r="B198" t="s">
        <v>30</v>
      </c>
      <c r="C198" s="32" t="n">
        <v>-0.433897057281552</v>
      </c>
      <c r="D198" s="32" t="n">
        <v>0.759124087591241</v>
      </c>
    </row>
    <row r="199">
      <c r="A199" t="s">
        <v>971</v>
      </c>
      <c r="B199" t="s">
        <v>30</v>
      </c>
      <c r="C199" s="32" t="n">
        <v>-0.70411318113346</v>
      </c>
      <c r="D199" s="32" t="n">
        <v>0.759124087591241</v>
      </c>
    </row>
    <row r="200">
      <c r="A200" t="s">
        <v>974</v>
      </c>
      <c r="B200" t="s">
        <v>30</v>
      </c>
      <c r="C200" s="32" t="n">
        <v>-0.292335223507709</v>
      </c>
      <c r="D200" s="32" t="n">
        <v>0.759124087591241</v>
      </c>
    </row>
    <row r="201">
      <c r="A201" t="s">
        <v>979</v>
      </c>
      <c r="B201" t="s">
        <v>32</v>
      </c>
      <c r="C201" s="32" t="n">
        <v>-0.141101612349303</v>
      </c>
      <c r="D201" s="32" t="n">
        <v>1</v>
      </c>
    </row>
    <row r="202">
      <c r="A202" t="s">
        <v>979</v>
      </c>
      <c r="B202" t="s">
        <v>32</v>
      </c>
      <c r="C202" s="32" t="n">
        <v>-0.199338428330403</v>
      </c>
      <c r="D202" s="32" t="n">
        <v>1</v>
      </c>
    </row>
    <row r="203">
      <c r="A203" t="s">
        <v>982</v>
      </c>
      <c r="B203" t="s">
        <v>32</v>
      </c>
      <c r="C203" s="32" t="n">
        <v>-0.320936520173005</v>
      </c>
      <c r="D203" s="32" t="n">
        <v>1</v>
      </c>
    </row>
    <row r="204">
      <c r="A204" t="s">
        <v>982</v>
      </c>
      <c r="B204" t="s">
        <v>32</v>
      </c>
      <c r="C204" s="32" t="n">
        <v>-0.740897671042821</v>
      </c>
      <c r="D204" s="32" t="n">
        <v>1</v>
      </c>
    </row>
    <row r="205">
      <c r="A205" t="s">
        <v>985</v>
      </c>
      <c r="B205" t="s">
        <v>30</v>
      </c>
      <c r="C205" s="32" t="n">
        <v>-0.321249722742432</v>
      </c>
      <c r="D205" s="32" t="n">
        <v>1.51824817518248</v>
      </c>
    </row>
    <row r="206">
      <c r="A206" t="s">
        <v>985</v>
      </c>
      <c r="B206" t="s">
        <v>30</v>
      </c>
      <c r="C206" s="32" t="n">
        <v>-0.53296248935921</v>
      </c>
      <c r="D206" s="32" t="n">
        <v>0.759124087591241</v>
      </c>
    </row>
    <row r="207">
      <c r="A207" t="s">
        <v>988</v>
      </c>
      <c r="B207" t="s">
        <v>30</v>
      </c>
      <c r="C207" s="32" t="n">
        <v>-0.470753211467343</v>
      </c>
      <c r="D207" s="32" t="n">
        <v>0.759124087591241</v>
      </c>
    </row>
    <row r="208">
      <c r="A208" t="s">
        <v>990</v>
      </c>
      <c r="B208" t="s">
        <v>32</v>
      </c>
      <c r="C208" s="32" t="n">
        <v>-0.317325864679098</v>
      </c>
      <c r="D208" s="32" t="n">
        <v>1</v>
      </c>
    </row>
    <row r="209">
      <c r="A209" t="s">
        <v>992</v>
      </c>
      <c r="B209" t="s">
        <v>32</v>
      </c>
      <c r="C209" s="32" t="n">
        <v>-0.224780296661026</v>
      </c>
      <c r="D209" s="32" t="n">
        <v>1</v>
      </c>
    </row>
    <row r="210">
      <c r="A210" t="s">
        <v>994</v>
      </c>
      <c r="B210" t="s">
        <v>30</v>
      </c>
      <c r="C210" s="32" t="n">
        <v>-0.290913725637399</v>
      </c>
      <c r="D210" s="32" t="n">
        <v>0.759124087591241</v>
      </c>
    </row>
    <row r="211">
      <c r="A211" t="s">
        <v>994</v>
      </c>
      <c r="B211" t="s">
        <v>30</v>
      </c>
      <c r="C211" s="32" t="n">
        <v>-0.522535432972141</v>
      </c>
      <c r="D211" s="32" t="n">
        <v>0.759124087591241</v>
      </c>
    </row>
    <row r="212">
      <c r="A212" t="s">
        <v>1010</v>
      </c>
      <c r="B212" t="s">
        <v>30</v>
      </c>
      <c r="C212" s="32" t="n">
        <v>-0.750459372496642</v>
      </c>
      <c r="D212" s="32" t="n">
        <v>0.759124087591241</v>
      </c>
    </row>
    <row r="213">
      <c r="A213" t="s">
        <v>1010</v>
      </c>
      <c r="B213" t="s">
        <v>30</v>
      </c>
      <c r="C213" s="32" t="n">
        <v>-1.43380152941484</v>
      </c>
      <c r="D213" s="32" t="n">
        <v>0.759124087591241</v>
      </c>
    </row>
    <row r="214">
      <c r="A214" t="s">
        <v>1024</v>
      </c>
      <c r="B214" t="s">
        <v>30</v>
      </c>
      <c r="C214" s="32" t="n">
        <v>-0.419305389298462</v>
      </c>
      <c r="D214" s="32" t="n">
        <v>1.51824817518248</v>
      </c>
    </row>
    <row r="215">
      <c r="A215" t="s">
        <v>1024</v>
      </c>
      <c r="B215" t="s">
        <v>30</v>
      </c>
      <c r="C215" s="32" t="n">
        <v>-0.670116968496701</v>
      </c>
      <c r="D215" s="32" t="n">
        <v>0.759124087591241</v>
      </c>
    </row>
    <row r="216">
      <c r="A216" t="s">
        <v>1029</v>
      </c>
      <c r="B216" t="s">
        <v>30</v>
      </c>
      <c r="C216" s="32" t="n">
        <v>-1.5629149762741</v>
      </c>
      <c r="D216" s="32" t="n">
        <v>0.759124087591241</v>
      </c>
    </row>
    <row r="217">
      <c r="A217" t="s">
        <v>1031</v>
      </c>
      <c r="B217" t="s">
        <v>30</v>
      </c>
      <c r="C217" s="32" t="n">
        <v>-0.533758538281053</v>
      </c>
      <c r="D217" s="32" t="n">
        <v>0.759124087591241</v>
      </c>
    </row>
    <row r="218">
      <c r="A218" t="s">
        <v>1033</v>
      </c>
      <c r="B218" t="s">
        <v>30</v>
      </c>
      <c r="C218" s="32" t="n">
        <v>-1.3088068046479</v>
      </c>
      <c r="D218" s="32" t="n">
        <v>0.759124087591241</v>
      </c>
    </row>
    <row r="219">
      <c r="A219" t="s">
        <v>1038</v>
      </c>
      <c r="B219" t="s">
        <v>30</v>
      </c>
      <c r="C219" s="32" t="n">
        <v>-0.658295834268879</v>
      </c>
      <c r="D219" s="32" t="n">
        <v>0.759124087591241</v>
      </c>
    </row>
    <row r="220">
      <c r="A220" t="s">
        <v>1040</v>
      </c>
      <c r="B220" t="s">
        <v>30</v>
      </c>
      <c r="C220" s="32" t="n">
        <v>-0.456672460086827</v>
      </c>
      <c r="D220" s="32" t="n">
        <v>0.759124087591241</v>
      </c>
    </row>
    <row r="221">
      <c r="A221" t="s">
        <v>1042</v>
      </c>
      <c r="B221" t="s">
        <v>32</v>
      </c>
      <c r="C221" s="32" t="n">
        <v>-0.0290258817357611</v>
      </c>
      <c r="D221" s="32" t="n">
        <v>1</v>
      </c>
    </row>
    <row r="222">
      <c r="A222" t="s">
        <v>1042</v>
      </c>
      <c r="B222" t="s">
        <v>32</v>
      </c>
      <c r="C222" s="32" t="n">
        <v>0.423125558684862</v>
      </c>
      <c r="D222" s="32" t="n">
        <v>1</v>
      </c>
    </row>
    <row r="223">
      <c r="A223" t="s">
        <v>1047</v>
      </c>
      <c r="B223" t="s">
        <v>32</v>
      </c>
      <c r="C223" s="32" t="n">
        <v>-0.375269408443049</v>
      </c>
      <c r="D223" s="32" t="n">
        <v>1</v>
      </c>
    </row>
    <row r="224">
      <c r="A224" t="s">
        <v>1047</v>
      </c>
      <c r="B224" t="s">
        <v>32</v>
      </c>
      <c r="C224" s="32" t="n">
        <v>-0.107076373271998</v>
      </c>
      <c r="D224" s="32" t="n">
        <v>1</v>
      </c>
    </row>
    <row r="225">
      <c r="A225" t="s">
        <v>1050</v>
      </c>
      <c r="B225" t="s">
        <v>30</v>
      </c>
      <c r="C225" s="32" t="n">
        <v>-0.120464480791378</v>
      </c>
      <c r="D225" s="32" t="n">
        <v>1.51824817518248</v>
      </c>
    </row>
    <row r="226">
      <c r="A226" t="s">
        <v>1050</v>
      </c>
      <c r="B226" t="s">
        <v>30</v>
      </c>
      <c r="C226" s="32" t="n">
        <v>-0.583112455040553</v>
      </c>
      <c r="D226" s="32" t="n">
        <v>0.759124087591241</v>
      </c>
    </row>
    <row r="227">
      <c r="A227" t="s">
        <v>1053</v>
      </c>
      <c r="B227" t="s">
        <v>30</v>
      </c>
      <c r="C227" s="32" t="n">
        <v>-0.218112342784365</v>
      </c>
      <c r="D227" s="32" t="n">
        <v>1.51824817518248</v>
      </c>
    </row>
    <row r="228">
      <c r="A228" t="s">
        <v>1053</v>
      </c>
      <c r="B228" t="s">
        <v>30</v>
      </c>
      <c r="C228" s="32" t="n">
        <v>-0.0489863719991853</v>
      </c>
      <c r="D228" s="32" t="n">
        <v>1.51824817518248</v>
      </c>
    </row>
    <row r="229">
      <c r="A229" t="s">
        <v>1439</v>
      </c>
      <c r="B229" t="s">
        <v>30</v>
      </c>
      <c r="C229" s="32" t="n">
        <v>0.184615677538048</v>
      </c>
      <c r="D229" s="32" t="n">
        <v>0.759124087591241</v>
      </c>
    </row>
    <row r="230">
      <c r="A230" t="s">
        <v>1439</v>
      </c>
      <c r="B230" t="s">
        <v>30</v>
      </c>
      <c r="C230" s="32" t="n">
        <v>0.334793206110243</v>
      </c>
      <c r="D230" s="32" t="n">
        <v>1.51824817518248</v>
      </c>
    </row>
    <row r="231">
      <c r="A231" t="s">
        <v>1056</v>
      </c>
      <c r="B231" t="s">
        <v>32</v>
      </c>
      <c r="C231" s="32" t="n">
        <v>0.41746833946883</v>
      </c>
      <c r="D231" s="32" t="n">
        <v>1</v>
      </c>
    </row>
    <row r="232">
      <c r="A232" t="s">
        <v>1058</v>
      </c>
      <c r="B232" t="s">
        <v>30</v>
      </c>
      <c r="C232" s="32" t="n">
        <v>-0.226277792511099</v>
      </c>
      <c r="D232" s="32" t="n">
        <v>1.51824817518248</v>
      </c>
    </row>
    <row r="233">
      <c r="A233" t="s">
        <v>1058</v>
      </c>
      <c r="B233" t="s">
        <v>30</v>
      </c>
      <c r="C233" s="32" t="n">
        <v>-0.220163807685169</v>
      </c>
      <c r="D233" s="32" t="n">
        <v>1.51824817518248</v>
      </c>
    </row>
    <row r="234">
      <c r="A234" t="s">
        <v>1064</v>
      </c>
      <c r="B234" t="s">
        <v>32</v>
      </c>
      <c r="C234" s="32" t="n">
        <v>-1.33182135457487</v>
      </c>
      <c r="D234" s="32" t="n">
        <v>1</v>
      </c>
    </row>
    <row r="235">
      <c r="A235" t="s">
        <v>1064</v>
      </c>
      <c r="B235" t="s">
        <v>32</v>
      </c>
      <c r="C235" s="32" t="n">
        <v>-1.30319396421845</v>
      </c>
      <c r="D235" s="32" t="n">
        <v>1</v>
      </c>
    </row>
    <row r="236">
      <c r="A236" t="s">
        <v>1067</v>
      </c>
      <c r="B236" t="s">
        <v>32</v>
      </c>
      <c r="C236" s="32" t="n">
        <v>-0.177836726599537</v>
      </c>
      <c r="D236" s="32" t="n">
        <v>1</v>
      </c>
    </row>
    <row r="237">
      <c r="A237" t="s">
        <v>1069</v>
      </c>
      <c r="B237" t="s">
        <v>30</v>
      </c>
      <c r="C237" s="32" t="n">
        <v>-0.346578385065591</v>
      </c>
      <c r="D237" s="32" t="n">
        <v>1.51824817518248</v>
      </c>
    </row>
    <row r="238">
      <c r="A238" t="s">
        <v>1069</v>
      </c>
      <c r="B238" t="s">
        <v>30</v>
      </c>
      <c r="C238" s="32" t="n">
        <v>-0.121841599875109</v>
      </c>
      <c r="D238" s="32" t="n">
        <v>1.51824817518248</v>
      </c>
    </row>
    <row r="239">
      <c r="A239" t="s">
        <v>1072</v>
      </c>
      <c r="B239" t="s">
        <v>30</v>
      </c>
      <c r="C239" s="32" t="n">
        <v>-0.912026381290277</v>
      </c>
      <c r="D239" s="32" t="n">
        <v>0.759124087591241</v>
      </c>
    </row>
    <row r="240">
      <c r="A240" t="s">
        <v>1072</v>
      </c>
      <c r="B240" t="s">
        <v>30</v>
      </c>
      <c r="C240" s="32" t="n">
        <v>-0.954901255139172</v>
      </c>
      <c r="D240" s="32" t="n">
        <v>0.759124087591241</v>
      </c>
    </row>
    <row r="241">
      <c r="A241" t="s">
        <v>1075</v>
      </c>
      <c r="B241" t="s">
        <v>30</v>
      </c>
      <c r="C241" s="32" t="n">
        <v>-0.643780534413592</v>
      </c>
      <c r="D241" s="32" t="n">
        <v>0.759124087591241</v>
      </c>
    </row>
    <row r="242">
      <c r="A242" t="s">
        <v>1075</v>
      </c>
      <c r="B242" t="s">
        <v>30</v>
      </c>
      <c r="C242" s="32" t="n">
        <v>-0.566693793050151</v>
      </c>
      <c r="D242" s="32" t="n">
        <v>1.51824817518248</v>
      </c>
    </row>
    <row r="243">
      <c r="A243" t="s">
        <v>1081</v>
      </c>
      <c r="B243" t="s">
        <v>30</v>
      </c>
      <c r="C243" s="32" t="n">
        <v>-1.05105846073876</v>
      </c>
      <c r="D243" s="32" t="n">
        <v>0.759124087591241</v>
      </c>
    </row>
    <row r="244">
      <c r="A244" t="s">
        <v>1442</v>
      </c>
      <c r="B244" t="s">
        <v>30</v>
      </c>
      <c r="C244" s="32" t="n">
        <v>-0.779348109907247</v>
      </c>
      <c r="D244" s="32" t="n">
        <v>0.759124087591241</v>
      </c>
    </row>
    <row r="245">
      <c r="A245" t="s">
        <v>1442</v>
      </c>
      <c r="B245" t="s">
        <v>30</v>
      </c>
      <c r="C245" s="32" t="n">
        <v>-0.573482786862369</v>
      </c>
      <c r="D245" s="32" t="n">
        <v>1.51824817518248</v>
      </c>
    </row>
    <row r="246">
      <c r="A246" t="s">
        <v>1084</v>
      </c>
      <c r="B246" t="s">
        <v>30</v>
      </c>
      <c r="C246" s="32" t="n">
        <v>-0.839675549478651</v>
      </c>
      <c r="D246" s="32" t="n">
        <v>0.759124087591241</v>
      </c>
    </row>
    <row r="247">
      <c r="A247" t="s">
        <v>1089</v>
      </c>
      <c r="B247" t="s">
        <v>32</v>
      </c>
      <c r="C247" s="32" t="n">
        <v>-0.12320925272253</v>
      </c>
      <c r="D247" s="32" t="n">
        <v>1</v>
      </c>
    </row>
    <row r="248">
      <c r="A248" t="s">
        <v>1089</v>
      </c>
      <c r="B248" t="s">
        <v>32</v>
      </c>
      <c r="C248" s="32" t="n">
        <v>-0.0917662996036535</v>
      </c>
      <c r="D248" s="32" t="n">
        <v>1</v>
      </c>
    </row>
    <row r="249">
      <c r="A249" t="s">
        <v>1092</v>
      </c>
      <c r="B249" t="s">
        <v>30</v>
      </c>
      <c r="C249" s="32" t="n">
        <v>-0.192400987501683</v>
      </c>
      <c r="D249" s="32" t="n">
        <v>1.51824817518248</v>
      </c>
    </row>
    <row r="250">
      <c r="A250" t="s">
        <v>1094</v>
      </c>
      <c r="B250" t="s">
        <v>30</v>
      </c>
      <c r="C250" s="32" t="n">
        <v>-0.280151619693815</v>
      </c>
      <c r="D250" s="32" t="n">
        <v>0.759124087591241</v>
      </c>
    </row>
    <row r="251">
      <c r="A251" t="s">
        <v>1094</v>
      </c>
      <c r="B251" t="s">
        <v>30</v>
      </c>
      <c r="C251" s="32" t="n">
        <v>-0.231540372675178</v>
      </c>
      <c r="D251" s="32" t="n">
        <v>1.51824817518248</v>
      </c>
    </row>
    <row r="252">
      <c r="A252" t="s">
        <v>1097</v>
      </c>
      <c r="B252" t="s">
        <v>30</v>
      </c>
      <c r="C252" s="32" t="n">
        <v>-0.700980840961331</v>
      </c>
      <c r="D252" s="32" t="n">
        <v>0.759124087591241</v>
      </c>
    </row>
    <row r="253">
      <c r="A253" t="s">
        <v>1101</v>
      </c>
      <c r="B253" t="s">
        <v>32</v>
      </c>
      <c r="C253" s="32" t="n">
        <v>-0.14189018454248</v>
      </c>
      <c r="D253" s="32" t="n">
        <v>1</v>
      </c>
    </row>
    <row r="254">
      <c r="A254" t="s">
        <v>1101</v>
      </c>
      <c r="B254" t="s">
        <v>32</v>
      </c>
      <c r="C254" s="32" t="n">
        <v>-0.172537088739511</v>
      </c>
      <c r="D254" s="32" t="n">
        <v>1</v>
      </c>
    </row>
    <row r="255">
      <c r="A255" t="s">
        <v>1104</v>
      </c>
      <c r="B255" t="s">
        <v>30</v>
      </c>
      <c r="C255" s="32" t="n">
        <v>-0.244567228304432</v>
      </c>
      <c r="D255" s="32" t="n">
        <v>1.51824817518248</v>
      </c>
    </row>
    <row r="256">
      <c r="A256" t="s">
        <v>1104</v>
      </c>
      <c r="B256" t="s">
        <v>30</v>
      </c>
      <c r="C256" s="32" t="n">
        <v>-0.242039743559278</v>
      </c>
      <c r="D256" s="32" t="n">
        <v>1.51824817518248</v>
      </c>
    </row>
    <row r="257">
      <c r="A257" t="s">
        <v>1109</v>
      </c>
      <c r="B257" t="s">
        <v>32</v>
      </c>
      <c r="C257" s="32" t="n">
        <v>-0.996526239075973</v>
      </c>
      <c r="D257" s="32" t="n">
        <v>1</v>
      </c>
    </row>
    <row r="258">
      <c r="A258" t="s">
        <v>1117</v>
      </c>
      <c r="B258" t="s">
        <v>32</v>
      </c>
      <c r="C258" s="32" t="n">
        <v>-0.624687865990922</v>
      </c>
      <c r="D258" s="32" t="n">
        <v>1</v>
      </c>
    </row>
    <row r="259">
      <c r="A259" t="s">
        <v>1119</v>
      </c>
      <c r="B259" t="s">
        <v>30</v>
      </c>
      <c r="C259" s="32" t="n">
        <v>-0.578557966777514</v>
      </c>
      <c r="D259" s="32" t="n">
        <v>1.51824817518248</v>
      </c>
    </row>
    <row r="260">
      <c r="A260" t="s">
        <v>1119</v>
      </c>
      <c r="B260" t="s">
        <v>30</v>
      </c>
      <c r="C260" s="32" t="n">
        <v>-0.530288176957155</v>
      </c>
      <c r="D260" s="32" t="n">
        <v>0.759124087591241</v>
      </c>
    </row>
    <row r="261">
      <c r="A261" t="s">
        <v>1122</v>
      </c>
      <c r="B261" t="s">
        <v>30</v>
      </c>
      <c r="C261" s="32" t="n">
        <v>-0.895459272283373</v>
      </c>
      <c r="D261" s="32" t="n">
        <v>0.759124087591241</v>
      </c>
    </row>
    <row r="262">
      <c r="A262" t="s">
        <v>1126</v>
      </c>
      <c r="B262" t="s">
        <v>30</v>
      </c>
      <c r="C262" s="32" t="n">
        <v>-1.31347485611783</v>
      </c>
      <c r="D262" s="32" t="n">
        <v>0.759124087591241</v>
      </c>
    </row>
    <row r="263">
      <c r="A263" t="s">
        <v>1126</v>
      </c>
      <c r="B263" t="s">
        <v>30</v>
      </c>
      <c r="C263" s="32" t="n">
        <v>-1.00182406024909</v>
      </c>
      <c r="D263" s="32" t="n">
        <v>0.759124087591241</v>
      </c>
    </row>
    <row r="264">
      <c r="A264" t="s">
        <v>1138</v>
      </c>
      <c r="B264" t="s">
        <v>32</v>
      </c>
      <c r="C264" s="32" t="n">
        <v>-0.622021400465575</v>
      </c>
      <c r="D264" s="32" t="n">
        <v>1</v>
      </c>
    </row>
    <row r="265">
      <c r="A265" t="s">
        <v>1138</v>
      </c>
      <c r="B265" t="s">
        <v>32</v>
      </c>
      <c r="C265" s="32" t="n">
        <v>-0.43141950272226</v>
      </c>
      <c r="D265" s="32" t="n">
        <v>1</v>
      </c>
    </row>
    <row r="266">
      <c r="A266" t="s">
        <v>1147</v>
      </c>
      <c r="B266" t="s">
        <v>30</v>
      </c>
      <c r="C266" s="32" t="n">
        <v>-0.265053738959521</v>
      </c>
      <c r="D266" s="32" t="n">
        <v>1.51824817518248</v>
      </c>
    </row>
    <row r="267">
      <c r="A267" t="s">
        <v>1147</v>
      </c>
      <c r="B267" t="s">
        <v>30</v>
      </c>
      <c r="C267" s="32" t="n">
        <v>-0.19458895332656</v>
      </c>
      <c r="D267" s="32" t="n">
        <v>1.51824817518248</v>
      </c>
    </row>
    <row r="268">
      <c r="A268" t="s">
        <v>1152</v>
      </c>
      <c r="B268" t="s">
        <v>30</v>
      </c>
      <c r="C268" s="32" t="n">
        <v>0.169835761758114</v>
      </c>
      <c r="D268" s="32" t="n">
        <v>1.51824817518248</v>
      </c>
    </row>
    <row r="269">
      <c r="A269" t="s">
        <v>1152</v>
      </c>
      <c r="B269" t="s">
        <v>30</v>
      </c>
      <c r="C269" s="32" t="n">
        <v>0.111598945777015</v>
      </c>
      <c r="D269" s="32" t="n">
        <v>1.51824817518248</v>
      </c>
    </row>
    <row r="270">
      <c r="A270" t="s">
        <v>1155</v>
      </c>
      <c r="B270" t="s">
        <v>30</v>
      </c>
      <c r="C270" s="32" t="n">
        <v>-0.863757254639131</v>
      </c>
      <c r="D270" s="32" t="n">
        <v>0.759124087591241</v>
      </c>
    </row>
    <row r="271">
      <c r="A271" t="s">
        <v>1160</v>
      </c>
      <c r="B271" t="s">
        <v>32</v>
      </c>
      <c r="C271" s="32" t="n">
        <v>-0.421711834108056</v>
      </c>
      <c r="D271" s="32" t="n">
        <v>1</v>
      </c>
    </row>
    <row r="272">
      <c r="A272" t="s">
        <v>1160</v>
      </c>
      <c r="B272" t="s">
        <v>32</v>
      </c>
      <c r="C272" s="32" t="n">
        <v>-0.648976104043693</v>
      </c>
      <c r="D272" s="32" t="n">
        <v>1</v>
      </c>
    </row>
    <row r="273">
      <c r="A273" t="s">
        <v>1163</v>
      </c>
      <c r="B273" t="s">
        <v>30</v>
      </c>
      <c r="C273" s="32" t="n">
        <v>-1.33044403816384</v>
      </c>
      <c r="D273" s="32" t="n">
        <v>0.759124087591241</v>
      </c>
    </row>
    <row r="274">
      <c r="A274" t="s">
        <v>1167</v>
      </c>
      <c r="B274" t="s">
        <v>30</v>
      </c>
      <c r="C274" s="32" t="n">
        <v>-0.557713346136909</v>
      </c>
      <c r="D274" s="32" t="n">
        <v>1.51824817518248</v>
      </c>
    </row>
    <row r="275">
      <c r="A275" t="s">
        <v>1167</v>
      </c>
      <c r="B275" t="s">
        <v>30</v>
      </c>
      <c r="C275" s="32" t="n">
        <v>-0.451977677653778</v>
      </c>
      <c r="D275" s="32" t="n">
        <v>0.759124087591241</v>
      </c>
    </row>
    <row r="276">
      <c r="A276" t="s">
        <v>1182</v>
      </c>
      <c r="B276" t="s">
        <v>30</v>
      </c>
      <c r="C276" s="32" t="n">
        <v>-0.285881955369834</v>
      </c>
      <c r="D276" s="32" t="n">
        <v>0.759124087591241</v>
      </c>
    </row>
    <row r="277">
      <c r="A277" t="s">
        <v>1184</v>
      </c>
      <c r="B277" t="s">
        <v>32</v>
      </c>
      <c r="C277" s="32" t="n">
        <v>-0.561833591894966</v>
      </c>
      <c r="D277" s="32" t="n">
        <v>1</v>
      </c>
    </row>
    <row r="278">
      <c r="A278" t="s">
        <v>1184</v>
      </c>
      <c r="B278" t="s">
        <v>32</v>
      </c>
      <c r="C278" s="32" t="n">
        <v>-0.183810417255459</v>
      </c>
      <c r="D278" s="32" t="n">
        <v>1</v>
      </c>
    </row>
    <row r="279">
      <c r="A279" t="s">
        <v>1187</v>
      </c>
      <c r="B279" t="s">
        <v>30</v>
      </c>
      <c r="C279" s="32" t="n">
        <v>-0.512673444180323</v>
      </c>
      <c r="D279" s="32" t="n">
        <v>0.759124087591241</v>
      </c>
    </row>
    <row r="280">
      <c r="A280" t="s">
        <v>1187</v>
      </c>
      <c r="B280" t="s">
        <v>30</v>
      </c>
      <c r="C280" s="32" t="n">
        <v>-0.711120762572878</v>
      </c>
      <c r="D280" s="32" t="n">
        <v>0.759124087591241</v>
      </c>
    </row>
    <row r="281">
      <c r="A281" t="s">
        <v>1190</v>
      </c>
      <c r="B281" t="s">
        <v>30</v>
      </c>
      <c r="C281" s="32" t="n">
        <v>-0.606493682411804</v>
      </c>
      <c r="D281" s="32" t="n">
        <v>0.759124087591241</v>
      </c>
    </row>
    <row r="282">
      <c r="A282" t="s">
        <v>1190</v>
      </c>
      <c r="B282" t="s">
        <v>30</v>
      </c>
      <c r="C282" s="32" t="n">
        <v>-0.848323845557801</v>
      </c>
      <c r="D282" s="32" t="n">
        <v>0.759124087591241</v>
      </c>
    </row>
    <row r="283">
      <c r="A283" t="s">
        <v>1198</v>
      </c>
      <c r="B283" t="s">
        <v>32</v>
      </c>
      <c r="C283" s="32" t="n">
        <v>-0.0485273238604713</v>
      </c>
      <c r="D283" s="32" t="n">
        <v>1</v>
      </c>
    </row>
    <row r="284">
      <c r="A284" t="s">
        <v>1200</v>
      </c>
      <c r="B284" t="s">
        <v>32</v>
      </c>
      <c r="C284" s="32" t="n">
        <v>-0.696215904968972</v>
      </c>
      <c r="D284" s="32" t="n">
        <v>1</v>
      </c>
    </row>
    <row r="285">
      <c r="A285" t="s">
        <v>1445</v>
      </c>
      <c r="B285" t="s">
        <v>30</v>
      </c>
      <c r="C285" s="32" t="n">
        <v>-0.530796811030915</v>
      </c>
      <c r="D285" s="32" t="n">
        <v>0.759124087591241</v>
      </c>
    </row>
    <row r="286">
      <c r="A286" t="s">
        <v>1445</v>
      </c>
      <c r="B286" t="s">
        <v>30</v>
      </c>
      <c r="C286" s="32" t="n">
        <v>-0.695540232813474</v>
      </c>
      <c r="D286" s="32" t="n">
        <v>0.759124087591241</v>
      </c>
    </row>
    <row r="287">
      <c r="A287" t="s">
        <v>1448</v>
      </c>
      <c r="B287" t="s">
        <v>30</v>
      </c>
      <c r="C287" s="32" t="n">
        <v>-0.0562530179639684</v>
      </c>
      <c r="D287" s="32" t="n">
        <v>1.51824817518248</v>
      </c>
    </row>
    <row r="288">
      <c r="A288" t="s">
        <v>1202</v>
      </c>
      <c r="B288" t="s">
        <v>32</v>
      </c>
      <c r="C288" s="32" t="n">
        <v>-0.462807100101127</v>
      </c>
      <c r="D288" s="32" t="n">
        <v>1</v>
      </c>
    </row>
    <row r="289">
      <c r="A289" t="s">
        <v>1202</v>
      </c>
      <c r="B289" t="s">
        <v>32</v>
      </c>
      <c r="C289" s="32" t="n">
        <v>-0.482769420000073</v>
      </c>
      <c r="D289" s="32" t="n">
        <v>1</v>
      </c>
    </row>
    <row r="290">
      <c r="A290" t="s">
        <v>1205</v>
      </c>
      <c r="B290" t="s">
        <v>30</v>
      </c>
      <c r="C290" s="32" t="n">
        <v>-0.718218393896894</v>
      </c>
      <c r="D290" s="32" t="n">
        <v>0.759124087591241</v>
      </c>
    </row>
    <row r="291">
      <c r="A291" t="s">
        <v>1205</v>
      </c>
      <c r="B291" t="s">
        <v>30</v>
      </c>
      <c r="C291" s="32" t="n">
        <v>-0.450000247122326</v>
      </c>
      <c r="D291" s="32" t="n">
        <v>0.759124087591241</v>
      </c>
    </row>
    <row r="292">
      <c r="A292" t="s">
        <v>1208</v>
      </c>
      <c r="B292" t="s">
        <v>30</v>
      </c>
      <c r="C292" s="32" t="n">
        <v>0.243792642805546</v>
      </c>
      <c r="D292" s="32" t="n">
        <v>1.51824817518248</v>
      </c>
    </row>
    <row r="293">
      <c r="A293" t="s">
        <v>1210</v>
      </c>
      <c r="B293" t="s">
        <v>30</v>
      </c>
      <c r="C293" s="32" t="n">
        <v>-0.862718819876383</v>
      </c>
      <c r="D293" s="32" t="n">
        <v>0.759124087591241</v>
      </c>
    </row>
    <row r="294">
      <c r="A294" t="s">
        <v>1212</v>
      </c>
      <c r="B294" t="s">
        <v>32</v>
      </c>
      <c r="C294" s="32" t="n">
        <v>-1.15200340550819</v>
      </c>
      <c r="D294" s="32" t="n">
        <v>1</v>
      </c>
    </row>
    <row r="295">
      <c r="A295" t="s">
        <v>1212</v>
      </c>
      <c r="B295" t="s">
        <v>32</v>
      </c>
      <c r="C295" s="32" t="n">
        <v>-1.45110988613031</v>
      </c>
      <c r="D295" s="32" t="n">
        <v>1</v>
      </c>
    </row>
    <row r="296">
      <c r="A296" t="s">
        <v>1218</v>
      </c>
      <c r="B296" t="s">
        <v>32</v>
      </c>
      <c r="C296" s="32" t="n">
        <v>0.0471010242919094</v>
      </c>
      <c r="D296" s="32" t="n">
        <v>1</v>
      </c>
    </row>
    <row r="297">
      <c r="A297" t="s">
        <v>1231</v>
      </c>
      <c r="B297" t="s">
        <v>30</v>
      </c>
      <c r="C297" s="32" t="n">
        <v>-1.53270348104836</v>
      </c>
      <c r="D297" s="32" t="n">
        <v>0.759124087591241</v>
      </c>
    </row>
    <row r="298">
      <c r="A298" t="s">
        <v>1233</v>
      </c>
      <c r="B298" t="s">
        <v>30</v>
      </c>
      <c r="C298" s="32" t="n">
        <v>-0.686299102015265</v>
      </c>
      <c r="D298" s="32" t="n">
        <v>0.759124087591241</v>
      </c>
    </row>
    <row r="299">
      <c r="A299" t="s">
        <v>1233</v>
      </c>
      <c r="B299" t="s">
        <v>30</v>
      </c>
      <c r="C299" s="32" t="n">
        <v>-0.646214679325304</v>
      </c>
      <c r="D299" s="32" t="n">
        <v>0.759124087591241</v>
      </c>
    </row>
    <row r="300">
      <c r="A300" t="s">
        <v>1236</v>
      </c>
      <c r="B300" t="s">
        <v>30</v>
      </c>
      <c r="C300" s="32" t="n">
        <v>-0.806626757399888</v>
      </c>
      <c r="D300" s="32" t="n">
        <v>0.759124087591241</v>
      </c>
    </row>
    <row r="301">
      <c r="A301" t="s">
        <v>1238</v>
      </c>
      <c r="B301" t="s">
        <v>32</v>
      </c>
      <c r="C301" s="32" t="n">
        <v>-1.49521323471913</v>
      </c>
      <c r="D301" s="32" t="n">
        <v>1</v>
      </c>
    </row>
    <row r="302">
      <c r="A302" t="s">
        <v>1238</v>
      </c>
      <c r="B302" t="s">
        <v>32</v>
      </c>
      <c r="C302" s="32" t="n">
        <v>-1.52487603952478</v>
      </c>
      <c r="D302" s="32" t="n">
        <v>1</v>
      </c>
    </row>
    <row r="303">
      <c r="A303" t="s">
        <v>1241</v>
      </c>
      <c r="B303" t="s">
        <v>30</v>
      </c>
      <c r="C303" s="32" t="n">
        <v>-0.772872624634243</v>
      </c>
      <c r="D303" s="32" t="n">
        <v>0.759124087591241</v>
      </c>
    </row>
    <row r="304">
      <c r="A304" t="s">
        <v>1243</v>
      </c>
      <c r="B304" t="s">
        <v>30</v>
      </c>
      <c r="C304" s="32" t="n">
        <v>-0.708660485689007</v>
      </c>
      <c r="D304" s="32" t="n">
        <v>0.759124087591241</v>
      </c>
    </row>
    <row r="305">
      <c r="A305" t="s">
        <v>1243</v>
      </c>
      <c r="B305" t="s">
        <v>30</v>
      </c>
      <c r="C305" s="32" t="n">
        <v>-1.01999493596298</v>
      </c>
      <c r="D305" s="32" t="n">
        <v>0.759124087591241</v>
      </c>
    </row>
    <row r="306">
      <c r="A306" t="s">
        <v>1250</v>
      </c>
      <c r="B306" t="s">
        <v>30</v>
      </c>
      <c r="C306" s="32" t="n">
        <v>-0.184314813319754</v>
      </c>
      <c r="D306" s="32" t="n">
        <v>1.51824817518248</v>
      </c>
    </row>
    <row r="307">
      <c r="A307" t="s">
        <v>1250</v>
      </c>
      <c r="B307" t="s">
        <v>30</v>
      </c>
      <c r="C307" s="32" t="n">
        <v>-0.276255525910851</v>
      </c>
      <c r="D307" s="32" t="n">
        <v>0.759124087591241</v>
      </c>
    </row>
    <row r="308">
      <c r="A308" t="s">
        <v>1253</v>
      </c>
      <c r="B308" t="s">
        <v>32</v>
      </c>
      <c r="C308" s="32" t="n">
        <v>0.108343283140515</v>
      </c>
      <c r="D308" s="32" t="n">
        <v>1</v>
      </c>
    </row>
    <row r="309">
      <c r="A309" t="s">
        <v>1253</v>
      </c>
      <c r="B309" t="s">
        <v>32</v>
      </c>
      <c r="C309" s="32" t="n">
        <v>-0.158331478280278</v>
      </c>
      <c r="D309" s="32" t="n">
        <v>1</v>
      </c>
    </row>
    <row r="310">
      <c r="A310" t="s">
        <v>1450</v>
      </c>
      <c r="B310" t="s">
        <v>30</v>
      </c>
      <c r="C310" s="32" t="n">
        <v>-0.547433117406743</v>
      </c>
      <c r="D310" s="32" t="n">
        <v>0.759124087591241</v>
      </c>
    </row>
    <row r="311">
      <c r="A311" t="s">
        <v>1450</v>
      </c>
      <c r="B311" t="s">
        <v>30</v>
      </c>
      <c r="C311" s="32" t="n">
        <v>-0.42713155571325</v>
      </c>
      <c r="D311" s="32" t="n">
        <v>0.759124087591241</v>
      </c>
    </row>
    <row r="312">
      <c r="A312" t="s">
        <v>1256</v>
      </c>
      <c r="B312" t="s">
        <v>32</v>
      </c>
      <c r="C312" s="32" t="n">
        <v>-0.830095454286899</v>
      </c>
      <c r="D312" s="32" t="n">
        <v>1</v>
      </c>
    </row>
    <row r="313">
      <c r="A313" t="s">
        <v>1256</v>
      </c>
      <c r="B313" t="s">
        <v>32</v>
      </c>
      <c r="C313" s="32" t="n">
        <v>-0.167531692235639</v>
      </c>
      <c r="D313" s="32" t="n">
        <v>1</v>
      </c>
    </row>
    <row r="314">
      <c r="A314" t="s">
        <v>1262</v>
      </c>
      <c r="B314" t="s">
        <v>30</v>
      </c>
      <c r="C314" s="32" t="n">
        <v>-0.258345518460616</v>
      </c>
      <c r="D314" s="32" t="n">
        <v>1.51824817518248</v>
      </c>
    </row>
    <row r="315">
      <c r="A315" t="s">
        <v>1262</v>
      </c>
      <c r="B315" t="s">
        <v>30</v>
      </c>
      <c r="C315" s="32" t="n">
        <v>-0.388084598647037</v>
      </c>
      <c r="D315" s="32" t="n">
        <v>0.759124087591241</v>
      </c>
    </row>
    <row r="316">
      <c r="A316" t="s">
        <v>1265</v>
      </c>
      <c r="B316" t="s">
        <v>30</v>
      </c>
      <c r="C316" s="32" t="n">
        <v>-0.211565747761663</v>
      </c>
      <c r="D316" s="32" t="n">
        <v>1.51824817518248</v>
      </c>
    </row>
    <row r="317">
      <c r="A317" t="s">
        <v>1265</v>
      </c>
      <c r="B317" t="s">
        <v>30</v>
      </c>
      <c r="C317" s="32" t="n">
        <v>-0.393374279922271</v>
      </c>
      <c r="D317" s="32" t="n">
        <v>0.759124087591241</v>
      </c>
    </row>
    <row r="318">
      <c r="A318" t="s">
        <v>1268</v>
      </c>
      <c r="B318" t="s">
        <v>32</v>
      </c>
      <c r="C318" s="32" t="n">
        <v>-0.0918873265905984</v>
      </c>
      <c r="D318" s="32" t="n">
        <v>1</v>
      </c>
    </row>
    <row r="319">
      <c r="A319" t="s">
        <v>1271</v>
      </c>
      <c r="B319" t="s">
        <v>30</v>
      </c>
      <c r="C319" s="32" t="n">
        <v>-0.258966842296136</v>
      </c>
      <c r="D319" s="32" t="n">
        <v>1.51824817518248</v>
      </c>
    </row>
    <row r="320">
      <c r="A320" t="s">
        <v>1271</v>
      </c>
      <c r="B320" t="s">
        <v>30</v>
      </c>
      <c r="C320" s="32" t="n">
        <v>-0.317203658277235</v>
      </c>
      <c r="D320" s="32" t="n">
        <v>0.759124087591241</v>
      </c>
    </row>
    <row r="321">
      <c r="A321" t="s">
        <v>1274</v>
      </c>
      <c r="B321" t="s">
        <v>30</v>
      </c>
      <c r="C321" s="32" t="n">
        <v>-0.666341557449869</v>
      </c>
      <c r="D321" s="32" t="n">
        <v>0.759124087591241</v>
      </c>
    </row>
    <row r="322">
      <c r="A322" t="s">
        <v>1274</v>
      </c>
      <c r="B322" t="s">
        <v>30</v>
      </c>
      <c r="C322" s="32" t="n">
        <v>-0.859925531661904</v>
      </c>
      <c r="D322" s="32" t="n">
        <v>0.759124087591241</v>
      </c>
    </row>
    <row r="323">
      <c r="A323" t="s">
        <v>1280</v>
      </c>
      <c r="B323" t="s">
        <v>32</v>
      </c>
      <c r="C323" s="32" t="n">
        <v>-0.470396599250337</v>
      </c>
      <c r="D323" s="32" t="n">
        <v>1</v>
      </c>
    </row>
    <row r="324">
      <c r="A324" t="s">
        <v>1282</v>
      </c>
      <c r="B324" t="s">
        <v>30</v>
      </c>
      <c r="C324" s="32" t="n">
        <v>-0.631119278447132</v>
      </c>
      <c r="D324" s="32" t="n">
        <v>0.759124087591241</v>
      </c>
    </row>
    <row r="325">
      <c r="A325" t="s">
        <v>1282</v>
      </c>
      <c r="B325" t="s">
        <v>30</v>
      </c>
      <c r="C325" s="32" t="n">
        <v>-0.437772067194545</v>
      </c>
      <c r="D325" s="32" t="n">
        <v>0.759124087591241</v>
      </c>
    </row>
    <row r="326">
      <c r="A326" t="s">
        <v>1285</v>
      </c>
      <c r="B326" t="s">
        <v>30</v>
      </c>
      <c r="C326" s="32" t="n">
        <v>-0.915322323497637</v>
      </c>
      <c r="D326" s="32" t="n">
        <v>0.759124087591241</v>
      </c>
    </row>
    <row r="327">
      <c r="A327" t="s">
        <v>1290</v>
      </c>
      <c r="B327" t="s">
        <v>30</v>
      </c>
      <c r="C327" s="32" t="n">
        <v>-1.5147419752823</v>
      </c>
      <c r="D327" s="32" t="n">
        <v>0.759124087591241</v>
      </c>
    </row>
    <row r="328">
      <c r="A328" t="s">
        <v>1290</v>
      </c>
      <c r="B328" t="s">
        <v>30</v>
      </c>
      <c r="C328" s="32" t="n">
        <v>-1.14184717536023</v>
      </c>
      <c r="D328" s="32" t="n">
        <v>0.759124087591241</v>
      </c>
    </row>
    <row r="329">
      <c r="A329" t="s">
        <v>1296</v>
      </c>
      <c r="B329" t="s">
        <v>32</v>
      </c>
      <c r="C329" s="32" t="n">
        <v>-0.883422496126378</v>
      </c>
      <c r="D329" s="32" t="n">
        <v>1</v>
      </c>
    </row>
    <row r="330">
      <c r="A330" t="s">
        <v>1296</v>
      </c>
      <c r="B330" t="s">
        <v>32</v>
      </c>
      <c r="C330" s="32" t="n">
        <v>-0.468802882047047</v>
      </c>
      <c r="D330" s="32" t="n">
        <v>1</v>
      </c>
    </row>
    <row r="331">
      <c r="A331" t="s">
        <v>1299</v>
      </c>
      <c r="B331" t="s">
        <v>32</v>
      </c>
      <c r="C331" s="32" t="n">
        <v>-0.327389482341094</v>
      </c>
      <c r="D331" s="32" t="n">
        <v>1</v>
      </c>
    </row>
    <row r="332">
      <c r="A332" t="s">
        <v>1299</v>
      </c>
      <c r="B332" t="s">
        <v>32</v>
      </c>
      <c r="C332" s="32" t="n">
        <v>-0.912095565710587</v>
      </c>
      <c r="D332" s="32" t="n">
        <v>1</v>
      </c>
    </row>
    <row r="333">
      <c r="A333" t="s">
        <v>1302</v>
      </c>
      <c r="B333" t="s">
        <v>30</v>
      </c>
      <c r="C333" s="32" t="n">
        <v>-0.497837770996727</v>
      </c>
      <c r="D333" s="32" t="n">
        <v>0.759124087591241</v>
      </c>
    </row>
    <row r="334">
      <c r="A334" t="s">
        <v>1302</v>
      </c>
      <c r="B334" t="s">
        <v>30</v>
      </c>
      <c r="C334" s="32" t="n">
        <v>-0.13953397588853</v>
      </c>
      <c r="D334" s="32" t="n">
        <v>1.51824817518248</v>
      </c>
    </row>
    <row r="335">
      <c r="A335" t="s">
        <v>1305</v>
      </c>
      <c r="B335" t="s">
        <v>32</v>
      </c>
      <c r="C335" s="32" t="n">
        <v>-0.109147742627852</v>
      </c>
      <c r="D335" s="32" t="n">
        <v>1</v>
      </c>
    </row>
    <row r="336">
      <c r="A336" t="s">
        <v>1305</v>
      </c>
      <c r="B336" t="s">
        <v>32</v>
      </c>
      <c r="C336" s="32" t="n">
        <v>-0.190427471807258</v>
      </c>
      <c r="D336" s="32" t="n">
        <v>1</v>
      </c>
    </row>
    <row r="337">
      <c r="A337" t="s">
        <v>1455</v>
      </c>
      <c r="B337" t="s">
        <v>30</v>
      </c>
      <c r="C337" s="32" t="n">
        <v>-1.04992277130555</v>
      </c>
      <c r="D337" s="32" t="n">
        <v>0.759124087591241</v>
      </c>
    </row>
    <row r="338">
      <c r="A338" t="s">
        <v>1310</v>
      </c>
      <c r="B338" t="s">
        <v>32</v>
      </c>
      <c r="C338" s="32" t="n">
        <v>-0.560769012211449</v>
      </c>
      <c r="D338" s="32" t="n">
        <v>1</v>
      </c>
    </row>
    <row r="339">
      <c r="A339" t="s">
        <v>1312</v>
      </c>
      <c r="B339" t="s">
        <v>32</v>
      </c>
      <c r="C339" s="32" t="n">
        <v>-0.745568189420259</v>
      </c>
      <c r="D339" s="32" t="n">
        <v>1</v>
      </c>
    </row>
    <row r="340">
      <c r="A340" t="s">
        <v>1312</v>
      </c>
      <c r="B340" t="s">
        <v>32</v>
      </c>
      <c r="C340" s="32" t="n">
        <v>-0.625077066540113</v>
      </c>
      <c r="D340" s="32" t="n">
        <v>1</v>
      </c>
    </row>
    <row r="341">
      <c r="A341" t="s">
        <v>1315</v>
      </c>
      <c r="B341" t="s">
        <v>30</v>
      </c>
      <c r="C341" s="32" t="n">
        <v>-0.452098717589337</v>
      </c>
      <c r="D341" s="32" t="n">
        <v>0.759124087591241</v>
      </c>
    </row>
    <row r="342">
      <c r="A342" t="s">
        <v>1315</v>
      </c>
      <c r="B342" t="s">
        <v>30</v>
      </c>
      <c r="C342" s="32" t="n">
        <v>-0.679916096079183</v>
      </c>
      <c r="D342" s="32" t="n">
        <v>0.759124087591241</v>
      </c>
    </row>
    <row r="343">
      <c r="A343" t="s">
        <v>1318</v>
      </c>
      <c r="B343" t="s">
        <v>32</v>
      </c>
      <c r="C343" s="32" t="n">
        <v>-0.0727242115874451</v>
      </c>
      <c r="D343" s="32" t="n">
        <v>1</v>
      </c>
    </row>
    <row r="344">
      <c r="A344" t="s">
        <v>1318</v>
      </c>
      <c r="B344" t="s">
        <v>32</v>
      </c>
      <c r="C344" s="32" t="n">
        <v>-0.445958957990675</v>
      </c>
      <c r="D344" s="32" t="n">
        <v>1</v>
      </c>
    </row>
    <row r="345">
      <c r="A345" t="s">
        <v>1321</v>
      </c>
      <c r="B345" t="s">
        <v>30</v>
      </c>
      <c r="C345" s="32" t="n">
        <v>-0.329432144174802</v>
      </c>
      <c r="D345" s="32" t="n">
        <v>1.51824817518248</v>
      </c>
    </row>
    <row r="346">
      <c r="A346" t="s">
        <v>1323</v>
      </c>
      <c r="B346" t="s">
        <v>32</v>
      </c>
      <c r="C346" s="32" t="n">
        <v>-0.686155233005005</v>
      </c>
      <c r="D346" s="32" t="n">
        <v>1</v>
      </c>
    </row>
    <row r="347">
      <c r="A347" t="s">
        <v>1323</v>
      </c>
      <c r="B347" t="s">
        <v>32</v>
      </c>
      <c r="C347" s="32" t="n">
        <v>-0.375251773568197</v>
      </c>
      <c r="D347" s="32" t="n">
        <v>1</v>
      </c>
    </row>
    <row r="348">
      <c r="A348" t="s">
        <v>1326</v>
      </c>
      <c r="B348" t="s">
        <v>30</v>
      </c>
      <c r="C348" s="32" t="n">
        <v>-0.279674324740676</v>
      </c>
      <c r="D348" s="32" t="n">
        <v>0.759124087591241</v>
      </c>
    </row>
    <row r="349">
      <c r="A349" t="s">
        <v>1326</v>
      </c>
      <c r="B349" t="s">
        <v>30</v>
      </c>
      <c r="C349" s="32" t="n">
        <v>-0.445455225095594</v>
      </c>
      <c r="D349" s="32" t="n">
        <v>0.759124087591241</v>
      </c>
    </row>
    <row r="350">
      <c r="A350" t="s">
        <v>1329</v>
      </c>
      <c r="B350" t="s">
        <v>30</v>
      </c>
      <c r="C350" s="32" t="n">
        <v>-0.778891331348734</v>
      </c>
      <c r="D350" s="32" t="n">
        <v>0.759124087591241</v>
      </c>
    </row>
    <row r="351">
      <c r="A351" t="s">
        <v>1331</v>
      </c>
      <c r="B351" t="s">
        <v>32</v>
      </c>
      <c r="C351" s="32" t="n">
        <v>-1.00904882023203</v>
      </c>
      <c r="D351" s="32" t="n">
        <v>1</v>
      </c>
    </row>
    <row r="352">
      <c r="A352" t="s">
        <v>1333</v>
      </c>
      <c r="B352" t="s">
        <v>32</v>
      </c>
      <c r="C352" s="32" t="n">
        <v>-0.451397270661107</v>
      </c>
      <c r="D352" s="32" t="n">
        <v>1</v>
      </c>
    </row>
    <row r="353">
      <c r="A353" t="s">
        <v>1333</v>
      </c>
      <c r="B353" t="s">
        <v>32</v>
      </c>
      <c r="C353" s="32" t="n">
        <v>-0.242376438372621</v>
      </c>
      <c r="D353" s="32" t="n">
        <v>1</v>
      </c>
    </row>
    <row r="354">
      <c r="A354" t="s">
        <v>1336</v>
      </c>
      <c r="B354" t="s">
        <v>30</v>
      </c>
      <c r="C354" s="32" t="n">
        <v>0.0502783934712201</v>
      </c>
      <c r="D354" s="32" t="n">
        <v>1.51824817518248</v>
      </c>
    </row>
    <row r="355">
      <c r="A355" t="s">
        <v>1336</v>
      </c>
      <c r="B355" t="s">
        <v>30</v>
      </c>
      <c r="C355" s="32" t="n">
        <v>-0.313255868025303</v>
      </c>
      <c r="D355" s="32" t="n">
        <v>0.759124087591241</v>
      </c>
    </row>
    <row r="356">
      <c r="A356" t="s">
        <v>1339</v>
      </c>
      <c r="B356" t="s">
        <v>32</v>
      </c>
      <c r="C356" s="32" t="n">
        <v>-0.090226707495813</v>
      </c>
      <c r="D356" s="32" t="n">
        <v>1</v>
      </c>
    </row>
    <row r="357">
      <c r="A357" t="s">
        <v>1341</v>
      </c>
      <c r="B357" t="s">
        <v>32</v>
      </c>
      <c r="C357" s="32" t="n">
        <v>-0.371440815542542</v>
      </c>
      <c r="D357" s="32" t="n">
        <v>1</v>
      </c>
    </row>
    <row r="358">
      <c r="A358" t="s">
        <v>1341</v>
      </c>
      <c r="B358" t="s">
        <v>32</v>
      </c>
      <c r="C358" s="32" t="n">
        <v>-0.648640378369351</v>
      </c>
      <c r="D358" s="32" t="n">
        <v>1</v>
      </c>
    </row>
    <row r="359">
      <c r="A359" t="s">
        <v>1344</v>
      </c>
      <c r="B359" t="s">
        <v>30</v>
      </c>
      <c r="C359" s="32" t="n">
        <v>-0.358322500945008</v>
      </c>
      <c r="D359" s="32" t="n">
        <v>0.759124087591241</v>
      </c>
    </row>
    <row r="360">
      <c r="A360" t="s">
        <v>1344</v>
      </c>
      <c r="B360" t="s">
        <v>30</v>
      </c>
      <c r="C360" s="32" t="n">
        <v>0.25370695295452</v>
      </c>
      <c r="D360" s="32" t="n">
        <v>1.51824817518248</v>
      </c>
    </row>
    <row r="361">
      <c r="A361" t="s">
        <v>1349</v>
      </c>
      <c r="B361" t="s">
        <v>32</v>
      </c>
      <c r="C361" s="32" t="n">
        <v>-0.130311143134386</v>
      </c>
      <c r="D361" s="32" t="n">
        <v>1</v>
      </c>
    </row>
    <row r="362">
      <c r="A362" t="s">
        <v>1349</v>
      </c>
      <c r="B362" t="s">
        <v>32</v>
      </c>
      <c r="C362" s="32" t="n">
        <v>0.0428323185687411</v>
      </c>
      <c r="D362" s="32" t="n">
        <v>1</v>
      </c>
    </row>
    <row r="363">
      <c r="A363" t="s">
        <v>1352</v>
      </c>
      <c r="B363" t="s">
        <v>30</v>
      </c>
      <c r="C363" s="32" t="n">
        <v>-0.744971792809564</v>
      </c>
      <c r="D363" s="32" t="n">
        <v>0.759124087591241</v>
      </c>
    </row>
    <row r="364">
      <c r="A364" t="s">
        <v>1352</v>
      </c>
      <c r="B364" t="s">
        <v>30</v>
      </c>
      <c r="C364" s="32" t="n">
        <v>-0.485924623273894</v>
      </c>
      <c r="D364" s="32" t="n">
        <v>1.51824817518248</v>
      </c>
    </row>
    <row r="365">
      <c r="A365" t="s">
        <v>1358</v>
      </c>
      <c r="B365" t="s">
        <v>32</v>
      </c>
      <c r="C365" s="32" t="n">
        <v>0.484443165292629</v>
      </c>
      <c r="D365" s="32" t="n">
        <v>1</v>
      </c>
    </row>
    <row r="366">
      <c r="A366" t="s">
        <v>1358</v>
      </c>
      <c r="B366" t="s">
        <v>32</v>
      </c>
      <c r="C366" s="32" t="n">
        <v>0.353568089703207</v>
      </c>
      <c r="D366" s="32" t="n">
        <v>1</v>
      </c>
    </row>
    <row r="367">
      <c r="A367" t="s">
        <v>1364</v>
      </c>
      <c r="B367" t="s">
        <v>30</v>
      </c>
      <c r="C367" s="32" t="n">
        <v>-0.782065570451323</v>
      </c>
      <c r="D367" s="32" t="n">
        <v>0.759124087591241</v>
      </c>
    </row>
    <row r="368">
      <c r="A368" t="s">
        <v>1364</v>
      </c>
      <c r="B368" t="s">
        <v>30</v>
      </c>
      <c r="C368" s="32" t="n">
        <v>-0.433680089013953</v>
      </c>
      <c r="D368" s="32" t="n">
        <v>0.759124087591241</v>
      </c>
    </row>
    <row r="369">
      <c r="A369" t="s">
        <v>1367</v>
      </c>
      <c r="B369" t="s">
        <v>30</v>
      </c>
      <c r="C369" s="32" t="n">
        <v>-0.642700615332652</v>
      </c>
      <c r="D369" s="32" t="n">
        <v>0.759124087591241</v>
      </c>
    </row>
    <row r="370">
      <c r="A370" t="s">
        <v>1370</v>
      </c>
      <c r="B370" t="s">
        <v>30</v>
      </c>
      <c r="C370" s="32" t="n">
        <v>-0.565973091887471</v>
      </c>
      <c r="D370" s="32" t="n">
        <v>1.51824817518248</v>
      </c>
    </row>
    <row r="371">
      <c r="A371" t="s">
        <v>1375</v>
      </c>
      <c r="B371" t="s">
        <v>30</v>
      </c>
      <c r="C371" s="32" t="n">
        <v>-0.655099210855118</v>
      </c>
      <c r="D371" s="32" t="n">
        <v>0.759124087591241</v>
      </c>
    </row>
    <row r="372">
      <c r="A372" t="s">
        <v>1377</v>
      </c>
      <c r="B372" t="s">
        <v>30</v>
      </c>
      <c r="C372" s="32" t="n">
        <v>-0.142946917349289</v>
      </c>
      <c r="D372" s="32" t="n">
        <v>1.51824817518248</v>
      </c>
    </row>
    <row r="373">
      <c r="A373" t="s">
        <v>1379</v>
      </c>
      <c r="B373" t="s">
        <v>32</v>
      </c>
      <c r="C373" s="32" t="n">
        <v>-0.134936077977911</v>
      </c>
      <c r="D373" s="32" t="n">
        <v>1</v>
      </c>
    </row>
    <row r="374">
      <c r="A374" t="s">
        <v>1379</v>
      </c>
      <c r="B374" t="s">
        <v>32</v>
      </c>
      <c r="C374" s="32" t="n">
        <v>-0.310077516758379</v>
      </c>
      <c r="D374" s="32" t="n">
        <v>1</v>
      </c>
    </row>
    <row r="375">
      <c r="A375" t="s">
        <v>1382</v>
      </c>
      <c r="B375" t="s">
        <v>32</v>
      </c>
      <c r="C375" s="32" t="n">
        <v>-0.686777723306831</v>
      </c>
      <c r="D375" s="32" t="n">
        <v>1</v>
      </c>
    </row>
    <row r="376">
      <c r="A376" t="s">
        <v>1382</v>
      </c>
      <c r="B376" t="s">
        <v>32</v>
      </c>
      <c r="C376" s="32" t="n">
        <v>-0.524561786269427</v>
      </c>
      <c r="D376" s="32" t="n">
        <v>1</v>
      </c>
    </row>
    <row r="377">
      <c r="A377" t="s">
        <v>1385</v>
      </c>
      <c r="B377" t="s">
        <v>32</v>
      </c>
      <c r="C377" s="32" t="n">
        <v>0.277639560877898</v>
      </c>
      <c r="D377" s="32" t="n">
        <v>1</v>
      </c>
    </row>
  </sheetData>
  <pageMargins left="0.7" right="0.7" top="0.75" bottom="0.75" header="0.3" footer="0.3"/>
  <pageSetup paperSize="9" orientation="portrait" horizontalDpi="300" verticalDpi="300"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0" t="s">
        <v>1743</v>
      </c>
    </row>
    <row r="3">
      <c r="A3" s="1" t="s">
        <v>1744</v>
      </c>
    </row>
    <row r="4">
      <c r="A4" t="s">
        <v>1465</v>
      </c>
      <c r="B4" t="s">
        <v>1466</v>
      </c>
      <c r="C4" t="s">
        <v>1467</v>
      </c>
      <c r="D4" t="s">
        <v>1468</v>
      </c>
      <c r="E4" t="s">
        <v>1469</v>
      </c>
      <c r="F4" t="s">
        <v>1470</v>
      </c>
      <c r="G4" t="s">
        <v>1471</v>
      </c>
      <c r="H4" t="s">
        <v>1472</v>
      </c>
      <c r="I4" t="s">
        <v>1473</v>
      </c>
      <c r="J4" t="s">
        <v>1474</v>
      </c>
      <c r="K4" t="s">
        <v>1475</v>
      </c>
      <c r="L4" t="s">
        <v>1476</v>
      </c>
      <c r="M4" t="s">
        <v>41</v>
      </c>
      <c r="N4" t="s">
        <v>1477</v>
      </c>
      <c r="O4" t="s">
        <v>1478</v>
      </c>
      <c r="P4" t="s">
        <v>1479</v>
      </c>
      <c r="Q4" t="s">
        <v>1</v>
      </c>
    </row>
    <row r="5">
      <c r="A5" t="s">
        <v>1480</v>
      </c>
      <c r="B5" t="s">
        <v>1481</v>
      </c>
      <c r="C5" s="33" t="n">
        <v>33.597667638484</v>
      </c>
      <c r="D5" s="33" t="n">
        <v>0.718698003712094</v>
      </c>
      <c r="E5" s="33" t="n">
        <v>46.7479629342939</v>
      </c>
      <c r="F5" t="n">
        <v>0.0000000000000000000000000000000000000000000000000000000000000000000000000000000000000000000000000000000000000000125260299700228</v>
      </c>
      <c r="G5" t="n">
        <v>212</v>
      </c>
      <c r="H5" t="s">
        <v>1482</v>
      </c>
      <c r="I5" s="33" t="n">
        <v>33.597667638484</v>
      </c>
      <c r="J5" s="33" t="n">
        <v>32.1809579066826</v>
      </c>
      <c r="K5" s="33" t="n">
        <v>35.0143773702853</v>
      </c>
      <c r="L5" t="s">
        <v>2025</v>
      </c>
      <c r="M5" t="s">
        <v>50</v>
      </c>
      <c r="N5" t="s">
        <v>1491</v>
      </c>
      <c r="O5" t="s">
        <v>2026</v>
      </c>
      <c r="P5" t="s">
        <v>1486</v>
      </c>
      <c r="Q5"/>
    </row>
    <row r="6">
      <c r="A6" t="s">
        <v>1480</v>
      </c>
      <c r="B6" t="s">
        <v>440</v>
      </c>
      <c r="C6" s="33" t="n">
        <v>-1.23181397994738</v>
      </c>
      <c r="D6" s="33" t="n">
        <v>1.07343225181597</v>
      </c>
      <c r="E6" s="33" t="n">
        <v>-1.14754701832693</v>
      </c>
      <c r="F6" t="n">
        <v>0.252448954267831</v>
      </c>
      <c r="G6" t="n">
        <v>212</v>
      </c>
      <c r="H6" t="s">
        <v>1487</v>
      </c>
      <c r="I6" s="33" t="n">
        <v>-1.23181397994738</v>
      </c>
      <c r="J6" s="33" t="n">
        <v>-3.34778189654447</v>
      </c>
      <c r="K6" s="33" t="n">
        <v>0.884153936649708</v>
      </c>
      <c r="L6" t="s">
        <v>2027</v>
      </c>
      <c r="M6" t="s">
        <v>400</v>
      </c>
      <c r="N6" t="s">
        <v>1491</v>
      </c>
      <c r="O6" t="s">
        <v>2026</v>
      </c>
      <c r="P6" t="s">
        <v>1486</v>
      </c>
      <c r="Q6"/>
    </row>
    <row r="7">
      <c r="A7" t="s">
        <v>55</v>
      </c>
      <c r="B7" t="s">
        <v>1481</v>
      </c>
      <c r="C7" s="33" t="n">
        <v>-3.49087591240876</v>
      </c>
      <c r="D7" s="33" t="n">
        <v>0.168313454412061</v>
      </c>
      <c r="E7" s="33" t="n">
        <v>-20.7403259864329</v>
      </c>
      <c r="F7" t="n">
        <v>0.0000000000000000000000000000000000000000000000000000639157963617063</v>
      </c>
      <c r="G7" t="n">
        <v>212</v>
      </c>
      <c r="H7" t="s">
        <v>1482</v>
      </c>
      <c r="I7" s="33" t="n">
        <v>-3.49087591240876</v>
      </c>
      <c r="J7" s="33" t="n">
        <v>-3.82265825718649</v>
      </c>
      <c r="K7" s="33" t="n">
        <v>-3.15909356763102</v>
      </c>
      <c r="L7" t="s">
        <v>2028</v>
      </c>
      <c r="M7" t="s">
        <v>50</v>
      </c>
      <c r="N7" t="s">
        <v>1491</v>
      </c>
      <c r="O7" t="s">
        <v>1749</v>
      </c>
      <c r="P7" t="s">
        <v>1486</v>
      </c>
      <c r="Q7"/>
    </row>
    <row r="8">
      <c r="A8" t="s">
        <v>55</v>
      </c>
      <c r="B8" t="s">
        <v>440</v>
      </c>
      <c r="C8" s="33" t="n">
        <v>0.0702554744525548</v>
      </c>
      <c r="D8" s="33" t="n">
        <v>0.254442502781451</v>
      </c>
      <c r="E8" s="33" t="n">
        <v>0.276115325405754</v>
      </c>
      <c r="F8" t="n">
        <v>0.782728467437524</v>
      </c>
      <c r="G8" t="n">
        <v>212</v>
      </c>
      <c r="H8" t="s">
        <v>1487</v>
      </c>
      <c r="I8" s="33" t="n">
        <v>0.0702554744525548</v>
      </c>
      <c r="J8" s="33" t="n">
        <v>-0.43130591574547</v>
      </c>
      <c r="K8" s="33" t="n">
        <v>0.571816864650579</v>
      </c>
      <c r="L8" t="s">
        <v>2029</v>
      </c>
      <c r="M8" t="s">
        <v>1990</v>
      </c>
      <c r="N8" t="s">
        <v>1491</v>
      </c>
      <c r="O8" t="s">
        <v>1749</v>
      </c>
      <c r="P8" t="s">
        <v>1486</v>
      </c>
      <c r="Q8"/>
    </row>
    <row r="9">
      <c r="A9" t="s">
        <v>62</v>
      </c>
      <c r="B9" t="s">
        <v>1481</v>
      </c>
      <c r="C9" s="33" t="n">
        <v>-3.04835766423358</v>
      </c>
      <c r="D9" s="33" t="n">
        <v>0.171996947892144</v>
      </c>
      <c r="E9" s="33" t="n">
        <v>-17.7233241728519</v>
      </c>
      <c r="F9" t="n">
        <v>0.000000000000000000000000000000000000000000101353447304823</v>
      </c>
      <c r="G9" t="n">
        <v>212</v>
      </c>
      <c r="H9" t="s">
        <v>1482</v>
      </c>
      <c r="I9" s="33" t="n">
        <v>-3.04835766423358</v>
      </c>
      <c r="J9" s="33" t="n">
        <v>-3.38740097402486</v>
      </c>
      <c r="K9" s="33" t="n">
        <v>-2.70931435444229</v>
      </c>
      <c r="L9" t="s">
        <v>2030</v>
      </c>
      <c r="M9" t="s">
        <v>50</v>
      </c>
      <c r="N9" t="s">
        <v>1491</v>
      </c>
      <c r="O9" t="s">
        <v>1749</v>
      </c>
      <c r="P9" t="s">
        <v>1486</v>
      </c>
      <c r="Q9"/>
    </row>
    <row r="10">
      <c r="A10" t="s">
        <v>62</v>
      </c>
      <c r="B10" t="s">
        <v>440</v>
      </c>
      <c r="C10" s="33" t="n">
        <v>0.0830291970802918</v>
      </c>
      <c r="D10" s="33" t="n">
        <v>0.256829236875475</v>
      </c>
      <c r="E10" s="33" t="n">
        <v>0.323285612223926</v>
      </c>
      <c r="F10" t="n">
        <v>0.74679760920384</v>
      </c>
      <c r="G10" t="n">
        <v>212</v>
      </c>
      <c r="H10" t="s">
        <v>1487</v>
      </c>
      <c r="I10" s="33" t="n">
        <v>0.0830291970802918</v>
      </c>
      <c r="J10" s="33" t="n">
        <v>-0.423236963968301</v>
      </c>
      <c r="K10" s="33" t="n">
        <v>0.589295358128885</v>
      </c>
      <c r="L10" t="s">
        <v>2031</v>
      </c>
      <c r="M10" t="s">
        <v>1513</v>
      </c>
      <c r="N10" t="s">
        <v>1491</v>
      </c>
      <c r="O10" t="s">
        <v>1749</v>
      </c>
      <c r="P10" t="s">
        <v>1486</v>
      </c>
      <c r="Q10"/>
    </row>
    <row r="11">
      <c r="A11" t="s">
        <v>68</v>
      </c>
      <c r="B11" t="s">
        <v>1481</v>
      </c>
      <c r="C11" s="33" t="n">
        <v>-0.885036496350365</v>
      </c>
      <c r="D11" s="33" t="n">
        <v>0.0550323115006037</v>
      </c>
      <c r="E11" s="33" t="n">
        <v>-16.0821247048774</v>
      </c>
      <c r="F11" t="n">
        <v>0.0000000000000000000000000000000000000142465673909119</v>
      </c>
      <c r="G11" t="n">
        <v>212</v>
      </c>
      <c r="H11" t="s">
        <v>1482</v>
      </c>
      <c r="I11" s="33" t="n">
        <v>-0.885036496350365</v>
      </c>
      <c r="J11" s="33" t="n">
        <v>-0.993517125020182</v>
      </c>
      <c r="K11" s="33" t="n">
        <v>-0.776555867680548</v>
      </c>
      <c r="L11" t="s">
        <v>2032</v>
      </c>
      <c r="M11" t="s">
        <v>50</v>
      </c>
      <c r="N11" t="s">
        <v>1491</v>
      </c>
      <c r="O11" t="s">
        <v>1749</v>
      </c>
      <c r="P11" t="s">
        <v>1486</v>
      </c>
      <c r="Q11"/>
    </row>
    <row r="12">
      <c r="A12" t="s">
        <v>68</v>
      </c>
      <c r="B12" t="s">
        <v>440</v>
      </c>
      <c r="C12" s="33" t="n">
        <v>-0.0255474452554745</v>
      </c>
      <c r="D12" s="33" t="n">
        <v>0.0887771364494842</v>
      </c>
      <c r="E12" s="33" t="n">
        <v>-0.287770548557977</v>
      </c>
      <c r="F12" t="n">
        <v>0.773803499877606</v>
      </c>
      <c r="G12" t="n">
        <v>212</v>
      </c>
      <c r="H12" t="s">
        <v>1487</v>
      </c>
      <c r="I12" s="33" t="n">
        <v>-0.0255474452554745</v>
      </c>
      <c r="J12" s="33" t="n">
        <v>-0.200546446949971</v>
      </c>
      <c r="K12" s="33" t="n">
        <v>0.149451556439022</v>
      </c>
      <c r="L12" t="s">
        <v>2033</v>
      </c>
      <c r="M12" t="s">
        <v>546</v>
      </c>
      <c r="N12" t="s">
        <v>1491</v>
      </c>
      <c r="O12" t="s">
        <v>1749</v>
      </c>
      <c r="P12" t="s">
        <v>1486</v>
      </c>
      <c r="Q12"/>
    </row>
    <row r="13">
      <c r="A13" t="s">
        <v>76</v>
      </c>
      <c r="B13" t="s">
        <v>1481</v>
      </c>
      <c r="C13" s="33" t="n">
        <v>0.944928647728242</v>
      </c>
      <c r="D13" s="33" t="n">
        <v>0.0444335444928879</v>
      </c>
      <c r="E13" s="33" t="n">
        <v>21.2661100641991</v>
      </c>
      <c r="F13" t="n">
        <v>0.00000000000000000000000000000000000000000000000000000175964001697311</v>
      </c>
      <c r="G13" t="n">
        <v>212</v>
      </c>
      <c r="H13" t="s">
        <v>1482</v>
      </c>
      <c r="I13" s="33" t="n">
        <v>0.944928647728242</v>
      </c>
      <c r="J13" s="33" t="n">
        <v>0.857340488896064</v>
      </c>
      <c r="K13" s="33" t="n">
        <v>1.03251680656042</v>
      </c>
      <c r="L13" t="s">
        <v>2034</v>
      </c>
      <c r="M13" t="s">
        <v>50</v>
      </c>
      <c r="N13" t="s">
        <v>1491</v>
      </c>
      <c r="O13" t="s">
        <v>1749</v>
      </c>
      <c r="P13" t="s">
        <v>1486</v>
      </c>
      <c r="Q13"/>
    </row>
    <row r="14">
      <c r="A14" t="s">
        <v>76</v>
      </c>
      <c r="B14" t="s">
        <v>440</v>
      </c>
      <c r="C14" s="33" t="n">
        <v>-0.0210731401269778</v>
      </c>
      <c r="D14" s="33" t="n">
        <v>0.0688808395418638</v>
      </c>
      <c r="E14" s="33" t="n">
        <v>-0.305936168419813</v>
      </c>
      <c r="F14" t="n">
        <v>0.759953461195768</v>
      </c>
      <c r="G14" t="n">
        <v>212</v>
      </c>
      <c r="H14" t="s">
        <v>1487</v>
      </c>
      <c r="I14" s="33" t="n">
        <v>-0.0210731401269778</v>
      </c>
      <c r="J14" s="33" t="n">
        <v>-0.156852222870471</v>
      </c>
      <c r="K14" s="33" t="n">
        <v>0.114705942616516</v>
      </c>
      <c r="L14" t="s">
        <v>2035</v>
      </c>
      <c r="M14" t="s">
        <v>444</v>
      </c>
      <c r="N14" t="s">
        <v>1491</v>
      </c>
      <c r="O14" t="s">
        <v>1749</v>
      </c>
      <c r="P14" t="s">
        <v>1486</v>
      </c>
      <c r="Q14"/>
    </row>
    <row r="15">
      <c r="A15" t="s">
        <v>82</v>
      </c>
      <c r="B15" t="s">
        <v>1481</v>
      </c>
      <c r="C15" s="33" t="n">
        <v>-0.028595622969938</v>
      </c>
      <c r="D15" s="33" t="n">
        <v>0.00651042058151242</v>
      </c>
      <c r="E15" s="33" t="n">
        <v>-4.39228504701228</v>
      </c>
      <c r="F15" t="n">
        <v>0.000017709068926067</v>
      </c>
      <c r="G15" t="n">
        <v>212</v>
      </c>
      <c r="H15" t="s">
        <v>1482</v>
      </c>
      <c r="I15" s="33" t="n">
        <v>-0.028595622969938</v>
      </c>
      <c r="J15" s="33" t="n">
        <v>-0.0414290747790563</v>
      </c>
      <c r="K15" s="33" t="n">
        <v>-0.0157621711608197</v>
      </c>
      <c r="L15" t="s">
        <v>1504</v>
      </c>
      <c r="M15" t="s">
        <v>50</v>
      </c>
      <c r="N15" t="s">
        <v>1491</v>
      </c>
      <c r="O15" t="s">
        <v>1749</v>
      </c>
      <c r="P15" t="s">
        <v>1486</v>
      </c>
      <c r="Q15"/>
    </row>
    <row r="16">
      <c r="A16" t="s">
        <v>82</v>
      </c>
      <c r="B16" t="s">
        <v>440</v>
      </c>
      <c r="C16" s="33" t="n">
        <v>-0.0125823381085065</v>
      </c>
      <c r="D16" s="33" t="n">
        <v>0.00945770668937259</v>
      </c>
      <c r="E16" s="33" t="n">
        <v>-1.33037939552989</v>
      </c>
      <c r="F16" t="n">
        <v>0.184822605694871</v>
      </c>
      <c r="G16" t="n">
        <v>212</v>
      </c>
      <c r="H16" t="s">
        <v>1487</v>
      </c>
      <c r="I16" s="33" t="n">
        <v>-0.0125823381085065</v>
      </c>
      <c r="J16" s="33" t="n">
        <v>-0.0312255304342844</v>
      </c>
      <c r="K16" s="33" t="n">
        <v>0.00606085421727141</v>
      </c>
      <c r="L16" t="s">
        <v>1599</v>
      </c>
      <c r="M16" t="s">
        <v>171</v>
      </c>
      <c r="N16" t="s">
        <v>1491</v>
      </c>
      <c r="O16" t="s">
        <v>1749</v>
      </c>
      <c r="P16" t="s">
        <v>1486</v>
      </c>
      <c r="Q16"/>
    </row>
    <row r="17">
      <c r="A17" t="s">
        <v>89</v>
      </c>
      <c r="B17" t="s">
        <v>1481</v>
      </c>
      <c r="C17" s="33" t="n">
        <v>554.102189781022</v>
      </c>
      <c r="D17" s="33" t="n">
        <v>2.53597771699974</v>
      </c>
      <c r="E17" s="33" t="n">
        <v>218.496474186914</v>
      </c>
      <c r="F17" t="n">
        <v>1.46090034175188e-251</v>
      </c>
      <c r="G17" t="n">
        <v>212</v>
      </c>
      <c r="H17" t="s">
        <v>1482</v>
      </c>
      <c r="I17" s="33" t="n">
        <v>554.102189781022</v>
      </c>
      <c r="J17" s="33" t="n">
        <v>549.10322736183</v>
      </c>
      <c r="K17" s="33" t="n">
        <v>559.101152200214</v>
      </c>
      <c r="L17" t="s">
        <v>2036</v>
      </c>
      <c r="M17" t="s">
        <v>50</v>
      </c>
      <c r="N17" t="s">
        <v>1491</v>
      </c>
      <c r="O17" t="s">
        <v>1749</v>
      </c>
      <c r="P17" t="s">
        <v>1486</v>
      </c>
      <c r="Q17"/>
    </row>
    <row r="18">
      <c r="A18" t="s">
        <v>89</v>
      </c>
      <c r="B18" t="s">
        <v>440</v>
      </c>
      <c r="C18" s="33" t="n">
        <v>1.02919708029193</v>
      </c>
      <c r="D18" s="33" t="n">
        <v>4.073843450985</v>
      </c>
      <c r="E18" s="33" t="n">
        <v>0.252635402581089</v>
      </c>
      <c r="F18" t="n">
        <v>0.800794751692312</v>
      </c>
      <c r="G18" t="n">
        <v>212</v>
      </c>
      <c r="H18" t="s">
        <v>1487</v>
      </c>
      <c r="I18" s="33" t="n">
        <v>1.02919708029193</v>
      </c>
      <c r="J18" s="33" t="n">
        <v>-7.00123243674595</v>
      </c>
      <c r="K18" s="33" t="n">
        <v>9.0596265973298</v>
      </c>
      <c r="L18" t="s">
        <v>2037</v>
      </c>
      <c r="M18" t="s">
        <v>540</v>
      </c>
      <c r="N18" t="s">
        <v>1491</v>
      </c>
      <c r="O18" t="s">
        <v>1749</v>
      </c>
      <c r="P18" t="s">
        <v>1486</v>
      </c>
      <c r="Q18"/>
    </row>
    <row r="19">
      <c r="A19" t="s">
        <v>95</v>
      </c>
      <c r="B19" t="s">
        <v>1481</v>
      </c>
      <c r="C19" s="33" t="n">
        <v>43.3201492537313</v>
      </c>
      <c r="D19" s="33" t="n">
        <v>0.142729455951926</v>
      </c>
      <c r="E19" s="33" t="n">
        <v>303.512326623892</v>
      </c>
      <c r="F19" t="n">
        <v>1.28098143200604e-280</v>
      </c>
      <c r="G19" t="n">
        <v>211</v>
      </c>
      <c r="H19" t="s">
        <v>1482</v>
      </c>
      <c r="I19" s="33" t="n">
        <v>43.3201492537313</v>
      </c>
      <c r="J19" s="33" t="n">
        <v>43.0387908668868</v>
      </c>
      <c r="K19" s="33" t="n">
        <v>43.6015076405759</v>
      </c>
      <c r="L19" t="s">
        <v>2038</v>
      </c>
      <c r="M19" t="s">
        <v>50</v>
      </c>
      <c r="N19" t="s">
        <v>1491</v>
      </c>
      <c r="O19" t="s">
        <v>1749</v>
      </c>
      <c r="P19" t="s">
        <v>1486</v>
      </c>
      <c r="Q19"/>
    </row>
    <row r="20">
      <c r="A20" t="s">
        <v>95</v>
      </c>
      <c r="B20" t="s">
        <v>440</v>
      </c>
      <c r="C20" s="33" t="n">
        <v>0.252274988692898</v>
      </c>
      <c r="D20" s="33" t="n">
        <v>0.209947221059478</v>
      </c>
      <c r="E20" s="33" t="n">
        <v>1.20161146891975</v>
      </c>
      <c r="F20" t="n">
        <v>0.230861050401379</v>
      </c>
      <c r="G20" t="n">
        <v>211</v>
      </c>
      <c r="H20" t="s">
        <v>1487</v>
      </c>
      <c r="I20" s="33" t="n">
        <v>0.252274988692898</v>
      </c>
      <c r="J20" s="33" t="n">
        <v>-0.161587805401125</v>
      </c>
      <c r="K20" s="33" t="n">
        <v>0.666137782786922</v>
      </c>
      <c r="L20" t="s">
        <v>2039</v>
      </c>
      <c r="M20" t="s">
        <v>429</v>
      </c>
      <c r="N20" t="s">
        <v>1491</v>
      </c>
      <c r="O20" t="s">
        <v>1749</v>
      </c>
      <c r="P20" t="s">
        <v>1486</v>
      </c>
      <c r="Q20"/>
    </row>
    <row r="21">
      <c r="A21" t="s">
        <v>103</v>
      </c>
      <c r="B21"/>
      <c r="C21" s="33"/>
      <c r="D21" s="33"/>
      <c r="E21" s="33"/>
      <c r="F21"/>
      <c r="G21"/>
      <c r="H21"/>
      <c r="I21" s="33"/>
      <c r="J21" s="33"/>
      <c r="K21" s="33"/>
      <c r="L21"/>
      <c r="M21" t="s">
        <v>109</v>
      </c>
      <c r="N21"/>
      <c r="O21" t="s">
        <v>1515</v>
      </c>
      <c r="P21"/>
      <c r="Q21"/>
    </row>
    <row r="22">
      <c r="A22" t="s">
        <v>23</v>
      </c>
      <c r="B22" t="s">
        <v>1481</v>
      </c>
      <c r="C22" s="33" t="n">
        <v>0.134312337607594</v>
      </c>
      <c r="D22" s="33" t="n">
        <v>0.184263015654949</v>
      </c>
      <c r="E22" s="33" t="n">
        <v>0.728916419446359</v>
      </c>
      <c r="F22" t="n">
        <v>0.466857263795356</v>
      </c>
      <c r="G22" t="n">
        <v>212</v>
      </c>
      <c r="H22" t="s">
        <v>1516</v>
      </c>
      <c r="I22" s="33" t="n">
        <v>1.14375</v>
      </c>
      <c r="J22" s="33" t="n">
        <v>0.795400073633166</v>
      </c>
      <c r="K22" s="33" t="n">
        <v>1.64466173170524</v>
      </c>
      <c r="L22" t="s">
        <v>2040</v>
      </c>
      <c r="M22" t="s">
        <v>1654</v>
      </c>
      <c r="N22" t="s">
        <v>1491</v>
      </c>
      <c r="O22" t="s">
        <v>2041</v>
      </c>
      <c r="P22" t="s">
        <v>1486</v>
      </c>
      <c r="Q22"/>
    </row>
    <row r="23">
      <c r="A23" t="s">
        <v>23</v>
      </c>
      <c r="B23" t="s">
        <v>440</v>
      </c>
      <c r="C23" s="33" t="n">
        <v>0.160487202613051</v>
      </c>
      <c r="D23" s="33" t="n">
        <v>0.291614979545972</v>
      </c>
      <c r="E23" s="33" t="n">
        <v>0.550339364812192</v>
      </c>
      <c r="F23" t="n">
        <v>0.582666024800261</v>
      </c>
      <c r="G23" t="n">
        <v>212</v>
      </c>
      <c r="H23" t="s">
        <v>1520</v>
      </c>
      <c r="I23" s="33" t="n">
        <v>1.17408274785324</v>
      </c>
      <c r="J23" s="33" t="n">
        <v>0.660770165945774</v>
      </c>
      <c r="K23" s="33" t="n">
        <v>2.08615698748079</v>
      </c>
      <c r="L23" t="s">
        <v>2042</v>
      </c>
      <c r="M23" t="s">
        <v>465</v>
      </c>
      <c r="N23" t="s">
        <v>1491</v>
      </c>
      <c r="O23" t="s">
        <v>2041</v>
      </c>
      <c r="P23" t="s">
        <v>1486</v>
      </c>
      <c r="Q23"/>
    </row>
    <row r="24">
      <c r="A24" t="s">
        <v>1524</v>
      </c>
      <c r="B24" t="s">
        <v>1481</v>
      </c>
      <c r="C24" s="33" t="n">
        <v>-1.71199450075919</v>
      </c>
      <c r="D24" s="33" t="n">
        <v>0.269054133496951</v>
      </c>
      <c r="E24" s="33" t="n">
        <v>-6.36301133347424</v>
      </c>
      <c r="F24" t="n">
        <v>0.00000000130062817597206</v>
      </c>
      <c r="G24" t="n">
        <v>202</v>
      </c>
      <c r="H24" t="s">
        <v>1516</v>
      </c>
      <c r="I24" s="33" t="n">
        <v>0.180505415162455</v>
      </c>
      <c r="J24" s="33" t="n">
        <v>0.10619169694313</v>
      </c>
      <c r="K24" s="33" t="n">
        <v>0.306824411332453</v>
      </c>
      <c r="L24" t="s">
        <v>2043</v>
      </c>
      <c r="M24" t="s">
        <v>50</v>
      </c>
      <c r="N24" t="s">
        <v>1491</v>
      </c>
      <c r="O24" t="s">
        <v>2044</v>
      </c>
      <c r="P24" t="s">
        <v>1486</v>
      </c>
      <c r="Q24"/>
    </row>
    <row r="25">
      <c r="A25" t="s">
        <v>1524</v>
      </c>
      <c r="B25" t="s">
        <v>440</v>
      </c>
      <c r="C25" s="33" t="n">
        <v>0.19216874701478</v>
      </c>
      <c r="D25" s="33" t="n">
        <v>0.402143646697702</v>
      </c>
      <c r="E25" s="33" t="n">
        <v>0.477860954892162</v>
      </c>
      <c r="F25" t="n">
        <v>0.633265874311877</v>
      </c>
      <c r="G25" t="n">
        <v>202</v>
      </c>
      <c r="H25" t="s">
        <v>1520</v>
      </c>
      <c r="I25" s="33" t="n">
        <v>1.211875</v>
      </c>
      <c r="J25" s="33" t="n">
        <v>0.548389761665827</v>
      </c>
      <c r="K25" s="33" t="n">
        <v>2.6780970730813</v>
      </c>
      <c r="L25" t="s">
        <v>2045</v>
      </c>
      <c r="M25" t="s">
        <v>494</v>
      </c>
      <c r="N25" t="s">
        <v>1491</v>
      </c>
      <c r="O25" t="s">
        <v>2044</v>
      </c>
      <c r="P25" t="s">
        <v>1486</v>
      </c>
      <c r="Q25"/>
    </row>
    <row r="26">
      <c r="A26" t="s">
        <v>1529</v>
      </c>
      <c r="B26"/>
      <c r="C26" s="33"/>
      <c r="D26" s="33"/>
      <c r="E26" s="33"/>
      <c r="F26"/>
      <c r="G26"/>
      <c r="H26"/>
      <c r="I26" s="33"/>
      <c r="J26" s="33"/>
      <c r="K26" s="33"/>
      <c r="L26"/>
      <c r="M26" t="s">
        <v>109</v>
      </c>
      <c r="N26"/>
      <c r="O26" t="s">
        <v>1530</v>
      </c>
      <c r="P26"/>
      <c r="Q26"/>
    </row>
    <row r="28">
      <c r="A28" s="1" t="s">
        <v>1770</v>
      </c>
    </row>
    <row r="29">
      <c r="A29" t="s">
        <v>1465</v>
      </c>
      <c r="B29" t="s">
        <v>1466</v>
      </c>
      <c r="C29" t="s">
        <v>1467</v>
      </c>
      <c r="D29" t="s">
        <v>1468</v>
      </c>
      <c r="E29" t="s">
        <v>1469</v>
      </c>
      <c r="F29" t="s">
        <v>1470</v>
      </c>
      <c r="G29" t="s">
        <v>1471</v>
      </c>
      <c r="H29" t="s">
        <v>1472</v>
      </c>
      <c r="I29" t="s">
        <v>1473</v>
      </c>
      <c r="J29" t="s">
        <v>1474</v>
      </c>
      <c r="K29" t="s">
        <v>1475</v>
      </c>
      <c r="L29" t="s">
        <v>1476</v>
      </c>
      <c r="M29" t="s">
        <v>41</v>
      </c>
      <c r="N29" t="s">
        <v>1477</v>
      </c>
      <c r="O29" t="s">
        <v>1478</v>
      </c>
      <c r="P29" t="s">
        <v>1479</v>
      </c>
      <c r="Q29" t="s">
        <v>1</v>
      </c>
    </row>
    <row r="30">
      <c r="A30" t="s">
        <v>1532</v>
      </c>
      <c r="B30" t="s">
        <v>1481</v>
      </c>
      <c r="C30" s="33" t="n">
        <v>6.53615160349854</v>
      </c>
      <c r="D30" s="33" t="n">
        <v>0.0143459184893241</v>
      </c>
      <c r="E30" s="33" t="n">
        <v>455.610535384165</v>
      </c>
      <c r="F30" t="n">
        <v>4.58374343585675e-319</v>
      </c>
      <c r="G30" t="n">
        <v>212</v>
      </c>
      <c r="H30" t="s">
        <v>1482</v>
      </c>
      <c r="I30" s="33" t="n">
        <v>6.53615160349854</v>
      </c>
      <c r="J30" s="33" t="n">
        <v>6.50787268491176</v>
      </c>
      <c r="K30" s="33" t="n">
        <v>6.56443052208532</v>
      </c>
      <c r="L30" t="s">
        <v>2046</v>
      </c>
      <c r="M30" t="s">
        <v>50</v>
      </c>
      <c r="N30" t="s">
        <v>1491</v>
      </c>
      <c r="O30" t="s">
        <v>2026</v>
      </c>
      <c r="P30" t="s">
        <v>1486</v>
      </c>
      <c r="Q30"/>
    </row>
    <row r="31">
      <c r="A31" t="s">
        <v>1532</v>
      </c>
      <c r="B31" t="s">
        <v>440</v>
      </c>
      <c r="C31" s="33" t="n">
        <v>0.0175069330868233</v>
      </c>
      <c r="D31" s="33" t="n">
        <v>0.0219259798669708</v>
      </c>
      <c r="E31" s="33" t="n">
        <v>0.798456132544191</v>
      </c>
      <c r="F31" t="n">
        <v>0.425499383156747</v>
      </c>
      <c r="G31" t="n">
        <v>212</v>
      </c>
      <c r="H31" t="s">
        <v>1487</v>
      </c>
      <c r="I31" s="33" t="n">
        <v>0.0175069330868233</v>
      </c>
      <c r="J31" s="33" t="n">
        <v>-0.025713931443729</v>
      </c>
      <c r="K31" s="33" t="n">
        <v>0.0607277976173755</v>
      </c>
      <c r="L31" t="s">
        <v>2047</v>
      </c>
      <c r="M31" t="s">
        <v>484</v>
      </c>
      <c r="N31" t="s">
        <v>1491</v>
      </c>
      <c r="O31" t="s">
        <v>2026</v>
      </c>
      <c r="P31" t="s">
        <v>1486</v>
      </c>
      <c r="Q31"/>
    </row>
    <row r="32">
      <c r="A32" t="s">
        <v>145</v>
      </c>
      <c r="B32" t="s">
        <v>1481</v>
      </c>
      <c r="C32" s="33" t="n">
        <v>58.3102189781022</v>
      </c>
      <c r="D32" s="33" t="n">
        <v>2.39034067309361</v>
      </c>
      <c r="E32" s="33" t="n">
        <v>24.3941040013499</v>
      </c>
      <c r="F32" t="n">
        <v>0.00000000000000000000000000000000000000000000000000000000000000183059868704224</v>
      </c>
      <c r="G32" t="n">
        <v>212</v>
      </c>
      <c r="H32" t="s">
        <v>1482</v>
      </c>
      <c r="I32" s="33" t="n">
        <v>58.3102189781022</v>
      </c>
      <c r="J32" s="33" t="n">
        <v>53.5983387775152</v>
      </c>
      <c r="K32" s="33" t="n">
        <v>63.0220991786892</v>
      </c>
      <c r="L32" t="s">
        <v>2048</v>
      </c>
      <c r="M32" t="s">
        <v>50</v>
      </c>
      <c r="N32" t="s">
        <v>1491</v>
      </c>
      <c r="O32" t="s">
        <v>1749</v>
      </c>
      <c r="P32" t="s">
        <v>1486</v>
      </c>
      <c r="Q32"/>
    </row>
    <row r="33">
      <c r="A33" t="s">
        <v>145</v>
      </c>
      <c r="B33" t="s">
        <v>440</v>
      </c>
      <c r="C33" s="33" t="n">
        <v>-0.762773722627735</v>
      </c>
      <c r="D33" s="33" t="n">
        <v>3.70842480622474</v>
      </c>
      <c r="E33" s="33" t="n">
        <v>-0.205686716728728</v>
      </c>
      <c r="F33" t="n">
        <v>0.837233010938015</v>
      </c>
      <c r="G33" t="n">
        <v>212</v>
      </c>
      <c r="H33" t="s">
        <v>1487</v>
      </c>
      <c r="I33" s="33" t="n">
        <v>-0.762773722627735</v>
      </c>
      <c r="J33" s="33" t="n">
        <v>-8.07288379041203</v>
      </c>
      <c r="K33" s="33" t="n">
        <v>6.54733634515656</v>
      </c>
      <c r="L33" t="s">
        <v>2049</v>
      </c>
      <c r="M33" t="s">
        <v>509</v>
      </c>
      <c r="N33" t="s">
        <v>1491</v>
      </c>
      <c r="O33" t="s">
        <v>1749</v>
      </c>
      <c r="P33" t="s">
        <v>1486</v>
      </c>
      <c r="Q33"/>
    </row>
    <row r="34">
      <c r="A34" t="s">
        <v>1539</v>
      </c>
      <c r="B34"/>
      <c r="C34" s="33"/>
      <c r="D34" s="33"/>
      <c r="E34" s="33"/>
      <c r="F34"/>
      <c r="G34"/>
      <c r="H34"/>
      <c r="I34" s="33"/>
      <c r="J34" s="33"/>
      <c r="K34" s="33"/>
      <c r="L34"/>
      <c r="M34" t="s">
        <v>109</v>
      </c>
      <c r="N34"/>
      <c r="O34" t="s">
        <v>1530</v>
      </c>
      <c r="P34"/>
      <c r="Q34"/>
    </row>
    <row r="36">
      <c r="A36" s="1" t="s">
        <v>1775</v>
      </c>
    </row>
    <row r="37">
      <c r="A37" t="s">
        <v>1465</v>
      </c>
      <c r="B37" t="s">
        <v>1466</v>
      </c>
      <c r="C37" t="s">
        <v>1467</v>
      </c>
      <c r="D37" t="s">
        <v>1468</v>
      </c>
      <c r="E37" t="s">
        <v>1469</v>
      </c>
      <c r="F37" t="s">
        <v>1470</v>
      </c>
      <c r="G37" t="s">
        <v>1471</v>
      </c>
      <c r="H37" t="s">
        <v>1472</v>
      </c>
      <c r="I37" t="s">
        <v>1473</v>
      </c>
      <c r="J37" t="s">
        <v>1474</v>
      </c>
      <c r="K37" t="s">
        <v>1475</v>
      </c>
      <c r="L37" t="s">
        <v>1476</v>
      </c>
      <c r="M37" t="s">
        <v>41</v>
      </c>
      <c r="N37" t="s">
        <v>1477</v>
      </c>
      <c r="O37" t="s">
        <v>1478</v>
      </c>
      <c r="P37" t="s">
        <v>1479</v>
      </c>
      <c r="Q37" t="s">
        <v>1</v>
      </c>
    </row>
    <row r="38">
      <c r="A38" t="s">
        <v>167</v>
      </c>
      <c r="B38" t="s">
        <v>1481</v>
      </c>
      <c r="C38" s="33" t="n">
        <v>181.919028340081</v>
      </c>
      <c r="D38" s="33" t="n">
        <v>1.00820395741998</v>
      </c>
      <c r="E38" s="33" t="n">
        <v>180.438716790615</v>
      </c>
      <c r="F38" t="n">
        <v>4.98066417631441e-218</v>
      </c>
      <c r="G38" t="n">
        <v>194</v>
      </c>
      <c r="H38" t="s">
        <v>1482</v>
      </c>
      <c r="I38" s="33" t="n">
        <v>181.919028340081</v>
      </c>
      <c r="J38" s="33" t="n">
        <v>179.930580408641</v>
      </c>
      <c r="K38" s="33" t="n">
        <v>183.907476271521</v>
      </c>
      <c r="L38" t="s">
        <v>2050</v>
      </c>
      <c r="M38" t="s">
        <v>50</v>
      </c>
      <c r="N38" t="s">
        <v>1491</v>
      </c>
      <c r="O38" t="s">
        <v>1749</v>
      </c>
      <c r="P38" t="s">
        <v>1486</v>
      </c>
      <c r="Q38"/>
    </row>
    <row r="39">
      <c r="A39" t="s">
        <v>167</v>
      </c>
      <c r="B39" t="s">
        <v>440</v>
      </c>
      <c r="C39" s="33" t="n">
        <v>-2.74848570442206</v>
      </c>
      <c r="D39" s="33" t="n">
        <v>1.64919784482122</v>
      </c>
      <c r="E39" s="33" t="n">
        <v>-1.66655911724163</v>
      </c>
      <c r="F39" t="n">
        <v>0.0972157816659318</v>
      </c>
      <c r="G39" t="n">
        <v>194</v>
      </c>
      <c r="H39" t="s">
        <v>1487</v>
      </c>
      <c r="I39" s="33" t="n">
        <v>-2.74848570442206</v>
      </c>
      <c r="J39" s="33" t="n">
        <v>-6.00114506856739</v>
      </c>
      <c r="K39" s="33" t="n">
        <v>0.504173659723265</v>
      </c>
      <c r="L39" t="s">
        <v>2051</v>
      </c>
      <c r="M39" t="s">
        <v>433</v>
      </c>
      <c r="N39" t="s">
        <v>1491</v>
      </c>
      <c r="O39" t="s">
        <v>1749</v>
      </c>
      <c r="P39" t="s">
        <v>1486</v>
      </c>
      <c r="Q39"/>
    </row>
    <row r="40">
      <c r="A40" t="s">
        <v>177</v>
      </c>
      <c r="B40" t="s">
        <v>1481</v>
      </c>
      <c r="C40" s="33" t="n">
        <v>0.0946356275303643</v>
      </c>
      <c r="D40" s="33" t="n">
        <v>0.0316014775017691</v>
      </c>
      <c r="E40" s="33" t="n">
        <v>2.99465832017083</v>
      </c>
      <c r="F40" t="n">
        <v>0.0031055562278109</v>
      </c>
      <c r="G40" t="n">
        <v>194</v>
      </c>
      <c r="H40" t="s">
        <v>1482</v>
      </c>
      <c r="I40" s="33" t="n">
        <v>0.0946356275303643</v>
      </c>
      <c r="J40" s="33" t="n">
        <v>0.0323090594720003</v>
      </c>
      <c r="K40" s="33" t="n">
        <v>0.156962195588728</v>
      </c>
      <c r="L40" t="s">
        <v>2052</v>
      </c>
      <c r="M40" t="s">
        <v>369</v>
      </c>
      <c r="N40" t="s">
        <v>1491</v>
      </c>
      <c r="O40" t="s">
        <v>1749</v>
      </c>
      <c r="P40" t="s">
        <v>1486</v>
      </c>
      <c r="Q40"/>
    </row>
    <row r="41">
      <c r="A41" t="s">
        <v>177</v>
      </c>
      <c r="B41" t="s">
        <v>440</v>
      </c>
      <c r="C41" s="33" t="n">
        <v>-0.0519999686156357</v>
      </c>
      <c r="D41" s="33" t="n">
        <v>0.0512106707849191</v>
      </c>
      <c r="E41" s="33" t="n">
        <v>-1.01541276102458</v>
      </c>
      <c r="F41" t="n">
        <v>0.311173807531852</v>
      </c>
      <c r="G41" t="n">
        <v>194</v>
      </c>
      <c r="H41" t="s">
        <v>1487</v>
      </c>
      <c r="I41" s="33" t="n">
        <v>-0.0519999686156357</v>
      </c>
      <c r="J41" s="33" t="n">
        <v>-0.153001111926484</v>
      </c>
      <c r="K41" s="33" t="n">
        <v>0.0490011746952127</v>
      </c>
      <c r="L41" t="s">
        <v>2053</v>
      </c>
      <c r="M41" t="s">
        <v>414</v>
      </c>
      <c r="N41" t="s">
        <v>1491</v>
      </c>
      <c r="O41" t="s">
        <v>1749</v>
      </c>
      <c r="P41" t="s">
        <v>1486</v>
      </c>
      <c r="Q41"/>
    </row>
    <row r="42">
      <c r="A42" t="s">
        <v>185</v>
      </c>
      <c r="B42" t="s">
        <v>1481</v>
      </c>
      <c r="C42" s="33" t="n">
        <v>-0.276315789473684</v>
      </c>
      <c r="D42" s="33" t="n">
        <v>0.0207615890625815</v>
      </c>
      <c r="E42" s="33" t="n">
        <v>-13.3089903976419</v>
      </c>
      <c r="F42" t="n">
        <v>0.000000000000000000000000000038773101932201</v>
      </c>
      <c r="G42" t="n">
        <v>194</v>
      </c>
      <c r="H42" t="s">
        <v>1482</v>
      </c>
      <c r="I42" s="33" t="n">
        <v>-0.276315789473684</v>
      </c>
      <c r="J42" s="33" t="n">
        <v>-0.317263197506626</v>
      </c>
      <c r="K42" s="33" t="n">
        <v>-0.235368381440742</v>
      </c>
      <c r="L42" t="s">
        <v>2054</v>
      </c>
      <c r="M42" t="s">
        <v>50</v>
      </c>
      <c r="N42" t="s">
        <v>1491</v>
      </c>
      <c r="O42" t="s">
        <v>1749</v>
      </c>
      <c r="P42" t="s">
        <v>1486</v>
      </c>
      <c r="Q42"/>
    </row>
    <row r="43">
      <c r="A43" t="s">
        <v>185</v>
      </c>
      <c r="B43" t="s">
        <v>440</v>
      </c>
      <c r="C43" s="33" t="n">
        <v>0.00887392900856794</v>
      </c>
      <c r="D43" s="33" t="n">
        <v>0.0301271140818484</v>
      </c>
      <c r="E43" s="33" t="n">
        <v>0.294549586942166</v>
      </c>
      <c r="F43" t="n">
        <v>0.768652919489114</v>
      </c>
      <c r="G43" t="n">
        <v>194</v>
      </c>
      <c r="H43" t="s">
        <v>1487</v>
      </c>
      <c r="I43" s="33" t="n">
        <v>0.00887392900856794</v>
      </c>
      <c r="J43" s="33" t="n">
        <v>-0.0505447999454596</v>
      </c>
      <c r="K43" s="33" t="n">
        <v>0.0682926579625955</v>
      </c>
      <c r="L43" t="s">
        <v>2055</v>
      </c>
      <c r="M43" t="s">
        <v>546</v>
      </c>
      <c r="N43" t="s">
        <v>1491</v>
      </c>
      <c r="O43" t="s">
        <v>1749</v>
      </c>
      <c r="P43" t="s">
        <v>1486</v>
      </c>
      <c r="Q43"/>
    </row>
    <row r="44">
      <c r="A44" t="s">
        <v>194</v>
      </c>
      <c r="B44" t="s">
        <v>1481</v>
      </c>
      <c r="C44" s="33" t="n">
        <v>-0.0333560818437545</v>
      </c>
      <c r="D44" s="33" t="n">
        <v>0.0105653143171729</v>
      </c>
      <c r="E44" s="33" t="n">
        <v>-3.15713104621388</v>
      </c>
      <c r="F44" t="n">
        <v>0.00185051383283301</v>
      </c>
      <c r="G44" t="n">
        <v>192</v>
      </c>
      <c r="H44" t="s">
        <v>1482</v>
      </c>
      <c r="I44" s="33" t="n">
        <v>-0.0333560818437545</v>
      </c>
      <c r="J44" s="33" t="n">
        <v>-0.0541950707325925</v>
      </c>
      <c r="K44" s="33" t="n">
        <v>-0.0125170929549164</v>
      </c>
      <c r="L44" t="s">
        <v>2056</v>
      </c>
      <c r="M44" t="s">
        <v>567</v>
      </c>
      <c r="N44" t="s">
        <v>1491</v>
      </c>
      <c r="O44" t="s">
        <v>1749</v>
      </c>
      <c r="P44" t="s">
        <v>1486</v>
      </c>
      <c r="Q44"/>
    </row>
    <row r="45">
      <c r="A45" t="s">
        <v>194</v>
      </c>
      <c r="B45" t="s">
        <v>440</v>
      </c>
      <c r="C45" s="33" t="n">
        <v>-0.00714144431838398</v>
      </c>
      <c r="D45" s="33" t="n">
        <v>0.0150036726145926</v>
      </c>
      <c r="E45" s="33" t="n">
        <v>-0.47597974854758</v>
      </c>
      <c r="F45" t="n">
        <v>0.634629951865345</v>
      </c>
      <c r="G45" t="n">
        <v>192</v>
      </c>
      <c r="H45" t="s">
        <v>1487</v>
      </c>
      <c r="I45" s="33" t="n">
        <v>-0.00714144431838398</v>
      </c>
      <c r="J45" s="33" t="n">
        <v>-0.036734635540254</v>
      </c>
      <c r="K45" s="33" t="n">
        <v>0.022451746903486</v>
      </c>
      <c r="L45" t="s">
        <v>2057</v>
      </c>
      <c r="M45" t="s">
        <v>494</v>
      </c>
      <c r="N45" t="s">
        <v>1491</v>
      </c>
      <c r="O45" t="s">
        <v>1749</v>
      </c>
      <c r="P45" t="s">
        <v>1486</v>
      </c>
      <c r="Q45"/>
    </row>
    <row r="46">
      <c r="A46" t="s">
        <v>203</v>
      </c>
      <c r="B46" t="s">
        <v>1481</v>
      </c>
      <c r="C46" s="33" t="n">
        <v>-0.0572847082863352</v>
      </c>
      <c r="D46" s="33" t="n">
        <v>0.00946697630201223</v>
      </c>
      <c r="E46" s="33" t="n">
        <v>-6.05100366356248</v>
      </c>
      <c r="F46" t="n">
        <v>0.00000000729109200858571</v>
      </c>
      <c r="G46" t="n">
        <v>194</v>
      </c>
      <c r="H46" t="s">
        <v>1482</v>
      </c>
      <c r="I46" s="33" t="n">
        <v>-0.0572847082863352</v>
      </c>
      <c r="J46" s="33" t="n">
        <v>-0.0759561182785184</v>
      </c>
      <c r="K46" s="33" t="n">
        <v>-0.038613298294152</v>
      </c>
      <c r="L46" t="s">
        <v>2058</v>
      </c>
      <c r="M46" t="s">
        <v>50</v>
      </c>
      <c r="N46" t="s">
        <v>1491</v>
      </c>
      <c r="O46" t="s">
        <v>1749</v>
      </c>
      <c r="P46" t="s">
        <v>1486</v>
      </c>
      <c r="Q46"/>
    </row>
    <row r="47">
      <c r="A47" t="s">
        <v>203</v>
      </c>
      <c r="B47" t="s">
        <v>440</v>
      </c>
      <c r="C47" s="33" t="n">
        <v>0.000122218340818724</v>
      </c>
      <c r="D47" s="33" t="n">
        <v>0.0137872904973423</v>
      </c>
      <c r="E47" s="33" t="n">
        <v>0.00886456558250391</v>
      </c>
      <c r="F47" t="n">
        <v>0.992936301623294</v>
      </c>
      <c r="G47" t="n">
        <v>194</v>
      </c>
      <c r="H47" t="s">
        <v>1487</v>
      </c>
      <c r="I47" s="33" t="n">
        <v>0.000122218340818724</v>
      </c>
      <c r="J47" s="33" t="n">
        <v>-0.0270700070693677</v>
      </c>
      <c r="K47" s="33" t="n">
        <v>0.0273144437510052</v>
      </c>
      <c r="L47" t="s">
        <v>1662</v>
      </c>
      <c r="M47" t="s">
        <v>386</v>
      </c>
      <c r="N47" t="s">
        <v>1491</v>
      </c>
      <c r="O47" t="s">
        <v>1749</v>
      </c>
      <c r="P47" t="s">
        <v>1486</v>
      </c>
      <c r="Q47"/>
    </row>
    <row r="48">
      <c r="A48" t="s">
        <v>212</v>
      </c>
      <c r="B48"/>
      <c r="C48" s="33"/>
      <c r="D48" s="33"/>
      <c r="E48" s="33"/>
      <c r="F48"/>
      <c r="G48"/>
      <c r="H48"/>
      <c r="I48" s="33"/>
      <c r="J48" s="33"/>
      <c r="K48" s="33"/>
      <c r="L48"/>
      <c r="M48" t="s">
        <v>109</v>
      </c>
      <c r="N48"/>
      <c r="O48" t="s">
        <v>1515</v>
      </c>
      <c r="P48"/>
      <c r="Q48"/>
    </row>
    <row r="49">
      <c r="A49" t="s">
        <v>216</v>
      </c>
      <c r="B49"/>
      <c r="C49" s="33"/>
      <c r="D49" s="33"/>
      <c r="E49" s="33"/>
      <c r="F49"/>
      <c r="G49"/>
      <c r="H49"/>
      <c r="I49" s="33"/>
      <c r="J49" s="33"/>
      <c r="K49" s="33"/>
      <c r="L49"/>
      <c r="M49" t="s">
        <v>109</v>
      </c>
      <c r="N49"/>
      <c r="O49" t="s">
        <v>1515</v>
      </c>
      <c r="P49"/>
      <c r="Q49"/>
    </row>
    <row r="50">
      <c r="A50" t="s">
        <v>1556</v>
      </c>
      <c r="B50" t="s">
        <v>1481</v>
      </c>
      <c r="C50" s="33" t="n">
        <v>-2.22911794111217</v>
      </c>
      <c r="D50" s="33" t="n">
        <v>0.272547267839349</v>
      </c>
      <c r="E50" s="33" t="n">
        <v>-8.17883062554165</v>
      </c>
      <c r="F50" t="n">
        <v>0.0000000000000368707526299303</v>
      </c>
      <c r="G50" t="n">
        <v>194</v>
      </c>
      <c r="H50" t="s">
        <v>1516</v>
      </c>
      <c r="I50" s="33" t="n">
        <v>0.10762331838565</v>
      </c>
      <c r="J50" s="33" t="n">
        <v>0.0628720186637178</v>
      </c>
      <c r="K50" s="33" t="n">
        <v>0.184227879214307</v>
      </c>
      <c r="L50" t="s">
        <v>2059</v>
      </c>
      <c r="M50" t="s">
        <v>50</v>
      </c>
      <c r="N50" t="s">
        <v>1491</v>
      </c>
      <c r="O50" t="s">
        <v>1786</v>
      </c>
      <c r="P50" t="s">
        <v>1486</v>
      </c>
      <c r="Q50"/>
    </row>
    <row r="51">
      <c r="A51" t="s">
        <v>1556</v>
      </c>
      <c r="B51" t="s">
        <v>440</v>
      </c>
      <c r="C51" s="33" t="n">
        <v>0.852485490904019</v>
      </c>
      <c r="D51" s="33" t="n">
        <v>0.376120172393661</v>
      </c>
      <c r="E51" s="33" t="n">
        <v>2.2665242480315</v>
      </c>
      <c r="F51" t="n">
        <v>0.0245228194960562</v>
      </c>
      <c r="G51" t="n">
        <v>194</v>
      </c>
      <c r="H51" t="s">
        <v>1520</v>
      </c>
      <c r="I51" s="33" t="n">
        <v>2.34546925566343</v>
      </c>
      <c r="J51" s="33" t="n">
        <v>1.11703280281271</v>
      </c>
      <c r="K51" s="33" t="n">
        <v>4.92485629375445</v>
      </c>
      <c r="L51" t="s">
        <v>2060</v>
      </c>
      <c r="M51" t="s">
        <v>372</v>
      </c>
      <c r="N51" t="s">
        <v>1491</v>
      </c>
      <c r="O51" t="s">
        <v>1786</v>
      </c>
      <c r="P51" t="s">
        <v>1486</v>
      </c>
      <c r="Q51"/>
    </row>
    <row r="52">
      <c r="A52" t="s">
        <v>1561</v>
      </c>
      <c r="B52" t="s">
        <v>1481</v>
      </c>
      <c r="C52" s="33" t="n">
        <v>-2.484906649788</v>
      </c>
      <c r="D52" s="33" t="n">
        <v>0.318977262449066</v>
      </c>
      <c r="E52" s="33" t="n">
        <v>-7.79023128704913</v>
      </c>
      <c r="F52" t="n">
        <v>0.000000000000394556369068125</v>
      </c>
      <c r="G52" t="n">
        <v>194</v>
      </c>
      <c r="H52" t="s">
        <v>1516</v>
      </c>
      <c r="I52" s="33" t="n">
        <v>0.0833333333333334</v>
      </c>
      <c r="J52" s="33" t="n">
        <v>0.0444222349315921</v>
      </c>
      <c r="K52" s="33" t="n">
        <v>0.156328119355961</v>
      </c>
      <c r="L52" t="s">
        <v>2061</v>
      </c>
      <c r="M52" t="s">
        <v>50</v>
      </c>
      <c r="N52" t="s">
        <v>1491</v>
      </c>
      <c r="O52" t="s">
        <v>1786</v>
      </c>
      <c r="P52" t="s">
        <v>1486</v>
      </c>
      <c r="Q52"/>
    </row>
    <row r="53">
      <c r="A53" t="s">
        <v>1561</v>
      </c>
      <c r="B53" t="s">
        <v>440</v>
      </c>
      <c r="C53" s="33" t="n">
        <v>0.00836824967051587</v>
      </c>
      <c r="D53" s="33" t="n">
        <v>0.449824984313511</v>
      </c>
      <c r="E53" s="33" t="n">
        <v>0.0186033456618397</v>
      </c>
      <c r="F53" t="n">
        <v>0.985176652739296</v>
      </c>
      <c r="G53" t="n">
        <v>194</v>
      </c>
      <c r="H53" t="s">
        <v>1520</v>
      </c>
      <c r="I53" s="33" t="n">
        <v>1.00840336134454</v>
      </c>
      <c r="J53" s="33" t="n">
        <v>0.415278058665169</v>
      </c>
      <c r="K53" s="33" t="n">
        <v>2.44866618390463</v>
      </c>
      <c r="L53" t="s">
        <v>2062</v>
      </c>
      <c r="M53" t="s">
        <v>1566</v>
      </c>
      <c r="N53" t="s">
        <v>1491</v>
      </c>
      <c r="O53" t="s">
        <v>1786</v>
      </c>
      <c r="P53" t="s">
        <v>1486</v>
      </c>
      <c r="Q53"/>
    </row>
    <row r="54">
      <c r="A54" t="s">
        <v>1567</v>
      </c>
      <c r="B54"/>
      <c r="C54" s="33"/>
      <c r="D54" s="33"/>
      <c r="E54" s="33"/>
      <c r="F54"/>
      <c r="G54"/>
      <c r="H54"/>
      <c r="I54" s="33"/>
      <c r="J54" s="33"/>
      <c r="K54" s="33"/>
      <c r="L54"/>
      <c r="M54" t="s">
        <v>109</v>
      </c>
      <c r="N54"/>
      <c r="O54" t="s">
        <v>1530</v>
      </c>
      <c r="P54"/>
      <c r="Q54"/>
    </row>
  </sheetData>
  <pageMargins left="0.7" right="0.7" top="0.75" bottom="0.75" header="0.3" footer="0.3"/>
  <pageSetup paperSize="9" orientation="portrait" horizontalDpi="300" verticalDpi="300"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0" t="s">
        <v>1743</v>
      </c>
    </row>
    <row r="3">
      <c r="A3" s="1" t="s">
        <v>1790</v>
      </c>
    </row>
    <row r="4">
      <c r="A4" t="s">
        <v>1465</v>
      </c>
      <c r="B4" t="s">
        <v>1466</v>
      </c>
      <c r="C4" t="s">
        <v>1467</v>
      </c>
      <c r="D4" t="s">
        <v>1468</v>
      </c>
      <c r="E4" t="s">
        <v>1469</v>
      </c>
      <c r="F4" t="s">
        <v>1470</v>
      </c>
      <c r="G4" t="s">
        <v>1471</v>
      </c>
      <c r="H4" t="s">
        <v>1472</v>
      </c>
      <c r="I4" t="s">
        <v>1473</v>
      </c>
      <c r="J4" t="s">
        <v>1474</v>
      </c>
      <c r="K4" t="s">
        <v>1475</v>
      </c>
      <c r="L4" t="s">
        <v>1476</v>
      </c>
      <c r="M4" t="s">
        <v>41</v>
      </c>
      <c r="N4" t="s">
        <v>1477</v>
      </c>
      <c r="O4" t="s">
        <v>1478</v>
      </c>
      <c r="P4" t="s">
        <v>1479</v>
      </c>
      <c r="Q4" t="s">
        <v>1</v>
      </c>
    </row>
    <row r="5">
      <c r="A5" t="s">
        <v>1480</v>
      </c>
      <c r="B5" t="s">
        <v>1568</v>
      </c>
      <c r="C5" s="34" t="n">
        <v>16.9788246507907</v>
      </c>
      <c r="D5" s="34" t="n">
        <v>10.5072933437809</v>
      </c>
      <c r="E5" s="34" t="n">
        <v>1.61590850233949</v>
      </c>
      <c r="F5" t="n">
        <v>0.107615395428997</v>
      </c>
      <c r="G5" t="n">
        <v>210</v>
      </c>
      <c r="H5"/>
      <c r="I5" s="34"/>
      <c r="J5" s="34"/>
      <c r="K5" s="34"/>
      <c r="L5"/>
      <c r="M5" t="s">
        <v>86</v>
      </c>
      <c r="N5" t="s">
        <v>1491</v>
      </c>
      <c r="O5" t="s">
        <v>2063</v>
      </c>
      <c r="P5" t="s">
        <v>1570</v>
      </c>
      <c r="Q5"/>
    </row>
    <row r="6">
      <c r="A6" t="s">
        <v>1480</v>
      </c>
      <c r="B6" t="s">
        <v>440</v>
      </c>
      <c r="C6" s="34" t="n">
        <v>-1.46288318535303</v>
      </c>
      <c r="D6" s="34" t="n">
        <v>1.07102524220899</v>
      </c>
      <c r="E6" s="34" t="n">
        <v>-1.36587180927298</v>
      </c>
      <c r="F6" t="n">
        <v>0.173440226746171</v>
      </c>
      <c r="G6" t="n">
        <v>210</v>
      </c>
      <c r="H6" t="s">
        <v>1487</v>
      </c>
      <c r="I6" s="34" t="n">
        <v>-1.46288318535303</v>
      </c>
      <c r="J6" s="34" t="n">
        <v>-3.57422179950906</v>
      </c>
      <c r="K6" s="34" t="n">
        <v>0.648455428802997</v>
      </c>
      <c r="L6" t="s">
        <v>2064</v>
      </c>
      <c r="M6" t="s">
        <v>426</v>
      </c>
      <c r="N6" t="s">
        <v>1491</v>
      </c>
      <c r="O6" t="s">
        <v>2063</v>
      </c>
      <c r="P6" t="s">
        <v>1570</v>
      </c>
      <c r="Q6"/>
    </row>
    <row r="7">
      <c r="A7" t="s">
        <v>1480</v>
      </c>
      <c r="B7" t="s">
        <v>55</v>
      </c>
      <c r="C7" s="34" t="n">
        <v>0.738360452762195</v>
      </c>
      <c r="D7" s="34" t="n">
        <v>0.30466751043602</v>
      </c>
      <c r="E7" s="34" t="n">
        <v>2.42349586835007</v>
      </c>
      <c r="F7" t="n">
        <v>0.0162191831017917</v>
      </c>
      <c r="G7" t="n">
        <v>210</v>
      </c>
      <c r="H7" t="s">
        <v>1487</v>
      </c>
      <c r="I7" s="34" t="n">
        <v>0.738360452762195</v>
      </c>
      <c r="J7" s="34" t="n">
        <v>0.137761835743949</v>
      </c>
      <c r="K7" s="34" t="n">
        <v>1.33895906978044</v>
      </c>
      <c r="L7" t="s">
        <v>2065</v>
      </c>
      <c r="M7" t="s">
        <v>372</v>
      </c>
      <c r="N7" t="s">
        <v>1491</v>
      </c>
      <c r="O7" t="s">
        <v>2063</v>
      </c>
      <c r="P7" t="s">
        <v>1570</v>
      </c>
      <c r="Q7"/>
    </row>
    <row r="8">
      <c r="A8" t="s">
        <v>1480</v>
      </c>
      <c r="B8" t="s">
        <v>89</v>
      </c>
      <c r="C8" s="34" t="n">
        <v>0.0347496862174222</v>
      </c>
      <c r="D8" s="34" t="n">
        <v>0.0193317922555695</v>
      </c>
      <c r="E8" s="34" t="n">
        <v>1.79754084660261</v>
      </c>
      <c r="F8" t="n">
        <v>0.0736864025534929</v>
      </c>
      <c r="G8" t="n">
        <v>210</v>
      </c>
      <c r="H8" t="s">
        <v>1487</v>
      </c>
      <c r="I8" s="34" t="n">
        <v>0.0347496862174222</v>
      </c>
      <c r="J8" s="34" t="n">
        <v>-0.00335955515381144</v>
      </c>
      <c r="K8" s="34" t="n">
        <v>0.0728589275886558</v>
      </c>
      <c r="L8" t="s">
        <v>2066</v>
      </c>
      <c r="M8" t="s">
        <v>72</v>
      </c>
      <c r="N8" t="s">
        <v>1491</v>
      </c>
      <c r="O8" t="s">
        <v>2063</v>
      </c>
      <c r="P8" t="s">
        <v>1570</v>
      </c>
      <c r="Q8"/>
    </row>
    <row r="9">
      <c r="A9" t="s">
        <v>55</v>
      </c>
      <c r="B9" t="s">
        <v>1568</v>
      </c>
      <c r="C9" s="34" t="n">
        <v>3.1804085781977</v>
      </c>
      <c r="D9" s="34" t="n">
        <v>2.71607822202928</v>
      </c>
      <c r="E9" s="34" t="n">
        <v>1.17095617953945</v>
      </c>
      <c r="F9" t="n">
        <v>0.242943368573116</v>
      </c>
      <c r="G9" t="n">
        <v>210</v>
      </c>
      <c r="H9"/>
      <c r="I9" s="34"/>
      <c r="J9" s="34"/>
      <c r="K9" s="34"/>
      <c r="L9"/>
      <c r="M9" t="s">
        <v>385</v>
      </c>
      <c r="N9" t="s">
        <v>1491</v>
      </c>
      <c r="O9" t="s">
        <v>1795</v>
      </c>
      <c r="P9" t="s">
        <v>1576</v>
      </c>
      <c r="Q9"/>
    </row>
    <row r="10">
      <c r="A10" t="s">
        <v>55</v>
      </c>
      <c r="B10" t="s">
        <v>440</v>
      </c>
      <c r="C10" s="34" t="n">
        <v>0.0920765121988905</v>
      </c>
      <c r="D10" s="34" t="n">
        <v>0.245679616721124</v>
      </c>
      <c r="E10" s="34" t="n">
        <v>0.374782871398764</v>
      </c>
      <c r="F10" t="n">
        <v>0.708200160852622</v>
      </c>
      <c r="G10" t="n">
        <v>210</v>
      </c>
      <c r="H10" t="s">
        <v>1487</v>
      </c>
      <c r="I10" s="34" t="n">
        <v>0.0920765121988905</v>
      </c>
      <c r="J10" s="34" t="n">
        <v>-0.392237807437979</v>
      </c>
      <c r="K10" s="34" t="n">
        <v>0.57639083183576</v>
      </c>
      <c r="L10" t="s">
        <v>2067</v>
      </c>
      <c r="M10" t="s">
        <v>468</v>
      </c>
      <c r="N10" t="s">
        <v>1491</v>
      </c>
      <c r="O10" t="s">
        <v>1795</v>
      </c>
      <c r="P10" t="s">
        <v>1576</v>
      </c>
      <c r="Q10"/>
    </row>
    <row r="11">
      <c r="A11" t="s">
        <v>55</v>
      </c>
      <c r="B11" t="s">
        <v>1480</v>
      </c>
      <c r="C11" s="34" t="n">
        <v>0.0380476051389489</v>
      </c>
      <c r="D11" s="34" t="n">
        <v>0.0159760416826911</v>
      </c>
      <c r="E11" s="34" t="n">
        <v>2.38154142901184</v>
      </c>
      <c r="F11" t="n">
        <v>0.0181333545044985</v>
      </c>
      <c r="G11" t="n">
        <v>210</v>
      </c>
      <c r="H11" t="s">
        <v>1487</v>
      </c>
      <c r="I11" s="34" t="n">
        <v>0.0380476051389489</v>
      </c>
      <c r="J11" s="34" t="n">
        <v>0.00655363807197108</v>
      </c>
      <c r="K11" s="34" t="n">
        <v>0.0695415722059268</v>
      </c>
      <c r="L11" t="s">
        <v>2068</v>
      </c>
      <c r="M11" t="s">
        <v>372</v>
      </c>
      <c r="N11" t="s">
        <v>1491</v>
      </c>
      <c r="O11" t="s">
        <v>1795</v>
      </c>
      <c r="P11" t="s">
        <v>1576</v>
      </c>
      <c r="Q11"/>
    </row>
    <row r="12">
      <c r="A12" t="s">
        <v>55</v>
      </c>
      <c r="B12" t="s">
        <v>89</v>
      </c>
      <c r="C12" s="34" t="n">
        <v>-0.01432105134897</v>
      </c>
      <c r="D12" s="34" t="n">
        <v>0.00489774489167136</v>
      </c>
      <c r="E12" s="34" t="n">
        <v>-2.92400924623964</v>
      </c>
      <c r="F12" t="n">
        <v>0.00383464058399845</v>
      </c>
      <c r="G12" t="n">
        <v>210</v>
      </c>
      <c r="H12" t="s">
        <v>1487</v>
      </c>
      <c r="I12" s="34" t="n">
        <v>-0.01432105134897</v>
      </c>
      <c r="J12" s="34" t="n">
        <v>-0.0239760972849026</v>
      </c>
      <c r="K12" s="34" t="n">
        <v>-0.00466600541303739</v>
      </c>
      <c r="L12" t="s">
        <v>2069</v>
      </c>
      <c r="M12" t="s">
        <v>568</v>
      </c>
      <c r="N12" t="s">
        <v>1491</v>
      </c>
      <c r="O12" t="s">
        <v>1795</v>
      </c>
      <c r="P12" t="s">
        <v>1576</v>
      </c>
      <c r="Q12"/>
    </row>
    <row r="13">
      <c r="A13" t="s">
        <v>62</v>
      </c>
      <c r="B13" t="s">
        <v>1568</v>
      </c>
      <c r="C13" s="34" t="n">
        <v>0.463488274285695</v>
      </c>
      <c r="D13" s="34" t="n">
        <v>0.434433729556889</v>
      </c>
      <c r="E13" s="34" t="n">
        <v>1.06687911815328</v>
      </c>
      <c r="F13" t="n">
        <v>0.28725725876622</v>
      </c>
      <c r="G13" t="n">
        <v>209</v>
      </c>
      <c r="H13"/>
      <c r="I13" s="34"/>
      <c r="J13" s="34"/>
      <c r="K13" s="34"/>
      <c r="L13"/>
      <c r="M13" t="s">
        <v>114</v>
      </c>
      <c r="N13" t="s">
        <v>1491</v>
      </c>
      <c r="O13" t="s">
        <v>1749</v>
      </c>
      <c r="P13" t="s">
        <v>1581</v>
      </c>
      <c r="Q13"/>
    </row>
    <row r="14">
      <c r="A14" t="s">
        <v>62</v>
      </c>
      <c r="B14" t="s">
        <v>440</v>
      </c>
      <c r="C14" s="34" t="n">
        <v>0.0140907326790149</v>
      </c>
      <c r="D14" s="34" t="n">
        <v>0.0452463825963244</v>
      </c>
      <c r="E14" s="34" t="n">
        <v>0.311422303186721</v>
      </c>
      <c r="F14" t="n">
        <v>0.755790015599517</v>
      </c>
      <c r="G14" t="n">
        <v>209</v>
      </c>
      <c r="H14" t="s">
        <v>1487</v>
      </c>
      <c r="I14" s="34" t="n">
        <v>0.0140907326790149</v>
      </c>
      <c r="J14" s="34" t="n">
        <v>-0.0751070566807012</v>
      </c>
      <c r="K14" s="34" t="n">
        <v>0.103288522038731</v>
      </c>
      <c r="L14" t="s">
        <v>2070</v>
      </c>
      <c r="M14" t="s">
        <v>444</v>
      </c>
      <c r="N14" t="s">
        <v>1491</v>
      </c>
      <c r="O14" t="s">
        <v>1749</v>
      </c>
      <c r="P14" t="s">
        <v>1581</v>
      </c>
      <c r="Q14"/>
    </row>
    <row r="15">
      <c r="A15" t="s">
        <v>62</v>
      </c>
      <c r="B15" t="s">
        <v>1480</v>
      </c>
      <c r="C15" s="34" t="n">
        <v>0.0043516014796693</v>
      </c>
      <c r="D15" s="34" t="n">
        <v>0.00293557461755346</v>
      </c>
      <c r="E15" s="34" t="n">
        <v>1.48236786544229</v>
      </c>
      <c r="F15" t="n">
        <v>0.139748673194479</v>
      </c>
      <c r="G15" t="n">
        <v>209</v>
      </c>
      <c r="H15" t="s">
        <v>1487</v>
      </c>
      <c r="I15" s="34" t="n">
        <v>0.0043516014796693</v>
      </c>
      <c r="J15" s="34" t="n">
        <v>-0.00143553002921588</v>
      </c>
      <c r="K15" s="34" t="n">
        <v>0.0101387329885545</v>
      </c>
      <c r="L15" t="s">
        <v>2071</v>
      </c>
      <c r="M15" t="s">
        <v>1698</v>
      </c>
      <c r="N15" t="s">
        <v>1491</v>
      </c>
      <c r="O15" t="s">
        <v>1749</v>
      </c>
      <c r="P15" t="s">
        <v>1581</v>
      </c>
      <c r="Q15"/>
    </row>
    <row r="16">
      <c r="A16" t="s">
        <v>62</v>
      </c>
      <c r="B16" t="s">
        <v>55</v>
      </c>
      <c r="C16" s="34" t="n">
        <v>0.997399499340484</v>
      </c>
      <c r="D16" s="34" t="n">
        <v>0.0118068211013296</v>
      </c>
      <c r="E16" s="34" t="n">
        <v>84.4765488339757</v>
      </c>
      <c r="F16" t="n">
        <v>0.00000000000000000000000000000000000000000000000000000000000000000000000000000000000000000000000000000000000000000000000000000000000000000000000000000000000000000016029649055466</v>
      </c>
      <c r="G16" t="n">
        <v>209</v>
      </c>
      <c r="H16" t="s">
        <v>1487</v>
      </c>
      <c r="I16" s="34" t="n">
        <v>0.997399499340484</v>
      </c>
      <c r="J16" s="34" t="n">
        <v>0.974123774715156</v>
      </c>
      <c r="K16" s="34" t="n">
        <v>1.02067522396581</v>
      </c>
      <c r="L16" t="s">
        <v>2072</v>
      </c>
      <c r="M16" t="s">
        <v>50</v>
      </c>
      <c r="N16" t="s">
        <v>1491</v>
      </c>
      <c r="O16" t="s">
        <v>1749</v>
      </c>
      <c r="P16" t="s">
        <v>1581</v>
      </c>
      <c r="Q16"/>
    </row>
    <row r="17">
      <c r="A17" t="s">
        <v>62</v>
      </c>
      <c r="B17" t="s">
        <v>89</v>
      </c>
      <c r="C17" s="34" t="n">
        <v>-0.000315139861316639</v>
      </c>
      <c r="D17" s="34" t="n">
        <v>0.000813241120476087</v>
      </c>
      <c r="E17" s="34" t="n">
        <v>-0.387510977226718</v>
      </c>
      <c r="F17" t="n">
        <v>0.69877230370386</v>
      </c>
      <c r="G17" t="n">
        <v>209</v>
      </c>
      <c r="H17" t="s">
        <v>1487</v>
      </c>
      <c r="I17" s="34" t="n">
        <v>-0.000315139861316639</v>
      </c>
      <c r="J17" s="34" t="n">
        <v>-0.00191834670350911</v>
      </c>
      <c r="K17" s="34" t="n">
        <v>0.00128806698087583</v>
      </c>
      <c r="L17" t="s">
        <v>2073</v>
      </c>
      <c r="M17" t="s">
        <v>1657</v>
      </c>
      <c r="N17" t="s">
        <v>1491</v>
      </c>
      <c r="O17" t="s">
        <v>1749</v>
      </c>
      <c r="P17" t="s">
        <v>1581</v>
      </c>
      <c r="Q17"/>
    </row>
    <row r="18">
      <c r="A18" t="s">
        <v>68</v>
      </c>
      <c r="B18" t="s">
        <v>1568</v>
      </c>
      <c r="C18" s="34" t="n">
        <v>-0.926976548571379</v>
      </c>
      <c r="D18" s="34" t="n">
        <v>0.868867459113667</v>
      </c>
      <c r="E18" s="34" t="n">
        <v>-1.06687911815341</v>
      </c>
      <c r="F18" t="n">
        <v>0.287257258766165</v>
      </c>
      <c r="G18" t="n">
        <v>209</v>
      </c>
      <c r="H18"/>
      <c r="I18" s="34"/>
      <c r="J18" s="34"/>
      <c r="K18" s="34"/>
      <c r="L18"/>
      <c r="M18" t="s">
        <v>114</v>
      </c>
      <c r="N18" t="s">
        <v>1491</v>
      </c>
      <c r="O18" t="s">
        <v>1749</v>
      </c>
      <c r="P18" t="s">
        <v>1581</v>
      </c>
      <c r="Q18"/>
    </row>
    <row r="19">
      <c r="A19" t="s">
        <v>68</v>
      </c>
      <c r="B19" t="s">
        <v>440</v>
      </c>
      <c r="C19" s="34" t="n">
        <v>-0.0281814653580301</v>
      </c>
      <c r="D19" s="34" t="n">
        <v>0.0904927651926488</v>
      </c>
      <c r="E19" s="34" t="n">
        <v>-0.311422303186724</v>
      </c>
      <c r="F19" t="n">
        <v>0.755790015599515</v>
      </c>
      <c r="G19" t="n">
        <v>209</v>
      </c>
      <c r="H19" t="s">
        <v>1487</v>
      </c>
      <c r="I19" s="34" t="n">
        <v>-0.0281814653580301</v>
      </c>
      <c r="J19" s="34" t="n">
        <v>-0.206577044077462</v>
      </c>
      <c r="K19" s="34" t="n">
        <v>0.150214113361402</v>
      </c>
      <c r="L19" t="s">
        <v>2074</v>
      </c>
      <c r="M19" t="s">
        <v>444</v>
      </c>
      <c r="N19" t="s">
        <v>1491</v>
      </c>
      <c r="O19" t="s">
        <v>1749</v>
      </c>
      <c r="P19" t="s">
        <v>1581</v>
      </c>
      <c r="Q19"/>
    </row>
    <row r="20">
      <c r="A20" t="s">
        <v>68</v>
      </c>
      <c r="B20" t="s">
        <v>1480</v>
      </c>
      <c r="C20" s="34" t="n">
        <v>-0.00870320295933862</v>
      </c>
      <c r="D20" s="34" t="n">
        <v>0.00587114923510687</v>
      </c>
      <c r="E20" s="34" t="n">
        <v>-1.48236786544231</v>
      </c>
      <c r="F20" t="n">
        <v>0.139748673194474</v>
      </c>
      <c r="G20" t="n">
        <v>209</v>
      </c>
      <c r="H20" t="s">
        <v>1487</v>
      </c>
      <c r="I20" s="34" t="n">
        <v>-0.00870320295933862</v>
      </c>
      <c r="J20" s="34" t="n">
        <v>-0.0202774659771089</v>
      </c>
      <c r="K20" s="34" t="n">
        <v>0.00287106005843163</v>
      </c>
      <c r="L20" t="s">
        <v>2075</v>
      </c>
      <c r="M20" t="s">
        <v>1698</v>
      </c>
      <c r="N20" t="s">
        <v>1491</v>
      </c>
      <c r="O20" t="s">
        <v>1749</v>
      </c>
      <c r="P20" t="s">
        <v>1581</v>
      </c>
      <c r="Q20"/>
    </row>
    <row r="21">
      <c r="A21" t="s">
        <v>68</v>
      </c>
      <c r="B21" t="s">
        <v>55</v>
      </c>
      <c r="C21" s="34" t="n">
        <v>0.00520100131903257</v>
      </c>
      <c r="D21" s="34" t="n">
        <v>0.0236136422026588</v>
      </c>
      <c r="E21" s="34" t="n">
        <v>0.22025409186758</v>
      </c>
      <c r="F21" t="n">
        <v>0.82588826552803</v>
      </c>
      <c r="G21" t="n">
        <v>209</v>
      </c>
      <c r="H21" t="s">
        <v>1487</v>
      </c>
      <c r="I21" s="34" t="n">
        <v>0.00520100131903257</v>
      </c>
      <c r="J21" s="34" t="n">
        <v>-0.0413504479316212</v>
      </c>
      <c r="K21" s="34" t="n">
        <v>0.0517524505696864</v>
      </c>
      <c r="L21" t="s">
        <v>2076</v>
      </c>
      <c r="M21" t="s">
        <v>234</v>
      </c>
      <c r="N21" t="s">
        <v>1491</v>
      </c>
      <c r="O21" t="s">
        <v>1749</v>
      </c>
      <c r="P21" t="s">
        <v>1581</v>
      </c>
      <c r="Q21"/>
    </row>
    <row r="22">
      <c r="A22" t="s">
        <v>68</v>
      </c>
      <c r="B22" t="s">
        <v>89</v>
      </c>
      <c r="C22" s="34" t="n">
        <v>0.000630279722633259</v>
      </c>
      <c r="D22" s="34" t="n">
        <v>0.00162648224095186</v>
      </c>
      <c r="E22" s="34" t="n">
        <v>0.387510977226779</v>
      </c>
      <c r="F22" t="n">
        <v>0.698772303703814</v>
      </c>
      <c r="G22" t="n">
        <v>209</v>
      </c>
      <c r="H22" t="s">
        <v>1487</v>
      </c>
      <c r="I22" s="34" t="n">
        <v>0.000630279722633259</v>
      </c>
      <c r="J22" s="34" t="n">
        <v>-0.00257613396175107</v>
      </c>
      <c r="K22" s="34" t="n">
        <v>0.00383669340701758</v>
      </c>
      <c r="L22" t="s">
        <v>2077</v>
      </c>
      <c r="M22" t="s">
        <v>1657</v>
      </c>
      <c r="N22" t="s">
        <v>1491</v>
      </c>
      <c r="O22" t="s">
        <v>1749</v>
      </c>
      <c r="P22" t="s">
        <v>1581</v>
      </c>
      <c r="Q22"/>
    </row>
    <row r="23">
      <c r="A23" t="s">
        <v>76</v>
      </c>
      <c r="B23" t="s">
        <v>1568</v>
      </c>
      <c r="C23" s="34" t="n">
        <v>0.0353345259300041</v>
      </c>
      <c r="D23" s="34" t="n">
        <v>0.190101193448617</v>
      </c>
      <c r="E23" s="34" t="n">
        <v>0.185872194114104</v>
      </c>
      <c r="F23" t="n">
        <v>0.852725260437163</v>
      </c>
      <c r="G23" t="n">
        <v>209</v>
      </c>
      <c r="H23"/>
      <c r="I23" s="34"/>
      <c r="J23" s="34"/>
      <c r="K23" s="34"/>
      <c r="L23"/>
      <c r="M23" t="s">
        <v>1648</v>
      </c>
      <c r="N23" t="s">
        <v>1491</v>
      </c>
      <c r="O23" t="s">
        <v>1749</v>
      </c>
      <c r="P23" t="s">
        <v>1581</v>
      </c>
      <c r="Q23"/>
    </row>
    <row r="24">
      <c r="A24" t="s">
        <v>76</v>
      </c>
      <c r="B24" t="s">
        <v>440</v>
      </c>
      <c r="C24" s="34" t="n">
        <v>-0.00291749811467686</v>
      </c>
      <c r="D24" s="34" t="n">
        <v>0.0170308424918812</v>
      </c>
      <c r="E24" s="34" t="n">
        <v>-0.171306740466167</v>
      </c>
      <c r="F24" t="n">
        <v>0.864148321865933</v>
      </c>
      <c r="G24" t="n">
        <v>209</v>
      </c>
      <c r="H24" t="s">
        <v>1487</v>
      </c>
      <c r="I24" s="34" t="n">
        <v>-0.00291749811467686</v>
      </c>
      <c r="J24" s="34" t="n">
        <v>-0.0364917512160226</v>
      </c>
      <c r="K24" s="34" t="n">
        <v>0.0306567549866689</v>
      </c>
      <c r="L24" t="s">
        <v>2078</v>
      </c>
      <c r="M24" t="s">
        <v>485</v>
      </c>
      <c r="N24" t="s">
        <v>1491</v>
      </c>
      <c r="O24" t="s">
        <v>1749</v>
      </c>
      <c r="P24" t="s">
        <v>1581</v>
      </c>
      <c r="Q24"/>
    </row>
    <row r="25">
      <c r="A25" t="s">
        <v>76</v>
      </c>
      <c r="B25" t="s">
        <v>1480</v>
      </c>
      <c r="C25" s="34" t="n">
        <v>-0.000609221260215262</v>
      </c>
      <c r="D25" s="34" t="n">
        <v>0.00129626246727666</v>
      </c>
      <c r="E25" s="34" t="n">
        <v>-0.469982951442838</v>
      </c>
      <c r="F25" t="n">
        <v>0.638857215397355</v>
      </c>
      <c r="G25" t="n">
        <v>209</v>
      </c>
      <c r="H25" t="s">
        <v>1487</v>
      </c>
      <c r="I25" s="34" t="n">
        <v>-0.000609221260215262</v>
      </c>
      <c r="J25" s="34" t="n">
        <v>-0.00316464646497942</v>
      </c>
      <c r="K25" s="34" t="n">
        <v>0.0019462039445489</v>
      </c>
      <c r="L25" t="s">
        <v>2079</v>
      </c>
      <c r="M25" t="s">
        <v>99</v>
      </c>
      <c r="N25" t="s">
        <v>1491</v>
      </c>
      <c r="O25" t="s">
        <v>1749</v>
      </c>
      <c r="P25" t="s">
        <v>1581</v>
      </c>
      <c r="Q25"/>
    </row>
    <row r="26">
      <c r="A26" t="s">
        <v>76</v>
      </c>
      <c r="B26" t="s">
        <v>55</v>
      </c>
      <c r="C26" s="34" t="n">
        <v>-0.260571546399064</v>
      </c>
      <c r="D26" s="34" t="n">
        <v>0.00654382685649612</v>
      </c>
      <c r="E26" s="34" t="n">
        <v>-39.8194438993129</v>
      </c>
      <c r="F26" t="n">
        <v>0.00000000000000000000000000000000000000000000000000000000000000000000000000000000000000000000000000152732142042005</v>
      </c>
      <c r="G26" t="n">
        <v>209</v>
      </c>
      <c r="H26" t="s">
        <v>1487</v>
      </c>
      <c r="I26" s="34" t="n">
        <v>-0.260571546399064</v>
      </c>
      <c r="J26" s="34" t="n">
        <v>-0.273471912263884</v>
      </c>
      <c r="K26" s="34" t="n">
        <v>-0.247671180534244</v>
      </c>
      <c r="L26" t="s">
        <v>2080</v>
      </c>
      <c r="M26" t="s">
        <v>50</v>
      </c>
      <c r="N26" t="s">
        <v>1491</v>
      </c>
      <c r="O26" t="s">
        <v>1749</v>
      </c>
      <c r="P26" t="s">
        <v>1581</v>
      </c>
      <c r="Q26"/>
    </row>
    <row r="27">
      <c r="A27" t="s">
        <v>76</v>
      </c>
      <c r="B27" t="s">
        <v>89</v>
      </c>
      <c r="C27" s="34" t="n">
        <v>0.0000364754345409956</v>
      </c>
      <c r="D27" s="34" t="n">
        <v>0.000364843541818383</v>
      </c>
      <c r="E27" s="34" t="n">
        <v>0.099975552148194</v>
      </c>
      <c r="F27" t="n">
        <v>0.920459567354247</v>
      </c>
      <c r="G27" t="n">
        <v>209</v>
      </c>
      <c r="H27" t="s">
        <v>1487</v>
      </c>
      <c r="I27" s="34" t="n">
        <v>0.0000364754345409956</v>
      </c>
      <c r="J27" s="34" t="n">
        <v>-0.000682769630478027</v>
      </c>
      <c r="K27" s="34" t="n">
        <v>0.000755720499560018</v>
      </c>
      <c r="L27" t="s">
        <v>1864</v>
      </c>
      <c r="M27" t="s">
        <v>420</v>
      </c>
      <c r="N27" t="s">
        <v>1491</v>
      </c>
      <c r="O27" t="s">
        <v>1749</v>
      </c>
      <c r="P27" t="s">
        <v>1581</v>
      </c>
      <c r="Q27"/>
    </row>
    <row r="28">
      <c r="A28" t="s">
        <v>82</v>
      </c>
      <c r="B28" t="s">
        <v>1568</v>
      </c>
      <c r="C28" s="34" t="n">
        <v>-0.10611543627937</v>
      </c>
      <c r="D28" s="34" t="n">
        <v>0.0876678617128583</v>
      </c>
      <c r="E28" s="34" t="n">
        <v>-1.21042573876084</v>
      </c>
      <c r="F28" t="n">
        <v>0.227482679340886</v>
      </c>
      <c r="G28" t="n">
        <v>209</v>
      </c>
      <c r="H28"/>
      <c r="I28" s="34"/>
      <c r="J28" s="34"/>
      <c r="K28" s="34"/>
      <c r="L28"/>
      <c r="M28" t="s">
        <v>429</v>
      </c>
      <c r="N28" t="s">
        <v>1491</v>
      </c>
      <c r="O28" t="s">
        <v>1749</v>
      </c>
      <c r="P28" t="s">
        <v>1581</v>
      </c>
      <c r="Q28"/>
    </row>
    <row r="29">
      <c r="A29" t="s">
        <v>82</v>
      </c>
      <c r="B29" t="s">
        <v>440</v>
      </c>
      <c r="C29" s="34" t="n">
        <v>-0.0123752991390763</v>
      </c>
      <c r="D29" s="34" t="n">
        <v>0.00940011663150014</v>
      </c>
      <c r="E29" s="34" t="n">
        <v>-1.31650485033412</v>
      </c>
      <c r="F29" t="n">
        <v>0.189446525262503</v>
      </c>
      <c r="G29" t="n">
        <v>209</v>
      </c>
      <c r="H29" t="s">
        <v>1487</v>
      </c>
      <c r="I29" s="34" t="n">
        <v>-0.0123752991390763</v>
      </c>
      <c r="J29" s="34" t="n">
        <v>-0.0309064960025672</v>
      </c>
      <c r="K29" s="34" t="n">
        <v>0.00615589772441451</v>
      </c>
      <c r="L29" t="s">
        <v>1599</v>
      </c>
      <c r="M29" t="s">
        <v>397</v>
      </c>
      <c r="N29" t="s">
        <v>1491</v>
      </c>
      <c r="O29" t="s">
        <v>1749</v>
      </c>
      <c r="P29" t="s">
        <v>1581</v>
      </c>
      <c r="Q29"/>
    </row>
    <row r="30">
      <c r="A30" t="s">
        <v>82</v>
      </c>
      <c r="B30" t="s">
        <v>1480</v>
      </c>
      <c r="C30" s="34" t="n">
        <v>-0.000961815190728263</v>
      </c>
      <c r="D30" s="34" t="n">
        <v>0.000705198592947454</v>
      </c>
      <c r="E30" s="34" t="n">
        <v>-1.36389266845847</v>
      </c>
      <c r="F30" t="n">
        <v>0.17406841858484</v>
      </c>
      <c r="G30" t="n">
        <v>209</v>
      </c>
      <c r="H30" t="s">
        <v>1487</v>
      </c>
      <c r="I30" s="34" t="n">
        <v>-0.000961815190728263</v>
      </c>
      <c r="J30" s="34" t="n">
        <v>-0.0023520292131771</v>
      </c>
      <c r="K30" s="34" t="n">
        <v>0.000428398831720574</v>
      </c>
      <c r="L30" t="s">
        <v>2081</v>
      </c>
      <c r="M30" t="s">
        <v>426</v>
      </c>
      <c r="N30" t="s">
        <v>1491</v>
      </c>
      <c r="O30" t="s">
        <v>1749</v>
      </c>
      <c r="P30" t="s">
        <v>1581</v>
      </c>
      <c r="Q30"/>
    </row>
    <row r="31">
      <c r="A31" t="s">
        <v>82</v>
      </c>
      <c r="B31" t="s">
        <v>55</v>
      </c>
      <c r="C31" s="34" t="n">
        <v>-0.00768054756921034</v>
      </c>
      <c r="D31" s="34" t="n">
        <v>0.00286676653882207</v>
      </c>
      <c r="E31" s="34" t="n">
        <v>-2.67916744011049</v>
      </c>
      <c r="F31" t="n">
        <v>0.00796817425290489</v>
      </c>
      <c r="G31" t="n">
        <v>209</v>
      </c>
      <c r="H31" t="s">
        <v>1487</v>
      </c>
      <c r="I31" s="34" t="n">
        <v>-0.00768054756921034</v>
      </c>
      <c r="J31" s="34" t="n">
        <v>-0.0133320322448959</v>
      </c>
      <c r="K31" s="34" t="n">
        <v>-0.00202906289352476</v>
      </c>
      <c r="L31" t="s">
        <v>2082</v>
      </c>
      <c r="M31" t="s">
        <v>371</v>
      </c>
      <c r="N31" t="s">
        <v>1491</v>
      </c>
      <c r="O31" t="s">
        <v>1749</v>
      </c>
      <c r="P31" t="s">
        <v>1581</v>
      </c>
      <c r="Q31"/>
    </row>
    <row r="32">
      <c r="A32" t="s">
        <v>82</v>
      </c>
      <c r="B32" t="s">
        <v>89</v>
      </c>
      <c r="C32" s="34" t="n">
        <v>0.000149181873603871</v>
      </c>
      <c r="D32" s="34" t="n">
        <v>0.000169866838739762</v>
      </c>
      <c r="E32" s="34" t="n">
        <v>0.878228350575353</v>
      </c>
      <c r="F32" t="n">
        <v>0.380828307413672</v>
      </c>
      <c r="G32" t="n">
        <v>209</v>
      </c>
      <c r="H32" t="s">
        <v>1487</v>
      </c>
      <c r="I32" s="34" t="n">
        <v>0.000149181873603871</v>
      </c>
      <c r="J32" s="34" t="n">
        <v>-0.000185690123485705</v>
      </c>
      <c r="K32" s="34" t="n">
        <v>0.000484053870693446</v>
      </c>
      <c r="L32" t="s">
        <v>2083</v>
      </c>
      <c r="M32" t="s">
        <v>1629</v>
      </c>
      <c r="N32" t="s">
        <v>1491</v>
      </c>
      <c r="O32" t="s">
        <v>1749</v>
      </c>
      <c r="P32" t="s">
        <v>1581</v>
      </c>
      <c r="Q32"/>
    </row>
    <row r="33">
      <c r="A33" t="s">
        <v>89</v>
      </c>
      <c r="B33" t="s">
        <v>1568</v>
      </c>
      <c r="C33" s="34" t="n">
        <v>524.200942611245</v>
      </c>
      <c r="D33" s="34" t="n">
        <v>9.99648962065256</v>
      </c>
      <c r="E33" s="34" t="n">
        <v>52.4385021646254</v>
      </c>
      <c r="F33" t="n">
        <v>0.0000000000000000000000000000000000000000000000000000000000000000000000000000000000000000000000000000000000000000000000000127840674604882</v>
      </c>
      <c r="G33" t="n">
        <v>210</v>
      </c>
      <c r="H33"/>
      <c r="I33" s="34"/>
      <c r="J33" s="34"/>
      <c r="K33" s="34"/>
      <c r="L33"/>
      <c r="M33" t="s">
        <v>50</v>
      </c>
      <c r="N33" t="s">
        <v>1491</v>
      </c>
      <c r="O33" t="s">
        <v>1795</v>
      </c>
      <c r="P33" t="s">
        <v>1604</v>
      </c>
      <c r="Q33"/>
    </row>
    <row r="34">
      <c r="A34" t="s">
        <v>89</v>
      </c>
      <c r="B34" t="s">
        <v>440</v>
      </c>
      <c r="C34" s="34" t="n">
        <v>1.36795859163137</v>
      </c>
      <c r="D34" s="34" t="n">
        <v>3.91525432319703</v>
      </c>
      <c r="E34" s="34" t="n">
        <v>0.349392013572788</v>
      </c>
      <c r="F34" t="n">
        <v>0.727145135422517</v>
      </c>
      <c r="G34" t="n">
        <v>210</v>
      </c>
      <c r="H34" t="s">
        <v>1487</v>
      </c>
      <c r="I34" s="34" t="n">
        <v>1.36795859163137</v>
      </c>
      <c r="J34" s="34" t="n">
        <v>-6.35027932754006</v>
      </c>
      <c r="K34" s="34" t="n">
        <v>9.08619651080281</v>
      </c>
      <c r="L34" t="s">
        <v>2084</v>
      </c>
      <c r="M34" t="s">
        <v>1766</v>
      </c>
      <c r="N34" t="s">
        <v>1491</v>
      </c>
      <c r="O34" t="s">
        <v>1795</v>
      </c>
      <c r="P34" t="s">
        <v>1604</v>
      </c>
      <c r="Q34"/>
    </row>
    <row r="35">
      <c r="A35" t="s">
        <v>89</v>
      </c>
      <c r="B35" t="s">
        <v>1480</v>
      </c>
      <c r="C35" s="34" t="n">
        <v>0.54512053098436</v>
      </c>
      <c r="D35" s="34" t="n">
        <v>0.239379278511621</v>
      </c>
      <c r="E35" s="34" t="n">
        <v>2.27722522339333</v>
      </c>
      <c r="F35" t="n">
        <v>0.0237800501961036</v>
      </c>
      <c r="G35" t="n">
        <v>210</v>
      </c>
      <c r="H35" t="s">
        <v>1487</v>
      </c>
      <c r="I35" s="34" t="n">
        <v>0.54512053098436</v>
      </c>
      <c r="J35" s="34" t="n">
        <v>0.073226224265702</v>
      </c>
      <c r="K35" s="34" t="n">
        <v>1.01701483770302</v>
      </c>
      <c r="L35" t="s">
        <v>2085</v>
      </c>
      <c r="M35" t="s">
        <v>372</v>
      </c>
      <c r="N35" t="s">
        <v>1491</v>
      </c>
      <c r="O35" t="s">
        <v>1795</v>
      </c>
      <c r="P35" t="s">
        <v>1604</v>
      </c>
      <c r="Q35"/>
    </row>
    <row r="36">
      <c r="A36" t="s">
        <v>89</v>
      </c>
      <c r="B36" t="s">
        <v>55</v>
      </c>
      <c r="C36" s="34" t="n">
        <v>-3.37763672866512</v>
      </c>
      <c r="D36" s="34" t="n">
        <v>1.16509011490596</v>
      </c>
      <c r="E36" s="34" t="n">
        <v>-2.89903474885953</v>
      </c>
      <c r="F36" t="n">
        <v>0.00414072346818634</v>
      </c>
      <c r="G36" t="n">
        <v>210</v>
      </c>
      <c r="H36" t="s">
        <v>1487</v>
      </c>
      <c r="I36" s="34" t="n">
        <v>-3.37763672866512</v>
      </c>
      <c r="J36" s="34" t="n">
        <v>-5.67440775854195</v>
      </c>
      <c r="K36" s="34" t="n">
        <v>-1.08086569878828</v>
      </c>
      <c r="L36" t="s">
        <v>2086</v>
      </c>
      <c r="M36" t="s">
        <v>568</v>
      </c>
      <c r="N36" t="s">
        <v>1491</v>
      </c>
      <c r="O36" t="s">
        <v>1795</v>
      </c>
      <c r="P36" t="s">
        <v>1604</v>
      </c>
      <c r="Q36"/>
    </row>
    <row r="37">
      <c r="A37" t="s">
        <v>95</v>
      </c>
      <c r="B37" t="s">
        <v>1568</v>
      </c>
      <c r="C37" s="34" t="n">
        <v>45.6088682906668</v>
      </c>
      <c r="D37" s="34" t="n">
        <v>2.12705007139161</v>
      </c>
      <c r="E37" s="34" t="n">
        <v>21.4423105991236</v>
      </c>
      <c r="F37" t="n">
        <v>0.00000000000000000000000000000000000000000000000000000137944936136075</v>
      </c>
      <c r="G37" t="n">
        <v>208</v>
      </c>
      <c r="H37"/>
      <c r="I37" s="34"/>
      <c r="J37" s="34"/>
      <c r="K37" s="34"/>
      <c r="L37"/>
      <c r="M37" t="s">
        <v>50</v>
      </c>
      <c r="N37" t="s">
        <v>1491</v>
      </c>
      <c r="O37" t="s">
        <v>1749</v>
      </c>
      <c r="P37" t="s">
        <v>1581</v>
      </c>
      <c r="Q37"/>
    </row>
    <row r="38">
      <c r="A38" t="s">
        <v>95</v>
      </c>
      <c r="B38" t="s">
        <v>440</v>
      </c>
      <c r="C38" s="34" t="n">
        <v>0.250372086068443</v>
      </c>
      <c r="D38" s="34" t="n">
        <v>0.212530149374173</v>
      </c>
      <c r="E38" s="34" t="n">
        <v>1.17805443983219</v>
      </c>
      <c r="F38" t="n">
        <v>0.240120952687035</v>
      </c>
      <c r="G38" t="n">
        <v>208</v>
      </c>
      <c r="H38" t="s">
        <v>1487</v>
      </c>
      <c r="I38" s="34" t="n">
        <v>0.250372086068443</v>
      </c>
      <c r="J38" s="34" t="n">
        <v>-0.168617216388285</v>
      </c>
      <c r="K38" s="34" t="n">
        <v>0.669361388525171</v>
      </c>
      <c r="L38" t="s">
        <v>2087</v>
      </c>
      <c r="M38" t="s">
        <v>385</v>
      </c>
      <c r="N38" t="s">
        <v>1491</v>
      </c>
      <c r="O38" t="s">
        <v>1749</v>
      </c>
      <c r="P38" t="s">
        <v>1581</v>
      </c>
      <c r="Q38"/>
    </row>
    <row r="39">
      <c r="A39" t="s">
        <v>95</v>
      </c>
      <c r="B39" t="s">
        <v>1480</v>
      </c>
      <c r="C39" s="34" t="n">
        <v>-0.0009123400082659</v>
      </c>
      <c r="D39" s="34" t="n">
        <v>0.0130239422348703</v>
      </c>
      <c r="E39" s="34" t="n">
        <v>-0.0700509870063156</v>
      </c>
      <c r="F39" t="n">
        <v>0.944220379496748</v>
      </c>
      <c r="G39" t="n">
        <v>208</v>
      </c>
      <c r="H39" t="s">
        <v>1487</v>
      </c>
      <c r="I39" s="34" t="n">
        <v>-0.0009123400082659</v>
      </c>
      <c r="J39" s="34" t="n">
        <v>-0.0265881911206547</v>
      </c>
      <c r="K39" s="34" t="n">
        <v>0.0247635111041229</v>
      </c>
      <c r="L39" t="s">
        <v>2088</v>
      </c>
      <c r="M39" t="s">
        <v>447</v>
      </c>
      <c r="N39" t="s">
        <v>1491</v>
      </c>
      <c r="O39" t="s">
        <v>1749</v>
      </c>
      <c r="P39" t="s">
        <v>1581</v>
      </c>
      <c r="Q39"/>
    </row>
    <row r="40">
      <c r="A40" t="s">
        <v>95</v>
      </c>
      <c r="B40" t="s">
        <v>55</v>
      </c>
      <c r="C40" s="34" t="n">
        <v>0.0563083796223141</v>
      </c>
      <c r="D40" s="34" t="n">
        <v>0.055928842376075</v>
      </c>
      <c r="E40" s="34" t="n">
        <v>1.00678607369856</v>
      </c>
      <c r="F40" t="n">
        <v>0.31520736144941</v>
      </c>
      <c r="G40" t="n">
        <v>208</v>
      </c>
      <c r="H40" t="s">
        <v>1487</v>
      </c>
      <c r="I40" s="34" t="n">
        <v>0.0563083796223141</v>
      </c>
      <c r="J40" s="34" t="n">
        <v>-0.0539516786487956</v>
      </c>
      <c r="K40" s="34" t="n">
        <v>0.166568437893424</v>
      </c>
      <c r="L40" t="s">
        <v>2089</v>
      </c>
      <c r="M40" t="s">
        <v>393</v>
      </c>
      <c r="N40" t="s">
        <v>1491</v>
      </c>
      <c r="O40" t="s">
        <v>1749</v>
      </c>
      <c r="P40" t="s">
        <v>1581</v>
      </c>
      <c r="Q40"/>
    </row>
    <row r="41">
      <c r="A41" t="s">
        <v>95</v>
      </c>
      <c r="B41" t="s">
        <v>89</v>
      </c>
      <c r="C41" s="34" t="n">
        <v>-0.00371854953277542</v>
      </c>
      <c r="D41" s="34" t="n">
        <v>0.00392300607179795</v>
      </c>
      <c r="E41" s="34" t="n">
        <v>-0.947882686062519</v>
      </c>
      <c r="F41" t="n">
        <v>0.344289126537585</v>
      </c>
      <c r="G41" t="n">
        <v>208</v>
      </c>
      <c r="H41" t="s">
        <v>1487</v>
      </c>
      <c r="I41" s="34" t="n">
        <v>-0.00371854953277542</v>
      </c>
      <c r="J41" s="34" t="n">
        <v>-0.0114524996683032</v>
      </c>
      <c r="K41" s="34" t="n">
        <v>0.00401540060275241</v>
      </c>
      <c r="L41" t="s">
        <v>2090</v>
      </c>
      <c r="M41" t="s">
        <v>1667</v>
      </c>
      <c r="N41" t="s">
        <v>1491</v>
      </c>
      <c r="O41" t="s">
        <v>1749</v>
      </c>
      <c r="P41" t="s">
        <v>1581</v>
      </c>
      <c r="Q41"/>
    </row>
    <row r="42">
      <c r="A42" t="s">
        <v>103</v>
      </c>
      <c r="B42"/>
      <c r="C42" s="34"/>
      <c r="D42" s="34"/>
      <c r="E42" s="34"/>
      <c r="F42"/>
      <c r="G42"/>
      <c r="H42"/>
      <c r="I42" s="34"/>
      <c r="J42" s="34"/>
      <c r="K42" s="34"/>
      <c r="L42"/>
      <c r="M42" t="s">
        <v>109</v>
      </c>
      <c r="N42"/>
      <c r="O42" t="s">
        <v>1515</v>
      </c>
      <c r="P42"/>
      <c r="Q42"/>
    </row>
    <row r="43">
      <c r="A43" t="s">
        <v>23</v>
      </c>
      <c r="B43" t="s">
        <v>1568</v>
      </c>
      <c r="C43" s="34" t="n">
        <v>-3.60982729038694</v>
      </c>
      <c r="D43" s="34" t="n">
        <v>3.05488290493066</v>
      </c>
      <c r="E43" s="34" t="n">
        <v>-1.18165815277587</v>
      </c>
      <c r="F43" t="n">
        <v>0.238684147291593</v>
      </c>
      <c r="G43" t="n">
        <v>209</v>
      </c>
      <c r="H43"/>
      <c r="I43" s="34"/>
      <c r="J43" s="34"/>
      <c r="K43" s="34"/>
      <c r="L43"/>
      <c r="M43" t="s">
        <v>385</v>
      </c>
      <c r="N43" t="s">
        <v>1491</v>
      </c>
      <c r="O43" t="s">
        <v>2091</v>
      </c>
      <c r="P43" t="s">
        <v>1581</v>
      </c>
      <c r="Q43"/>
    </row>
    <row r="44">
      <c r="A44" t="s">
        <v>23</v>
      </c>
      <c r="B44" t="s">
        <v>440</v>
      </c>
      <c r="C44" s="34" t="n">
        <v>0.1561352783563</v>
      </c>
      <c r="D44" s="34" t="n">
        <v>0.303919543113012</v>
      </c>
      <c r="E44" s="34" t="n">
        <v>0.513738855872922</v>
      </c>
      <c r="F44" t="n">
        <v>0.607977282613565</v>
      </c>
      <c r="G44" t="n">
        <v>209</v>
      </c>
      <c r="H44" t="s">
        <v>1520</v>
      </c>
      <c r="I44" s="34" t="n">
        <v>1.1689843306728</v>
      </c>
      <c r="J44" s="34" t="n">
        <v>0.642103696761754</v>
      </c>
      <c r="K44" s="34" t="n">
        <v>2.12819887543113</v>
      </c>
      <c r="L44" t="s">
        <v>2092</v>
      </c>
      <c r="M44" t="s">
        <v>1853</v>
      </c>
      <c r="N44" t="s">
        <v>1491</v>
      </c>
      <c r="O44" t="s">
        <v>2091</v>
      </c>
      <c r="P44" t="s">
        <v>1581</v>
      </c>
      <c r="Q44"/>
    </row>
    <row r="45">
      <c r="A45" t="s">
        <v>23</v>
      </c>
      <c r="B45" t="s">
        <v>1480</v>
      </c>
      <c r="C45" s="34" t="n">
        <v>-0.00783556127153888</v>
      </c>
      <c r="D45" s="34" t="n">
        <v>0.0198809347453266</v>
      </c>
      <c r="E45" s="34" t="n">
        <v>-0.394124389618087</v>
      </c>
      <c r="F45" t="n">
        <v>0.693891040243336</v>
      </c>
      <c r="G45" t="n">
        <v>209</v>
      </c>
      <c r="H45" t="s">
        <v>1520</v>
      </c>
      <c r="I45" s="34" t="n">
        <v>0.992195056716783</v>
      </c>
      <c r="J45" s="34" t="n">
        <v>0.95406027546095</v>
      </c>
      <c r="K45" s="34" t="n">
        <v>1.03185412483251</v>
      </c>
      <c r="L45" t="s">
        <v>2093</v>
      </c>
      <c r="M45" t="s">
        <v>500</v>
      </c>
      <c r="N45" t="s">
        <v>1491</v>
      </c>
      <c r="O45" t="s">
        <v>2091</v>
      </c>
      <c r="P45" t="s">
        <v>1581</v>
      </c>
      <c r="Q45"/>
    </row>
    <row r="46">
      <c r="A46" t="s">
        <v>23</v>
      </c>
      <c r="B46" t="s">
        <v>55</v>
      </c>
      <c r="C46" s="34" t="n">
        <v>-0.0906767014715497</v>
      </c>
      <c r="D46" s="34" t="n">
        <v>0.0880444005443737</v>
      </c>
      <c r="E46" s="34" t="n">
        <v>-1.02989742574088</v>
      </c>
      <c r="F46" t="n">
        <v>0.30424853616808</v>
      </c>
      <c r="G46" t="n">
        <v>209</v>
      </c>
      <c r="H46" t="s">
        <v>1520</v>
      </c>
      <c r="I46" s="34" t="n">
        <v>0.913312935901982</v>
      </c>
      <c r="J46" s="34" t="n">
        <v>0.767784929774449</v>
      </c>
      <c r="K46" s="34" t="n">
        <v>1.08642470897539</v>
      </c>
      <c r="L46" t="s">
        <v>2094</v>
      </c>
      <c r="M46" t="s">
        <v>479</v>
      </c>
      <c r="N46" t="s">
        <v>1491</v>
      </c>
      <c r="O46" t="s">
        <v>2091</v>
      </c>
      <c r="P46" t="s">
        <v>1581</v>
      </c>
      <c r="Q46"/>
    </row>
    <row r="47">
      <c r="A47" t="s">
        <v>23</v>
      </c>
      <c r="B47" t="s">
        <v>89</v>
      </c>
      <c r="C47" s="34" t="n">
        <v>0.00666701605506108</v>
      </c>
      <c r="D47" s="34" t="n">
        <v>0.00570046804477045</v>
      </c>
      <c r="E47" s="34" t="n">
        <v>1.16955590360292</v>
      </c>
      <c r="F47" t="n">
        <v>0.243511795971871</v>
      </c>
      <c r="G47" t="n">
        <v>209</v>
      </c>
      <c r="H47" t="s">
        <v>1520</v>
      </c>
      <c r="I47" s="34" t="n">
        <v>1.00668929007951</v>
      </c>
      <c r="J47" s="34" t="n">
        <v>0.995439660500422</v>
      </c>
      <c r="K47" s="34" t="n">
        <v>1.0180660535982</v>
      </c>
      <c r="L47" t="s">
        <v>2095</v>
      </c>
      <c r="M47" t="s">
        <v>385</v>
      </c>
      <c r="N47" t="s">
        <v>1491</v>
      </c>
      <c r="O47" t="s">
        <v>2091</v>
      </c>
      <c r="P47" t="s">
        <v>1581</v>
      </c>
      <c r="Q47"/>
    </row>
    <row r="48">
      <c r="A48" t="s">
        <v>1524</v>
      </c>
      <c r="B48" t="s">
        <v>1568</v>
      </c>
      <c r="C48" s="34" t="n">
        <v>-3.20502870121636</v>
      </c>
      <c r="D48" s="34" t="n">
        <v>4.84187973351523</v>
      </c>
      <c r="E48" s="34" t="n">
        <v>-0.661938932318232</v>
      </c>
      <c r="F48" t="n">
        <v>0.508776147620456</v>
      </c>
      <c r="G48" t="n">
        <v>199</v>
      </c>
      <c r="H48"/>
      <c r="I48" s="34"/>
      <c r="J48" s="34"/>
      <c r="K48" s="34"/>
      <c r="L48"/>
      <c r="M48" t="s">
        <v>431</v>
      </c>
      <c r="N48" t="s">
        <v>1491</v>
      </c>
      <c r="O48" t="s">
        <v>2096</v>
      </c>
      <c r="P48" t="s">
        <v>1581</v>
      </c>
      <c r="Q48"/>
    </row>
    <row r="49">
      <c r="A49" t="s">
        <v>1524</v>
      </c>
      <c r="B49" t="s">
        <v>440</v>
      </c>
      <c r="C49" s="34" t="n">
        <v>0.19621093216522</v>
      </c>
      <c r="D49" s="34" t="n">
        <v>0.416132171644415</v>
      </c>
      <c r="E49" s="34" t="n">
        <v>0.471511085984677</v>
      </c>
      <c r="F49" t="n">
        <v>0.637792336979765</v>
      </c>
      <c r="G49" t="n">
        <v>199</v>
      </c>
      <c r="H49" t="s">
        <v>1520</v>
      </c>
      <c r="I49" s="34" t="n">
        <v>1.2167835370535</v>
      </c>
      <c r="J49" s="34" t="n">
        <v>0.535591450918746</v>
      </c>
      <c r="K49" s="34" t="n">
        <v>2.76434990421278</v>
      </c>
      <c r="L49" t="s">
        <v>2097</v>
      </c>
      <c r="M49" t="s">
        <v>99</v>
      </c>
      <c r="N49" t="s">
        <v>1491</v>
      </c>
      <c r="O49" t="s">
        <v>2096</v>
      </c>
      <c r="P49" t="s">
        <v>1581</v>
      </c>
      <c r="Q49"/>
    </row>
    <row r="50">
      <c r="A50" t="s">
        <v>1524</v>
      </c>
      <c r="B50" t="s">
        <v>1480</v>
      </c>
      <c r="C50" s="34" t="n">
        <v>0.0182298442760136</v>
      </c>
      <c r="D50" s="34" t="n">
        <v>0.0270787786443362</v>
      </c>
      <c r="E50" s="34" t="n">
        <v>0.673215159200931</v>
      </c>
      <c r="F50" t="n">
        <v>0.501591494496729</v>
      </c>
      <c r="G50" t="n">
        <v>199</v>
      </c>
      <c r="H50" t="s">
        <v>1520</v>
      </c>
      <c r="I50" s="34" t="n">
        <v>1.01839702221798</v>
      </c>
      <c r="J50" s="34" t="n">
        <v>0.965442889111917</v>
      </c>
      <c r="K50" s="34" t="n">
        <v>1.0742556670716</v>
      </c>
      <c r="L50" t="s">
        <v>2098</v>
      </c>
      <c r="M50" t="s">
        <v>2010</v>
      </c>
      <c r="N50" t="s">
        <v>1491</v>
      </c>
      <c r="O50" t="s">
        <v>2096</v>
      </c>
      <c r="P50" t="s">
        <v>1581</v>
      </c>
      <c r="Q50"/>
    </row>
    <row r="51">
      <c r="A51" t="s">
        <v>1524</v>
      </c>
      <c r="B51" t="s">
        <v>55</v>
      </c>
      <c r="C51" s="34" t="n">
        <v>0.0758921078969714</v>
      </c>
      <c r="D51" s="34" t="n">
        <v>0.131701585403664</v>
      </c>
      <c r="E51" s="34" t="n">
        <v>0.576242933328119</v>
      </c>
      <c r="F51" t="n">
        <v>0.565102145738332</v>
      </c>
      <c r="G51" t="n">
        <v>199</v>
      </c>
      <c r="H51" t="s">
        <v>1520</v>
      </c>
      <c r="I51" s="34" t="n">
        <v>1.07884616889579</v>
      </c>
      <c r="J51" s="34" t="n">
        <v>0.832087483435948</v>
      </c>
      <c r="K51" s="34" t="n">
        <v>1.39878207437393</v>
      </c>
      <c r="L51" t="s">
        <v>2099</v>
      </c>
      <c r="M51" t="s">
        <v>492</v>
      </c>
      <c r="N51" t="s">
        <v>1491</v>
      </c>
      <c r="O51" t="s">
        <v>2096</v>
      </c>
      <c r="P51" t="s">
        <v>1581</v>
      </c>
      <c r="Q51"/>
    </row>
    <row r="52">
      <c r="A52" t="s">
        <v>1524</v>
      </c>
      <c r="B52" t="s">
        <v>89</v>
      </c>
      <c r="C52" s="34" t="n">
        <v>0.00203952366524115</v>
      </c>
      <c r="D52" s="34" t="n">
        <v>0.00878942088610859</v>
      </c>
      <c r="E52" s="34" t="n">
        <v>0.232043008483591</v>
      </c>
      <c r="F52" t="n">
        <v>0.816743057632583</v>
      </c>
      <c r="G52" t="n">
        <v>199</v>
      </c>
      <c r="H52" t="s">
        <v>1520</v>
      </c>
      <c r="I52" s="34" t="n">
        <v>1.00204160490831</v>
      </c>
      <c r="J52" s="34" t="n">
        <v>0.984823509170734</v>
      </c>
      <c r="K52" s="34" t="n">
        <v>1.01956073206731</v>
      </c>
      <c r="L52" t="s">
        <v>2100</v>
      </c>
      <c r="M52" t="s">
        <v>532</v>
      </c>
      <c r="N52" t="s">
        <v>1491</v>
      </c>
      <c r="O52" t="s">
        <v>2096</v>
      </c>
      <c r="P52" t="s">
        <v>1581</v>
      </c>
      <c r="Q52"/>
    </row>
    <row r="53">
      <c r="A53" t="s">
        <v>1529</v>
      </c>
      <c r="B53"/>
      <c r="C53" s="34"/>
      <c r="D53" s="34"/>
      <c r="E53" s="34"/>
      <c r="F53"/>
      <c r="G53"/>
      <c r="H53"/>
      <c r="I53" s="34"/>
      <c r="J53" s="34"/>
      <c r="K53" s="34"/>
      <c r="L53"/>
      <c r="M53" t="s">
        <v>109</v>
      </c>
      <c r="N53"/>
      <c r="O53" t="s">
        <v>1530</v>
      </c>
      <c r="P53"/>
      <c r="Q53"/>
    </row>
    <row r="55">
      <c r="A55" s="1" t="s">
        <v>1836</v>
      </c>
    </row>
    <row r="56">
      <c r="A56" t="s">
        <v>1465</v>
      </c>
      <c r="B56" t="s">
        <v>1466</v>
      </c>
      <c r="C56" t="s">
        <v>1467</v>
      </c>
      <c r="D56" t="s">
        <v>1468</v>
      </c>
      <c r="E56" t="s">
        <v>1469</v>
      </c>
      <c r="F56" t="s">
        <v>1470</v>
      </c>
      <c r="G56" t="s">
        <v>1471</v>
      </c>
      <c r="H56" t="s">
        <v>1472</v>
      </c>
      <c r="I56" t="s">
        <v>1473</v>
      </c>
      <c r="J56" t="s">
        <v>1474</v>
      </c>
      <c r="K56" t="s">
        <v>1475</v>
      </c>
      <c r="L56" t="s">
        <v>1476</v>
      </c>
      <c r="M56" t="s">
        <v>41</v>
      </c>
      <c r="N56" t="s">
        <v>1477</v>
      </c>
      <c r="O56" t="s">
        <v>1478</v>
      </c>
      <c r="P56" t="s">
        <v>1479</v>
      </c>
      <c r="Q56" t="s">
        <v>1</v>
      </c>
    </row>
    <row r="57">
      <c r="A57" t="s">
        <v>1532</v>
      </c>
      <c r="B57" t="s">
        <v>1568</v>
      </c>
      <c r="C57" s="34" t="n">
        <v>6.526830479176</v>
      </c>
      <c r="D57" s="34" t="n">
        <v>0.164011103050477</v>
      </c>
      <c r="E57" s="34" t="n">
        <v>39.7950526384014</v>
      </c>
      <c r="F57" t="n">
        <v>0.00000000000000000000000000000000000000000000000000000000000000000000000000000000000000000000000000171039664515514</v>
      </c>
      <c r="G57" t="n">
        <v>209</v>
      </c>
      <c r="H57"/>
      <c r="I57" s="34"/>
      <c r="J57" s="34"/>
      <c r="K57" s="34"/>
      <c r="L57"/>
      <c r="M57" t="s">
        <v>50</v>
      </c>
      <c r="N57" t="s">
        <v>1491</v>
      </c>
      <c r="O57" t="s">
        <v>2101</v>
      </c>
      <c r="P57" t="s">
        <v>1581</v>
      </c>
      <c r="Q57"/>
    </row>
    <row r="58">
      <c r="A58" t="s">
        <v>1532</v>
      </c>
      <c r="B58" t="s">
        <v>440</v>
      </c>
      <c r="C58" s="34" t="n">
        <v>0.00556078411988802</v>
      </c>
      <c r="D58" s="34" t="n">
        <v>0.017844764355448</v>
      </c>
      <c r="E58" s="34" t="n">
        <v>0.31161992442844</v>
      </c>
      <c r="F58" t="n">
        <v>0.755640017713044</v>
      </c>
      <c r="G58" t="n">
        <v>209</v>
      </c>
      <c r="H58" t="s">
        <v>1487</v>
      </c>
      <c r="I58" s="34" t="n">
        <v>0.00556078411988802</v>
      </c>
      <c r="J58" s="34" t="n">
        <v>-0.0296180178265978</v>
      </c>
      <c r="K58" s="34" t="n">
        <v>0.0407395860663738</v>
      </c>
      <c r="L58" t="s">
        <v>1634</v>
      </c>
      <c r="M58" t="s">
        <v>444</v>
      </c>
      <c r="N58" t="s">
        <v>1491</v>
      </c>
      <c r="O58" t="s">
        <v>2101</v>
      </c>
      <c r="P58" t="s">
        <v>1581</v>
      </c>
      <c r="Q58"/>
    </row>
    <row r="59">
      <c r="A59" t="s">
        <v>1532</v>
      </c>
      <c r="B59" t="s">
        <v>1480</v>
      </c>
      <c r="C59" s="34" t="n">
        <v>0.000365918656208757</v>
      </c>
      <c r="D59" s="34" t="n">
        <v>0.00113712031024462</v>
      </c>
      <c r="E59" s="34" t="n">
        <v>0.321794143427126</v>
      </c>
      <c r="F59" t="n">
        <v>0.747930265757308</v>
      </c>
      <c r="G59" t="n">
        <v>209</v>
      </c>
      <c r="H59" t="s">
        <v>1487</v>
      </c>
      <c r="I59" s="34" t="n">
        <v>0.000365918656208757</v>
      </c>
      <c r="J59" s="34" t="n">
        <v>-0.00187577696871607</v>
      </c>
      <c r="K59" s="34" t="n">
        <v>0.00260761428113358</v>
      </c>
      <c r="L59" t="s">
        <v>2102</v>
      </c>
      <c r="M59" t="s">
        <v>1513</v>
      </c>
      <c r="N59" t="s">
        <v>1491</v>
      </c>
      <c r="O59" t="s">
        <v>2101</v>
      </c>
      <c r="P59" t="s">
        <v>1581</v>
      </c>
      <c r="Q59"/>
    </row>
    <row r="60">
      <c r="A60" t="s">
        <v>1532</v>
      </c>
      <c r="B60" t="s">
        <v>55</v>
      </c>
      <c r="C60" s="34" t="n">
        <v>0.0563353598662984</v>
      </c>
      <c r="D60" s="34" t="n">
        <v>0.00492387208904744</v>
      </c>
      <c r="E60" s="34" t="n">
        <v>11.4412720004668</v>
      </c>
      <c r="F60" t="n">
        <v>0.00000000000000000000000748260026589388</v>
      </c>
      <c r="G60" t="n">
        <v>209</v>
      </c>
      <c r="H60" t="s">
        <v>1487</v>
      </c>
      <c r="I60" s="34" t="n">
        <v>0.0563353598662984</v>
      </c>
      <c r="J60" s="34" t="n">
        <v>0.0466285395586631</v>
      </c>
      <c r="K60" s="34" t="n">
        <v>0.0660421801739337</v>
      </c>
      <c r="L60" t="s">
        <v>2103</v>
      </c>
      <c r="M60" t="s">
        <v>50</v>
      </c>
      <c r="N60" t="s">
        <v>1491</v>
      </c>
      <c r="O60" t="s">
        <v>2101</v>
      </c>
      <c r="P60" t="s">
        <v>1581</v>
      </c>
      <c r="Q60"/>
    </row>
    <row r="61">
      <c r="A61" t="s">
        <v>1532</v>
      </c>
      <c r="B61" t="s">
        <v>89</v>
      </c>
      <c r="C61" s="34" t="n">
        <v>0.000354513005128375</v>
      </c>
      <c r="D61" s="34" t="n">
        <v>0.000293265591911269</v>
      </c>
      <c r="E61" s="34" t="n">
        <v>1.20884622985582</v>
      </c>
      <c r="F61" t="n">
        <v>0.228087742579084</v>
      </c>
      <c r="G61" t="n">
        <v>209</v>
      </c>
      <c r="H61" t="s">
        <v>1487</v>
      </c>
      <c r="I61" s="34" t="n">
        <v>0.000354513005128375</v>
      </c>
      <c r="J61" s="34" t="n">
        <v>-0.000223624759544085</v>
      </c>
      <c r="K61" s="34" t="n">
        <v>0.000932650769800834</v>
      </c>
      <c r="L61" t="s">
        <v>2104</v>
      </c>
      <c r="M61" t="s">
        <v>429</v>
      </c>
      <c r="N61" t="s">
        <v>1491</v>
      </c>
      <c r="O61" t="s">
        <v>2101</v>
      </c>
      <c r="P61" t="s">
        <v>1581</v>
      </c>
      <c r="Q61"/>
    </row>
    <row r="62">
      <c r="A62" t="s">
        <v>145</v>
      </c>
      <c r="B62" t="s">
        <v>1568</v>
      </c>
      <c r="C62" s="34" t="n">
        <v>-31.7240812695773</v>
      </c>
      <c r="D62" s="34" t="n">
        <v>12.7224110951931</v>
      </c>
      <c r="E62" s="34" t="n">
        <v>-2.49355888850058</v>
      </c>
      <c r="F62" t="n">
        <v>0.0134226553789582</v>
      </c>
      <c r="G62" t="n">
        <v>209</v>
      </c>
      <c r="H62"/>
      <c r="I62" s="34"/>
      <c r="J62" s="34"/>
      <c r="K62" s="34"/>
      <c r="L62"/>
      <c r="M62" t="s">
        <v>411</v>
      </c>
      <c r="N62" t="s">
        <v>1491</v>
      </c>
      <c r="O62" t="s">
        <v>1749</v>
      </c>
      <c r="P62" t="s">
        <v>1581</v>
      </c>
      <c r="Q62"/>
    </row>
    <row r="63">
      <c r="A63" t="s">
        <v>145</v>
      </c>
      <c r="B63" t="s">
        <v>440</v>
      </c>
      <c r="C63" s="34" t="n">
        <v>0.0929985356239664</v>
      </c>
      <c r="D63" s="34" t="n">
        <v>1.22186227741419</v>
      </c>
      <c r="E63" s="34" t="n">
        <v>0.0761121260088152</v>
      </c>
      <c r="F63" t="n">
        <v>0.93940270043619</v>
      </c>
      <c r="G63" t="n">
        <v>209</v>
      </c>
      <c r="H63" t="s">
        <v>1487</v>
      </c>
      <c r="I63" s="34" t="n">
        <v>0.0929985356239664</v>
      </c>
      <c r="J63" s="34" t="n">
        <v>-2.31575566291007</v>
      </c>
      <c r="K63" s="34" t="n">
        <v>2.501752734158</v>
      </c>
      <c r="L63" t="s">
        <v>2105</v>
      </c>
      <c r="M63" t="s">
        <v>447</v>
      </c>
      <c r="N63" t="s">
        <v>1491</v>
      </c>
      <c r="O63" t="s">
        <v>1749</v>
      </c>
      <c r="P63" t="s">
        <v>1581</v>
      </c>
      <c r="Q63"/>
    </row>
    <row r="64">
      <c r="A64" t="s">
        <v>145</v>
      </c>
      <c r="B64" t="s">
        <v>1480</v>
      </c>
      <c r="C64" s="34" t="n">
        <v>-0.00651636403790232</v>
      </c>
      <c r="D64" s="34" t="n">
        <v>0.0801172163034536</v>
      </c>
      <c r="E64" s="34" t="n">
        <v>-0.0813353775700445</v>
      </c>
      <c r="F64" t="n">
        <v>0.935253075462685</v>
      </c>
      <c r="G64" t="n">
        <v>209</v>
      </c>
      <c r="H64" t="s">
        <v>1487</v>
      </c>
      <c r="I64" s="34" t="n">
        <v>-0.00651636403790232</v>
      </c>
      <c r="J64" s="34" t="n">
        <v>-0.164457798774893</v>
      </c>
      <c r="K64" s="34" t="n">
        <v>0.151425070699088</v>
      </c>
      <c r="L64" t="s">
        <v>2106</v>
      </c>
      <c r="M64" t="s">
        <v>447</v>
      </c>
      <c r="N64" t="s">
        <v>1491</v>
      </c>
      <c r="O64" t="s">
        <v>1749</v>
      </c>
      <c r="P64" t="s">
        <v>1581</v>
      </c>
      <c r="Q64"/>
    </row>
    <row r="65">
      <c r="A65" t="s">
        <v>145</v>
      </c>
      <c r="B65" t="s">
        <v>55</v>
      </c>
      <c r="C65" s="34" t="n">
        <v>-13.3519054899138</v>
      </c>
      <c r="D65" s="34" t="n">
        <v>0.309712667911557</v>
      </c>
      <c r="E65" s="34" t="n">
        <v>-43.1106211442622</v>
      </c>
      <c r="F65" t="n">
        <v>0.000000000000000000000000000000000000000000000000000000000000000000000000000000000000000000000000000000000568754085034105</v>
      </c>
      <c r="G65" t="n">
        <v>209</v>
      </c>
      <c r="H65" t="s">
        <v>1487</v>
      </c>
      <c r="I65" s="34" t="n">
        <v>-13.3519054899138</v>
      </c>
      <c r="J65" s="34" t="n">
        <v>-13.9624666824158</v>
      </c>
      <c r="K65" s="34" t="n">
        <v>-12.7413442974119</v>
      </c>
      <c r="L65" t="s">
        <v>2107</v>
      </c>
      <c r="M65" t="s">
        <v>50</v>
      </c>
      <c r="N65" t="s">
        <v>1491</v>
      </c>
      <c r="O65" t="s">
        <v>1749</v>
      </c>
      <c r="P65" t="s">
        <v>1581</v>
      </c>
      <c r="Q65"/>
    </row>
    <row r="66">
      <c r="A66" t="s">
        <v>145</v>
      </c>
      <c r="B66" t="s">
        <v>89</v>
      </c>
      <c r="C66" s="34" t="n">
        <v>0.0787597423898633</v>
      </c>
      <c r="D66" s="34" t="n">
        <v>0.0242711950576874</v>
      </c>
      <c r="E66" s="34" t="n">
        <v>3.24498823410502</v>
      </c>
      <c r="F66" t="n">
        <v>0.00136771694974005</v>
      </c>
      <c r="G66" t="n">
        <v>209</v>
      </c>
      <c r="H66" t="s">
        <v>1487</v>
      </c>
      <c r="I66" s="34" t="n">
        <v>0.0787597423898633</v>
      </c>
      <c r="J66" s="34" t="n">
        <v>0.0309120069459242</v>
      </c>
      <c r="K66" s="34" t="n">
        <v>0.126607477833802</v>
      </c>
      <c r="L66" t="s">
        <v>2108</v>
      </c>
      <c r="M66" t="s">
        <v>368</v>
      </c>
      <c r="N66" t="s">
        <v>1491</v>
      </c>
      <c r="O66" t="s">
        <v>1749</v>
      </c>
      <c r="P66" t="s">
        <v>1581</v>
      </c>
      <c r="Q66"/>
    </row>
    <row r="67">
      <c r="A67" t="s">
        <v>1539</v>
      </c>
      <c r="B67"/>
      <c r="C67" s="34"/>
      <c r="D67" s="34"/>
      <c r="E67" s="34"/>
      <c r="F67"/>
      <c r="G67"/>
      <c r="H67"/>
      <c r="I67" s="34"/>
      <c r="J67" s="34"/>
      <c r="K67" s="34"/>
      <c r="L67"/>
      <c r="M67" t="s">
        <v>109</v>
      </c>
      <c r="N67"/>
      <c r="O67" t="s">
        <v>1530</v>
      </c>
      <c r="P67"/>
      <c r="Q67"/>
    </row>
    <row r="69">
      <c r="A69" s="1" t="s">
        <v>1848</v>
      </c>
    </row>
    <row r="70">
      <c r="A70" t="s">
        <v>1465</v>
      </c>
      <c r="B70" t="s">
        <v>1466</v>
      </c>
      <c r="C70" t="s">
        <v>1467</v>
      </c>
      <c r="D70" t="s">
        <v>1468</v>
      </c>
      <c r="E70" t="s">
        <v>1469</v>
      </c>
      <c r="F70" t="s">
        <v>1470</v>
      </c>
      <c r="G70" t="s">
        <v>1471</v>
      </c>
      <c r="H70" t="s">
        <v>1472</v>
      </c>
      <c r="I70" t="s">
        <v>1473</v>
      </c>
      <c r="J70" t="s">
        <v>1474</v>
      </c>
      <c r="K70" t="s">
        <v>1475</v>
      </c>
      <c r="L70" t="s">
        <v>1476</v>
      </c>
      <c r="M70" t="s">
        <v>41</v>
      </c>
      <c r="N70" t="s">
        <v>1477</v>
      </c>
      <c r="O70" t="s">
        <v>1478</v>
      </c>
      <c r="P70" t="s">
        <v>1479</v>
      </c>
      <c r="Q70" t="s">
        <v>1</v>
      </c>
    </row>
    <row r="71">
      <c r="A71" t="s">
        <v>167</v>
      </c>
      <c r="B71" t="s">
        <v>1568</v>
      </c>
      <c r="C71" s="34" t="n">
        <v>172.061222367098</v>
      </c>
      <c r="D71" s="34" t="n">
        <v>14.9973037512926</v>
      </c>
      <c r="E71" s="34" t="n">
        <v>11.4728103944863</v>
      </c>
      <c r="F71" t="n">
        <v>0.0000000000000000000000162294904270438</v>
      </c>
      <c r="G71" t="n">
        <v>191</v>
      </c>
      <c r="H71"/>
      <c r="I71" s="34"/>
      <c r="J71" s="34"/>
      <c r="K71" s="34"/>
      <c r="L71"/>
      <c r="M71" t="s">
        <v>50</v>
      </c>
      <c r="N71" t="s">
        <v>1491</v>
      </c>
      <c r="O71" t="s">
        <v>1749</v>
      </c>
      <c r="P71" t="s">
        <v>1581</v>
      </c>
      <c r="Q71"/>
    </row>
    <row r="72">
      <c r="A72" t="s">
        <v>167</v>
      </c>
      <c r="B72" t="s">
        <v>440</v>
      </c>
      <c r="C72" s="34" t="n">
        <v>-2.87160189324371</v>
      </c>
      <c r="D72" s="34" t="n">
        <v>1.65809200224775</v>
      </c>
      <c r="E72" s="34" t="n">
        <v>-1.73187126489416</v>
      </c>
      <c r="F72" t="n">
        <v>0.0849109941046372</v>
      </c>
      <c r="G72" t="n">
        <v>191</v>
      </c>
      <c r="H72" t="s">
        <v>1487</v>
      </c>
      <c r="I72" s="34" t="n">
        <v>-2.87160189324371</v>
      </c>
      <c r="J72" s="34" t="n">
        <v>-6.14212534321441</v>
      </c>
      <c r="K72" s="34" t="n">
        <v>0.398921556726989</v>
      </c>
      <c r="L72" t="s">
        <v>2109</v>
      </c>
      <c r="M72" t="s">
        <v>122</v>
      </c>
      <c r="N72" t="s">
        <v>1491</v>
      </c>
      <c r="O72" t="s">
        <v>1749</v>
      </c>
      <c r="P72" t="s">
        <v>1581</v>
      </c>
      <c r="Q72"/>
    </row>
    <row r="73">
      <c r="A73" t="s">
        <v>167</v>
      </c>
      <c r="B73" t="s">
        <v>1480</v>
      </c>
      <c r="C73" s="34" t="n">
        <v>-0.126231007083332</v>
      </c>
      <c r="D73" s="34" t="n">
        <v>0.118358354431442</v>
      </c>
      <c r="E73" s="34" t="n">
        <v>-1.06651539462261</v>
      </c>
      <c r="F73" t="n">
        <v>0.287536968091713</v>
      </c>
      <c r="G73" t="n">
        <v>191</v>
      </c>
      <c r="H73" t="s">
        <v>1487</v>
      </c>
      <c r="I73" s="34" t="n">
        <v>-0.126231007083332</v>
      </c>
      <c r="J73" s="34" t="n">
        <v>-0.359688362370747</v>
      </c>
      <c r="K73" s="34" t="n">
        <v>0.107226348204083</v>
      </c>
      <c r="L73" t="s">
        <v>2110</v>
      </c>
      <c r="M73" t="s">
        <v>114</v>
      </c>
      <c r="N73" t="s">
        <v>1491</v>
      </c>
      <c r="O73" t="s">
        <v>1749</v>
      </c>
      <c r="P73" t="s">
        <v>1581</v>
      </c>
      <c r="Q73"/>
    </row>
    <row r="74">
      <c r="A74" t="s">
        <v>167</v>
      </c>
      <c r="B74" t="s">
        <v>55</v>
      </c>
      <c r="C74" s="34" t="n">
        <v>0.747602887379903</v>
      </c>
      <c r="D74" s="34" t="n">
        <v>0.486753629805087</v>
      </c>
      <c r="E74" s="34" t="n">
        <v>1.53589586518188</v>
      </c>
      <c r="F74" t="n">
        <v>0.126218785883421</v>
      </c>
      <c r="G74" t="n">
        <v>191</v>
      </c>
      <c r="H74" t="s">
        <v>1487</v>
      </c>
      <c r="I74" s="34" t="n">
        <v>0.747602887379903</v>
      </c>
      <c r="J74" s="34" t="n">
        <v>-0.21250014579185</v>
      </c>
      <c r="K74" s="34" t="n">
        <v>1.70770592055166</v>
      </c>
      <c r="L74" t="s">
        <v>2111</v>
      </c>
      <c r="M74" t="s">
        <v>189</v>
      </c>
      <c r="N74" t="s">
        <v>1491</v>
      </c>
      <c r="O74" t="s">
        <v>1749</v>
      </c>
      <c r="P74" t="s">
        <v>1581</v>
      </c>
      <c r="Q74"/>
    </row>
    <row r="75">
      <c r="A75" t="s">
        <v>167</v>
      </c>
      <c r="B75" t="s">
        <v>89</v>
      </c>
      <c r="C75" s="34" t="n">
        <v>0.0300211988789956</v>
      </c>
      <c r="D75" s="34" t="n">
        <v>0.0289815131703995</v>
      </c>
      <c r="E75" s="34" t="n">
        <v>1.03587410024049</v>
      </c>
      <c r="F75" t="n">
        <v>0.301570581432414</v>
      </c>
      <c r="G75" t="n">
        <v>191</v>
      </c>
      <c r="H75" t="s">
        <v>1487</v>
      </c>
      <c r="I75" s="34" t="n">
        <v>0.0300211988789956</v>
      </c>
      <c r="J75" s="34" t="n">
        <v>-0.0271437342555551</v>
      </c>
      <c r="K75" s="34" t="n">
        <v>0.0871861320135464</v>
      </c>
      <c r="L75" t="s">
        <v>2112</v>
      </c>
      <c r="M75" t="s">
        <v>479</v>
      </c>
      <c r="N75" t="s">
        <v>1491</v>
      </c>
      <c r="O75" t="s">
        <v>1749</v>
      </c>
      <c r="P75" t="s">
        <v>1581</v>
      </c>
      <c r="Q75"/>
    </row>
    <row r="76">
      <c r="A76" t="s">
        <v>177</v>
      </c>
      <c r="B76" t="s">
        <v>1568</v>
      </c>
      <c r="C76" s="34" t="n">
        <v>-0.225434746815831</v>
      </c>
      <c r="D76" s="34" t="n">
        <v>0.456071960832643</v>
      </c>
      <c r="E76" s="34" t="n">
        <v>-0.494296440421943</v>
      </c>
      <c r="F76" t="n">
        <v>0.621664857140083</v>
      </c>
      <c r="G76" t="n">
        <v>191</v>
      </c>
      <c r="H76"/>
      <c r="I76" s="34"/>
      <c r="J76" s="34"/>
      <c r="K76" s="34"/>
      <c r="L76"/>
      <c r="M76" t="s">
        <v>1523</v>
      </c>
      <c r="N76" t="s">
        <v>1491</v>
      </c>
      <c r="O76" t="s">
        <v>1749</v>
      </c>
      <c r="P76" t="s">
        <v>1581</v>
      </c>
      <c r="Q76"/>
    </row>
    <row r="77">
      <c r="A77" t="s">
        <v>177</v>
      </c>
      <c r="B77" t="s">
        <v>440</v>
      </c>
      <c r="C77" s="34" t="n">
        <v>-0.0610775514192025</v>
      </c>
      <c r="D77" s="34" t="n">
        <v>0.0491939307339966</v>
      </c>
      <c r="E77" s="34" t="n">
        <v>-1.24156680525212</v>
      </c>
      <c r="F77" t="n">
        <v>0.215918961228539</v>
      </c>
      <c r="G77" t="n">
        <v>191</v>
      </c>
      <c r="H77" t="s">
        <v>1487</v>
      </c>
      <c r="I77" s="34" t="n">
        <v>-0.0610775514192025</v>
      </c>
      <c r="J77" s="34" t="n">
        <v>-0.158110709919252</v>
      </c>
      <c r="K77" s="34" t="n">
        <v>0.0359556070808467</v>
      </c>
      <c r="L77" t="s">
        <v>2113</v>
      </c>
      <c r="M77" t="s">
        <v>449</v>
      </c>
      <c r="N77" t="s">
        <v>1491</v>
      </c>
      <c r="O77" t="s">
        <v>1749</v>
      </c>
      <c r="P77" t="s">
        <v>1581</v>
      </c>
      <c r="Q77"/>
    </row>
    <row r="78">
      <c r="A78" t="s">
        <v>177</v>
      </c>
      <c r="B78" t="s">
        <v>1480</v>
      </c>
      <c r="C78" s="34" t="n">
        <v>-0.0120198381897172</v>
      </c>
      <c r="D78" s="34" t="n">
        <v>0.00299454951268189</v>
      </c>
      <c r="E78" s="34" t="n">
        <v>-4.01390530990165</v>
      </c>
      <c r="F78" t="n">
        <v>0.0000857227656962364</v>
      </c>
      <c r="G78" t="n">
        <v>191</v>
      </c>
      <c r="H78" t="s">
        <v>1487</v>
      </c>
      <c r="I78" s="34" t="n">
        <v>-0.0120198381897172</v>
      </c>
      <c r="J78" s="34" t="n">
        <v>-0.0179264732799582</v>
      </c>
      <c r="K78" s="34" t="n">
        <v>-0.00611320309947627</v>
      </c>
      <c r="L78" t="s">
        <v>2114</v>
      </c>
      <c r="M78" t="s">
        <v>50</v>
      </c>
      <c r="N78" t="s">
        <v>1491</v>
      </c>
      <c r="O78" t="s">
        <v>1749</v>
      </c>
      <c r="P78" t="s">
        <v>1581</v>
      </c>
      <c r="Q78"/>
    </row>
    <row r="79">
      <c r="A79" t="s">
        <v>177</v>
      </c>
      <c r="B79" t="s">
        <v>55</v>
      </c>
      <c r="C79" s="34" t="n">
        <v>0.0367569626906258</v>
      </c>
      <c r="D79" s="34" t="n">
        <v>0.016128731130363</v>
      </c>
      <c r="E79" s="34" t="n">
        <v>2.27897423507974</v>
      </c>
      <c r="F79" t="n">
        <v>0.023774659769878</v>
      </c>
      <c r="G79" t="n">
        <v>191</v>
      </c>
      <c r="H79" t="s">
        <v>1487</v>
      </c>
      <c r="I79" s="34" t="n">
        <v>0.0367569626906258</v>
      </c>
      <c r="J79" s="34" t="n">
        <v>0.00494365359280974</v>
      </c>
      <c r="K79" s="34" t="n">
        <v>0.068570271788442</v>
      </c>
      <c r="L79" t="s">
        <v>2115</v>
      </c>
      <c r="M79" t="s">
        <v>372</v>
      </c>
      <c r="N79" t="s">
        <v>1491</v>
      </c>
      <c r="O79" t="s">
        <v>1749</v>
      </c>
      <c r="P79" t="s">
        <v>1581</v>
      </c>
      <c r="Q79"/>
    </row>
    <row r="80">
      <c r="A80" t="s">
        <v>177</v>
      </c>
      <c r="B80" t="s">
        <v>89</v>
      </c>
      <c r="C80" s="34" t="n">
        <v>0.00152943745216209</v>
      </c>
      <c r="D80" s="34" t="n">
        <v>0.000846807568262891</v>
      </c>
      <c r="E80" s="34" t="n">
        <v>1.80612161426417</v>
      </c>
      <c r="F80" t="n">
        <v>0.0724736319244002</v>
      </c>
      <c r="G80" t="n">
        <v>191</v>
      </c>
      <c r="H80" t="s">
        <v>1487</v>
      </c>
      <c r="I80" s="34" t="n">
        <v>0.00152943745216209</v>
      </c>
      <c r="J80" s="34" t="n">
        <v>-0.000140858288883668</v>
      </c>
      <c r="K80" s="34" t="n">
        <v>0.00319973319320784</v>
      </c>
      <c r="L80" t="s">
        <v>2116</v>
      </c>
      <c r="M80" t="s">
        <v>72</v>
      </c>
      <c r="N80" t="s">
        <v>1491</v>
      </c>
      <c r="O80" t="s">
        <v>1749</v>
      </c>
      <c r="P80" t="s">
        <v>1581</v>
      </c>
      <c r="Q80"/>
    </row>
    <row r="81">
      <c r="A81" t="s">
        <v>185</v>
      </c>
      <c r="B81" t="s">
        <v>1568</v>
      </c>
      <c r="C81" s="34" t="n">
        <v>-0.342264228764567</v>
      </c>
      <c r="D81" s="34" t="n">
        <v>0.268730138252834</v>
      </c>
      <c r="E81" s="34" t="n">
        <v>-1.2736354433106</v>
      </c>
      <c r="F81" t="n">
        <v>0.204340388454946</v>
      </c>
      <c r="G81" t="n">
        <v>191</v>
      </c>
      <c r="H81"/>
      <c r="I81" s="34"/>
      <c r="J81" s="34"/>
      <c r="K81" s="34"/>
      <c r="L81"/>
      <c r="M81" t="s">
        <v>129</v>
      </c>
      <c r="N81" t="s">
        <v>1491</v>
      </c>
      <c r="O81" t="s">
        <v>1749</v>
      </c>
      <c r="P81" t="s">
        <v>1581</v>
      </c>
      <c r="Q81"/>
    </row>
    <row r="82">
      <c r="A82" t="s">
        <v>185</v>
      </c>
      <c r="B82" t="s">
        <v>440</v>
      </c>
      <c r="C82" s="34" t="n">
        <v>0.00928292261990909</v>
      </c>
      <c r="D82" s="34" t="n">
        <v>0.030891449906121</v>
      </c>
      <c r="E82" s="34" t="n">
        <v>0.300501357110781</v>
      </c>
      <c r="F82" t="n">
        <v>0.764121593302204</v>
      </c>
      <c r="G82" t="n">
        <v>191</v>
      </c>
      <c r="H82" t="s">
        <v>1487</v>
      </c>
      <c r="I82" s="34" t="n">
        <v>0.00928292261990909</v>
      </c>
      <c r="J82" s="34" t="n">
        <v>-0.0516492881287125</v>
      </c>
      <c r="K82" s="34" t="n">
        <v>0.0702151333685307</v>
      </c>
      <c r="L82" t="s">
        <v>2055</v>
      </c>
      <c r="M82" t="s">
        <v>444</v>
      </c>
      <c r="N82" t="s">
        <v>1491</v>
      </c>
      <c r="O82" t="s">
        <v>1749</v>
      </c>
      <c r="P82" t="s">
        <v>1581</v>
      </c>
      <c r="Q82"/>
    </row>
    <row r="83">
      <c r="A83" t="s">
        <v>185</v>
      </c>
      <c r="B83" t="s">
        <v>1480</v>
      </c>
      <c r="C83" s="34" t="n">
        <v>0.000185309766247855</v>
      </c>
      <c r="D83" s="34" t="n">
        <v>0.00228590666186629</v>
      </c>
      <c r="E83" s="34" t="n">
        <v>0.0810661998318696</v>
      </c>
      <c r="F83" t="n">
        <v>0.935474188045111</v>
      </c>
      <c r="G83" t="n">
        <v>191</v>
      </c>
      <c r="H83" t="s">
        <v>1487</v>
      </c>
      <c r="I83" s="34" t="n">
        <v>0.000185309766247855</v>
      </c>
      <c r="J83" s="34" t="n">
        <v>-0.00432355423643905</v>
      </c>
      <c r="K83" s="34" t="n">
        <v>0.00469417376893476</v>
      </c>
      <c r="L83" t="s">
        <v>2117</v>
      </c>
      <c r="M83" t="s">
        <v>447</v>
      </c>
      <c r="N83" t="s">
        <v>1491</v>
      </c>
      <c r="O83" t="s">
        <v>1749</v>
      </c>
      <c r="P83" t="s">
        <v>1581</v>
      </c>
      <c r="Q83"/>
    </row>
    <row r="84">
      <c r="A84" t="s">
        <v>185</v>
      </c>
      <c r="B84" t="s">
        <v>55</v>
      </c>
      <c r="C84" s="34" t="n">
        <v>-0.00532758142905577</v>
      </c>
      <c r="D84" s="34" t="n">
        <v>0.00809336432421814</v>
      </c>
      <c r="E84" s="34" t="n">
        <v>-0.658265366000367</v>
      </c>
      <c r="F84" t="n">
        <v>0.511160280394962</v>
      </c>
      <c r="G84" t="n">
        <v>191</v>
      </c>
      <c r="H84" t="s">
        <v>1487</v>
      </c>
      <c r="I84" s="34" t="n">
        <v>-0.00532758142905577</v>
      </c>
      <c r="J84" s="34" t="n">
        <v>-0.021291434927914</v>
      </c>
      <c r="K84" s="34" t="n">
        <v>0.0106362720698025</v>
      </c>
      <c r="L84" t="s">
        <v>2118</v>
      </c>
      <c r="M84" t="s">
        <v>431</v>
      </c>
      <c r="N84" t="s">
        <v>1491</v>
      </c>
      <c r="O84" t="s">
        <v>1749</v>
      </c>
      <c r="P84" t="s">
        <v>1581</v>
      </c>
      <c r="Q84"/>
    </row>
    <row r="85">
      <c r="A85" t="s">
        <v>185</v>
      </c>
      <c r="B85" t="s">
        <v>89</v>
      </c>
      <c r="C85" s="34" t="n">
        <v>0.0000750816889130877</v>
      </c>
      <c r="D85" s="34" t="n">
        <v>0.000481818328061861</v>
      </c>
      <c r="E85" s="34" t="n">
        <v>0.155829873087451</v>
      </c>
      <c r="F85" t="n">
        <v>0.876331693966286</v>
      </c>
      <c r="G85" t="n">
        <v>191</v>
      </c>
      <c r="H85" t="s">
        <v>1487</v>
      </c>
      <c r="I85" s="34" t="n">
        <v>0.0000750816889130877</v>
      </c>
      <c r="J85" s="34" t="n">
        <v>-0.000875286649162121</v>
      </c>
      <c r="K85" s="34" t="n">
        <v>0.0010254500269883</v>
      </c>
      <c r="L85" t="s">
        <v>2119</v>
      </c>
      <c r="M85" t="s">
        <v>434</v>
      </c>
      <c r="N85" t="s">
        <v>1491</v>
      </c>
      <c r="O85" t="s">
        <v>1749</v>
      </c>
      <c r="P85" t="s">
        <v>1581</v>
      </c>
      <c r="Q85"/>
    </row>
    <row r="86">
      <c r="A86" t="s">
        <v>194</v>
      </c>
      <c r="B86" t="s">
        <v>1568</v>
      </c>
      <c r="C86" s="34" t="n">
        <v>-0.108446860153729</v>
      </c>
      <c r="D86" s="34" t="n">
        <v>0.149706328299767</v>
      </c>
      <c r="E86" s="34" t="n">
        <v>-0.724397300938266</v>
      </c>
      <c r="F86" t="n">
        <v>0.469717628439477</v>
      </c>
      <c r="G86" t="n">
        <v>189</v>
      </c>
      <c r="H86"/>
      <c r="I86" s="34"/>
      <c r="J86" s="34"/>
      <c r="K86" s="34"/>
      <c r="L86"/>
      <c r="M86" t="s">
        <v>1654</v>
      </c>
      <c r="N86" t="s">
        <v>1491</v>
      </c>
      <c r="O86" t="s">
        <v>1749</v>
      </c>
      <c r="P86" t="s">
        <v>1581</v>
      </c>
      <c r="Q86"/>
    </row>
    <row r="87">
      <c r="A87" t="s">
        <v>194</v>
      </c>
      <c r="B87" t="s">
        <v>440</v>
      </c>
      <c r="C87" s="34" t="n">
        <v>-0.00772504236008072</v>
      </c>
      <c r="D87" s="34" t="n">
        <v>0.0153207942017417</v>
      </c>
      <c r="E87" s="34" t="n">
        <v>-0.504219445699656</v>
      </c>
      <c r="F87" t="n">
        <v>0.614694466389377</v>
      </c>
      <c r="G87" t="n">
        <v>189</v>
      </c>
      <c r="H87" t="s">
        <v>1487</v>
      </c>
      <c r="I87" s="34" t="n">
        <v>-0.00772504236008072</v>
      </c>
      <c r="J87" s="34" t="n">
        <v>-0.0379467656103352</v>
      </c>
      <c r="K87" s="34" t="n">
        <v>0.0224966808901737</v>
      </c>
      <c r="L87" t="s">
        <v>2057</v>
      </c>
      <c r="M87" t="s">
        <v>1853</v>
      </c>
      <c r="N87" t="s">
        <v>1491</v>
      </c>
      <c r="O87" t="s">
        <v>1749</v>
      </c>
      <c r="P87" t="s">
        <v>1581</v>
      </c>
      <c r="Q87"/>
    </row>
    <row r="88">
      <c r="A88" t="s">
        <v>194</v>
      </c>
      <c r="B88" t="s">
        <v>1480</v>
      </c>
      <c r="C88" s="34" t="n">
        <v>-0.000702753835309502</v>
      </c>
      <c r="D88" s="34" t="n">
        <v>0.00112411985708719</v>
      </c>
      <c r="E88" s="34" t="n">
        <v>-0.625159168641031</v>
      </c>
      <c r="F88" t="n">
        <v>0.532620666021783</v>
      </c>
      <c r="G88" t="n">
        <v>189</v>
      </c>
      <c r="H88" t="s">
        <v>1487</v>
      </c>
      <c r="I88" s="34" t="n">
        <v>-0.000702753835309502</v>
      </c>
      <c r="J88" s="34" t="n">
        <v>-0.00292018713371791</v>
      </c>
      <c r="K88" s="34" t="n">
        <v>0.00151467946309891</v>
      </c>
      <c r="L88" t="s">
        <v>2120</v>
      </c>
      <c r="M88" t="s">
        <v>463</v>
      </c>
      <c r="N88" t="s">
        <v>1491</v>
      </c>
      <c r="O88" t="s">
        <v>1749</v>
      </c>
      <c r="P88" t="s">
        <v>1581</v>
      </c>
      <c r="Q88"/>
    </row>
    <row r="89">
      <c r="A89" t="s">
        <v>194</v>
      </c>
      <c r="B89" t="s">
        <v>55</v>
      </c>
      <c r="C89" s="34" t="n">
        <v>0.00158117564943703</v>
      </c>
      <c r="D89" s="34" t="n">
        <v>0.00465042054338529</v>
      </c>
      <c r="E89" s="34" t="n">
        <v>0.340007024028414</v>
      </c>
      <c r="F89" t="n">
        <v>0.734228807651582</v>
      </c>
      <c r="G89" t="n">
        <v>189</v>
      </c>
      <c r="H89" t="s">
        <v>1487</v>
      </c>
      <c r="I89" s="34" t="n">
        <v>0.00158117564943703</v>
      </c>
      <c r="J89" s="34" t="n">
        <v>-0.00759222103018879</v>
      </c>
      <c r="K89" s="34" t="n">
        <v>0.0107545723290629</v>
      </c>
      <c r="L89" t="s">
        <v>2121</v>
      </c>
      <c r="M89" t="s">
        <v>1766</v>
      </c>
      <c r="N89" t="s">
        <v>1491</v>
      </c>
      <c r="O89" t="s">
        <v>1749</v>
      </c>
      <c r="P89" t="s">
        <v>1581</v>
      </c>
      <c r="Q89"/>
    </row>
    <row r="90">
      <c r="A90" t="s">
        <v>194</v>
      </c>
      <c r="B90" t="s">
        <v>89</v>
      </c>
      <c r="C90" s="34" t="n">
        <v>0.000187783784627249</v>
      </c>
      <c r="D90" s="34" t="n">
        <v>0.000273612976686209</v>
      </c>
      <c r="E90" s="34" t="n">
        <v>0.686311690701014</v>
      </c>
      <c r="F90" t="n">
        <v>0.493357677543039</v>
      </c>
      <c r="G90" t="n">
        <v>189</v>
      </c>
      <c r="H90" t="s">
        <v>1487</v>
      </c>
      <c r="I90" s="34" t="n">
        <v>0.000187783784627249</v>
      </c>
      <c r="J90" s="34" t="n">
        <v>-0.000351943826761779</v>
      </c>
      <c r="K90" s="34" t="n">
        <v>0.000727511396016278</v>
      </c>
      <c r="L90" t="s">
        <v>2122</v>
      </c>
      <c r="M90" t="s">
        <v>502</v>
      </c>
      <c r="N90" t="s">
        <v>1491</v>
      </c>
      <c r="O90" t="s">
        <v>1749</v>
      </c>
      <c r="P90" t="s">
        <v>1581</v>
      </c>
      <c r="Q90"/>
    </row>
    <row r="91">
      <c r="A91" t="s">
        <v>203</v>
      </c>
      <c r="B91" t="s">
        <v>1568</v>
      </c>
      <c r="C91" s="34" t="n">
        <v>-0.297377553373529</v>
      </c>
      <c r="D91" s="34" t="n">
        <v>0.128010186289395</v>
      </c>
      <c r="E91" s="34" t="n">
        <v>-2.32307726434553</v>
      </c>
      <c r="F91" t="n">
        <v>0.0212280536787514</v>
      </c>
      <c r="G91" t="n">
        <v>191</v>
      </c>
      <c r="H91"/>
      <c r="I91" s="34"/>
      <c r="J91" s="34"/>
      <c r="K91" s="34"/>
      <c r="L91"/>
      <c r="M91" t="s">
        <v>372</v>
      </c>
      <c r="N91" t="s">
        <v>1491</v>
      </c>
      <c r="O91" t="s">
        <v>1749</v>
      </c>
      <c r="P91" t="s">
        <v>1581</v>
      </c>
      <c r="Q91"/>
    </row>
    <row r="92">
      <c r="A92" t="s">
        <v>203</v>
      </c>
      <c r="B92" t="s">
        <v>440</v>
      </c>
      <c r="C92" s="34" t="n">
        <v>-0.000544202007577023</v>
      </c>
      <c r="D92" s="34" t="n">
        <v>0.0138198629642772</v>
      </c>
      <c r="E92" s="34" t="n">
        <v>-0.0393782491898599</v>
      </c>
      <c r="F92" t="n">
        <v>0.968629950532405</v>
      </c>
      <c r="G92" t="n">
        <v>191</v>
      </c>
      <c r="H92" t="s">
        <v>1487</v>
      </c>
      <c r="I92" s="34" t="n">
        <v>-0.000544202007577023</v>
      </c>
      <c r="J92" s="34" t="n">
        <v>-0.0278033564084054</v>
      </c>
      <c r="K92" s="34" t="n">
        <v>0.0267149523932513</v>
      </c>
      <c r="L92" t="s">
        <v>1662</v>
      </c>
      <c r="M92" t="s">
        <v>1809</v>
      </c>
      <c r="N92" t="s">
        <v>1491</v>
      </c>
      <c r="O92" t="s">
        <v>1749</v>
      </c>
      <c r="P92" t="s">
        <v>1581</v>
      </c>
      <c r="Q92"/>
    </row>
    <row r="93">
      <c r="A93" t="s">
        <v>203</v>
      </c>
      <c r="B93" t="s">
        <v>1480</v>
      </c>
      <c r="C93" s="34" t="n">
        <v>-0.000833683865903768</v>
      </c>
      <c r="D93" s="34" t="n">
        <v>0.0010599756146532</v>
      </c>
      <c r="E93" s="34" t="n">
        <v>-0.78651230686711</v>
      </c>
      <c r="F93" t="n">
        <v>0.432542157952335</v>
      </c>
      <c r="G93" t="n">
        <v>191</v>
      </c>
      <c r="H93" t="s">
        <v>1487</v>
      </c>
      <c r="I93" s="34" t="n">
        <v>-0.000833683865903768</v>
      </c>
      <c r="J93" s="34" t="n">
        <v>-0.00292444547588733</v>
      </c>
      <c r="K93" s="34" t="n">
        <v>0.0012570777440798</v>
      </c>
      <c r="L93" t="s">
        <v>2123</v>
      </c>
      <c r="M93" t="s">
        <v>484</v>
      </c>
      <c r="N93" t="s">
        <v>1491</v>
      </c>
      <c r="O93" t="s">
        <v>1749</v>
      </c>
      <c r="P93" t="s">
        <v>1581</v>
      </c>
      <c r="Q93"/>
    </row>
    <row r="94">
      <c r="A94" t="s">
        <v>203</v>
      </c>
      <c r="B94" t="s">
        <v>55</v>
      </c>
      <c r="C94" s="34" t="n">
        <v>0.00105812275974078</v>
      </c>
      <c r="D94" s="34" t="n">
        <v>0.00427649818354819</v>
      </c>
      <c r="E94" s="34" t="n">
        <v>0.247427384351854</v>
      </c>
      <c r="F94" t="n">
        <v>0.804843253819938</v>
      </c>
      <c r="G94" t="n">
        <v>191</v>
      </c>
      <c r="H94" t="s">
        <v>1487</v>
      </c>
      <c r="I94" s="34" t="n">
        <v>0.00105812275974078</v>
      </c>
      <c r="J94" s="34" t="n">
        <v>-0.00737710735661653</v>
      </c>
      <c r="K94" s="34" t="n">
        <v>0.0094933528760981</v>
      </c>
      <c r="L94" t="s">
        <v>2124</v>
      </c>
      <c r="M94" t="s">
        <v>540</v>
      </c>
      <c r="N94" t="s">
        <v>1491</v>
      </c>
      <c r="O94" t="s">
        <v>1749</v>
      </c>
      <c r="P94" t="s">
        <v>1581</v>
      </c>
      <c r="Q94"/>
    </row>
    <row r="95">
      <c r="A95" t="s">
        <v>203</v>
      </c>
      <c r="B95" t="s">
        <v>89</v>
      </c>
      <c r="C95" s="34" t="n">
        <v>0.00049035479187156</v>
      </c>
      <c r="D95" s="34" t="n">
        <v>0.000244370265326577</v>
      </c>
      <c r="E95" s="34" t="n">
        <v>2.00660580048988</v>
      </c>
      <c r="F95" t="n">
        <v>0.0462020115285967</v>
      </c>
      <c r="G95" t="n">
        <v>191</v>
      </c>
      <c r="H95" t="s">
        <v>1487</v>
      </c>
      <c r="I95" s="34" t="n">
        <v>0.00049035479187156</v>
      </c>
      <c r="J95" s="34" t="n">
        <v>0.00000834373208555869</v>
      </c>
      <c r="K95" s="34" t="n">
        <v>0.000972365851657561</v>
      </c>
      <c r="L95" t="s">
        <v>2125</v>
      </c>
      <c r="M95" t="s">
        <v>1544</v>
      </c>
      <c r="N95" t="s">
        <v>1491</v>
      </c>
      <c r="O95" t="s">
        <v>1749</v>
      </c>
      <c r="P95" t="s">
        <v>1581</v>
      </c>
      <c r="Q95"/>
    </row>
    <row r="96">
      <c r="A96" t="s">
        <v>212</v>
      </c>
      <c r="B96"/>
      <c r="C96" s="34"/>
      <c r="D96" s="34"/>
      <c r="E96" s="34"/>
      <c r="F96"/>
      <c r="G96"/>
      <c r="H96"/>
      <c r="I96" s="34"/>
      <c r="J96" s="34"/>
      <c r="K96" s="34"/>
      <c r="L96"/>
      <c r="M96" t="s">
        <v>109</v>
      </c>
      <c r="N96"/>
      <c r="O96" t="s">
        <v>1515</v>
      </c>
      <c r="P96"/>
      <c r="Q96"/>
    </row>
    <row r="97">
      <c r="A97" t="s">
        <v>216</v>
      </c>
      <c r="B97"/>
      <c r="C97" s="34"/>
      <c r="D97" s="34"/>
      <c r="E97" s="34"/>
      <c r="F97"/>
      <c r="G97"/>
      <c r="H97"/>
      <c r="I97" s="34"/>
      <c r="J97" s="34"/>
      <c r="K97" s="34"/>
      <c r="L97"/>
      <c r="M97" t="s">
        <v>109</v>
      </c>
      <c r="N97"/>
      <c r="O97" t="s">
        <v>1515</v>
      </c>
      <c r="P97"/>
      <c r="Q97"/>
    </row>
    <row r="98">
      <c r="A98" t="s">
        <v>1556</v>
      </c>
      <c r="B98" t="s">
        <v>1568</v>
      </c>
      <c r="C98" s="34" t="n">
        <v>3.22716860153627</v>
      </c>
      <c r="D98" s="34" t="n">
        <v>3.91826145798052</v>
      </c>
      <c r="E98" s="34" t="n">
        <v>0.82362257754988</v>
      </c>
      <c r="F98" t="n">
        <v>0.411181266600069</v>
      </c>
      <c r="G98" t="n">
        <v>191</v>
      </c>
      <c r="H98"/>
      <c r="I98" s="34"/>
      <c r="J98" s="34"/>
      <c r="K98" s="34"/>
      <c r="L98"/>
      <c r="M98" t="s">
        <v>1615</v>
      </c>
      <c r="N98" t="s">
        <v>1491</v>
      </c>
      <c r="O98" t="s">
        <v>1786</v>
      </c>
      <c r="P98" t="s">
        <v>1581</v>
      </c>
      <c r="Q98"/>
    </row>
    <row r="99">
      <c r="A99" t="s">
        <v>1556</v>
      </c>
      <c r="B99" t="s">
        <v>440</v>
      </c>
      <c r="C99" s="34" t="n">
        <v>0.924960125482733</v>
      </c>
      <c r="D99" s="34" t="n">
        <v>0.386603215448662</v>
      </c>
      <c r="E99" s="34" t="n">
        <v>2.39253086503509</v>
      </c>
      <c r="F99" t="n">
        <v>0.0177020766935444</v>
      </c>
      <c r="G99" t="n">
        <v>191</v>
      </c>
      <c r="H99" t="s">
        <v>1520</v>
      </c>
      <c r="I99" s="34" t="n">
        <v>2.52176770408349</v>
      </c>
      <c r="J99" s="34" t="n">
        <v>1.17633065348841</v>
      </c>
      <c r="K99" s="34" t="n">
        <v>5.40605852147092</v>
      </c>
      <c r="L99" t="s">
        <v>2126</v>
      </c>
      <c r="M99" t="s">
        <v>372</v>
      </c>
      <c r="N99" t="s">
        <v>1491</v>
      </c>
      <c r="O99" t="s">
        <v>1786</v>
      </c>
      <c r="P99" t="s">
        <v>1581</v>
      </c>
      <c r="Q99"/>
    </row>
    <row r="100">
      <c r="A100" t="s">
        <v>1556</v>
      </c>
      <c r="B100" t="s">
        <v>1480</v>
      </c>
      <c r="C100" s="34" t="n">
        <v>0.0565845048620383</v>
      </c>
      <c r="D100" s="34" t="n">
        <v>0.0244459778698284</v>
      </c>
      <c r="E100" s="34" t="n">
        <v>2.31467545145231</v>
      </c>
      <c r="F100" t="n">
        <v>0.021693869046434</v>
      </c>
      <c r="G100" t="n">
        <v>191</v>
      </c>
      <c r="H100" t="s">
        <v>1520</v>
      </c>
      <c r="I100" s="34" t="n">
        <v>1.05821603542201</v>
      </c>
      <c r="J100" s="34" t="n">
        <v>1.00840083332142</v>
      </c>
      <c r="K100" s="34" t="n">
        <v>1.11049211843259</v>
      </c>
      <c r="L100" t="s">
        <v>2127</v>
      </c>
      <c r="M100" t="s">
        <v>372</v>
      </c>
      <c r="N100" t="s">
        <v>1491</v>
      </c>
      <c r="O100" t="s">
        <v>1786</v>
      </c>
      <c r="P100" t="s">
        <v>1581</v>
      </c>
      <c r="Q100"/>
    </row>
    <row r="101">
      <c r="A101" t="s">
        <v>1556</v>
      </c>
      <c r="B101" t="s">
        <v>55</v>
      </c>
      <c r="C101" s="34" t="n">
        <v>-0.102382444028855</v>
      </c>
      <c r="D101" s="34" t="n">
        <v>0.121134800679286</v>
      </c>
      <c r="E101" s="34" t="n">
        <v>-0.84519430795054</v>
      </c>
      <c r="F101" t="n">
        <v>0.399059864953579</v>
      </c>
      <c r="G101" t="n">
        <v>191</v>
      </c>
      <c r="H101" t="s">
        <v>1520</v>
      </c>
      <c r="I101" s="34" t="n">
        <v>0.902684259440645</v>
      </c>
      <c r="J101" s="34" t="n">
        <v>0.710834082749417</v>
      </c>
      <c r="K101" s="34" t="n">
        <v>1.14631373483136</v>
      </c>
      <c r="L101" t="s">
        <v>2128</v>
      </c>
      <c r="M101" t="s">
        <v>1620</v>
      </c>
      <c r="N101" t="s">
        <v>1491</v>
      </c>
      <c r="O101" t="s">
        <v>1786</v>
      </c>
      <c r="P101" t="s">
        <v>1581</v>
      </c>
      <c r="Q101"/>
    </row>
    <row r="102">
      <c r="A102" t="s">
        <v>1556</v>
      </c>
      <c r="B102" t="s">
        <v>89</v>
      </c>
      <c r="C102" s="34" t="n">
        <v>-0.0140904235860813</v>
      </c>
      <c r="D102" s="34" t="n">
        <v>0.00783729294550653</v>
      </c>
      <c r="E102" s="34" t="n">
        <v>-1.79786868808572</v>
      </c>
      <c r="F102" t="n">
        <v>0.073777191227504</v>
      </c>
      <c r="G102" t="n">
        <v>191</v>
      </c>
      <c r="H102" t="s">
        <v>1520</v>
      </c>
      <c r="I102" s="34" t="n">
        <v>0.986008381817938</v>
      </c>
      <c r="J102" s="34" t="n">
        <v>0.970883122586424</v>
      </c>
      <c r="K102" s="34" t="n">
        <v>1.00136927545436</v>
      </c>
      <c r="L102" t="s">
        <v>2129</v>
      </c>
      <c r="M102" t="s">
        <v>72</v>
      </c>
      <c r="N102" t="s">
        <v>1491</v>
      </c>
      <c r="O102" t="s">
        <v>1786</v>
      </c>
      <c r="P102" t="s">
        <v>1581</v>
      </c>
      <c r="Q102"/>
    </row>
    <row r="103">
      <c r="A103" t="s">
        <v>1561</v>
      </c>
      <c r="B103" t="s">
        <v>1568</v>
      </c>
      <c r="C103" s="34" t="n">
        <v>0.960929353964677</v>
      </c>
      <c r="D103" s="34" t="n">
        <v>4.24308345103042</v>
      </c>
      <c r="E103" s="34" t="n">
        <v>0.226469586340876</v>
      </c>
      <c r="F103" t="n">
        <v>0.821078394747992</v>
      </c>
      <c r="G103" t="n">
        <v>191</v>
      </c>
      <c r="H103"/>
      <c r="I103" s="34"/>
      <c r="J103" s="34"/>
      <c r="K103" s="34"/>
      <c r="L103"/>
      <c r="M103" t="s">
        <v>532</v>
      </c>
      <c r="N103" t="s">
        <v>1491</v>
      </c>
      <c r="O103" t="s">
        <v>1786</v>
      </c>
      <c r="P103" t="s">
        <v>1581</v>
      </c>
      <c r="Q103"/>
    </row>
    <row r="104">
      <c r="A104" t="s">
        <v>1561</v>
      </c>
      <c r="B104" t="s">
        <v>440</v>
      </c>
      <c r="C104" s="34" t="n">
        <v>0.00305713358693378</v>
      </c>
      <c r="D104" s="34" t="n">
        <v>0.461201133717347</v>
      </c>
      <c r="E104" s="34" t="n">
        <v>0.00662863415424167</v>
      </c>
      <c r="F104" t="n">
        <v>0.994718072095944</v>
      </c>
      <c r="G104" t="n">
        <v>191</v>
      </c>
      <c r="H104" t="s">
        <v>1520</v>
      </c>
      <c r="I104" s="34" t="n">
        <v>1.00306181138549</v>
      </c>
      <c r="J104" s="34" t="n">
        <v>0.403877133487196</v>
      </c>
      <c r="K104" s="34" t="n">
        <v>2.49118584350811</v>
      </c>
      <c r="L104" t="s">
        <v>2130</v>
      </c>
      <c r="M104" t="s">
        <v>386</v>
      </c>
      <c r="N104" t="s">
        <v>1491</v>
      </c>
      <c r="O104" t="s">
        <v>1786</v>
      </c>
      <c r="P104" t="s">
        <v>1581</v>
      </c>
      <c r="Q104"/>
    </row>
    <row r="105">
      <c r="A105" t="s">
        <v>1561</v>
      </c>
      <c r="B105" t="s">
        <v>1480</v>
      </c>
      <c r="C105" s="34" t="n">
        <v>-0.0113047518793111</v>
      </c>
      <c r="D105" s="34" t="n">
        <v>0.0401494489840761</v>
      </c>
      <c r="E105" s="34" t="n">
        <v>-0.281566800176878</v>
      </c>
      <c r="F105" t="n">
        <v>0.77858051995026</v>
      </c>
      <c r="G105" t="n">
        <v>191</v>
      </c>
      <c r="H105" t="s">
        <v>1520</v>
      </c>
      <c r="I105" s="34" t="n">
        <v>0.988758906720842</v>
      </c>
      <c r="J105" s="34" t="n">
        <v>0.913476148144539</v>
      </c>
      <c r="K105" s="34" t="n">
        <v>1.07024598026516</v>
      </c>
      <c r="L105" t="s">
        <v>2131</v>
      </c>
      <c r="M105" t="s">
        <v>1990</v>
      </c>
      <c r="N105" t="s">
        <v>1491</v>
      </c>
      <c r="O105" t="s">
        <v>1786</v>
      </c>
      <c r="P105" t="s">
        <v>1581</v>
      </c>
      <c r="Q105"/>
    </row>
    <row r="106">
      <c r="A106" t="s">
        <v>1561</v>
      </c>
      <c r="B106" t="s">
        <v>55</v>
      </c>
      <c r="C106" s="34" t="n">
        <v>0.00992425513047241</v>
      </c>
      <c r="D106" s="34" t="n">
        <v>0.161446687043186</v>
      </c>
      <c r="E106" s="34" t="n">
        <v>0.0614707883588699</v>
      </c>
      <c r="F106" t="n">
        <v>0.951048553493526</v>
      </c>
      <c r="G106" t="n">
        <v>191</v>
      </c>
      <c r="H106" t="s">
        <v>1520</v>
      </c>
      <c r="I106" s="34" t="n">
        <v>1.00997366386345</v>
      </c>
      <c r="J106" s="34" t="n">
        <v>0.734530912033125</v>
      </c>
      <c r="K106" s="34" t="n">
        <v>1.38870507011657</v>
      </c>
      <c r="L106" t="s">
        <v>2132</v>
      </c>
      <c r="M106" t="s">
        <v>544</v>
      </c>
      <c r="N106" t="s">
        <v>1491</v>
      </c>
      <c r="O106" t="s">
        <v>1786</v>
      </c>
      <c r="P106" t="s">
        <v>1581</v>
      </c>
      <c r="Q106"/>
    </row>
    <row r="107">
      <c r="A107" t="s">
        <v>1561</v>
      </c>
      <c r="B107" t="s">
        <v>89</v>
      </c>
      <c r="C107" s="34" t="n">
        <v>-0.00550390348704469</v>
      </c>
      <c r="D107" s="34" t="n">
        <v>0.00818791481975729</v>
      </c>
      <c r="E107" s="34" t="n">
        <v>-0.672198430028103</v>
      </c>
      <c r="F107" t="n">
        <v>0.502269702329143</v>
      </c>
      <c r="G107" t="n">
        <v>191</v>
      </c>
      <c r="H107" t="s">
        <v>1520</v>
      </c>
      <c r="I107" s="34" t="n">
        <v>0.994511215239698</v>
      </c>
      <c r="J107" s="34" t="n">
        <v>0.97857851593659</v>
      </c>
      <c r="K107" s="34" t="n">
        <v>1.0107033223501</v>
      </c>
      <c r="L107" t="s">
        <v>2133</v>
      </c>
      <c r="M107" t="s">
        <v>2010</v>
      </c>
      <c r="N107" t="s">
        <v>1491</v>
      </c>
      <c r="O107" t="s">
        <v>1786</v>
      </c>
      <c r="P107" t="s">
        <v>1581</v>
      </c>
      <c r="Q107"/>
    </row>
    <row r="108">
      <c r="A108" t="s">
        <v>1567</v>
      </c>
      <c r="B108"/>
      <c r="C108" s="34"/>
      <c r="D108" s="34"/>
      <c r="E108" s="34"/>
      <c r="F108"/>
      <c r="G108"/>
      <c r="H108"/>
      <c r="I108" s="34"/>
      <c r="J108" s="34"/>
      <c r="K108" s="34"/>
      <c r="L108"/>
      <c r="M108" t="s">
        <v>109</v>
      </c>
      <c r="N108"/>
      <c r="O108" t="s">
        <v>1530</v>
      </c>
      <c r="P108"/>
      <c r="Q108"/>
    </row>
  </sheetData>
  <pageMargins left="0.7" right="0.7" top="0.75" bottom="0.75" header="0.3" footer="0.3"/>
  <pageSetup paperSize="9" orientation="portrait" horizontalDpi="300" verticalDpi="300"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0" t="s">
        <v>1682</v>
      </c>
    </row>
    <row r="3">
      <c r="A3" s="1" t="s">
        <v>2134</v>
      </c>
    </row>
    <row r="4">
      <c r="A4" t="s">
        <v>1465</v>
      </c>
      <c r="B4" t="s">
        <v>377</v>
      </c>
      <c r="C4" t="s">
        <v>164</v>
      </c>
      <c r="D4" t="s">
        <v>41</v>
      </c>
      <c r="E4" t="s">
        <v>1685</v>
      </c>
      <c r="F4" t="s">
        <v>1686</v>
      </c>
      <c r="G4" t="s">
        <v>1688</v>
      </c>
      <c r="H4" t="s">
        <v>1</v>
      </c>
    </row>
    <row r="5">
      <c r="A5" t="s">
        <v>167</v>
      </c>
      <c r="B5" t="s">
        <v>440</v>
      </c>
      <c r="C5" t="s">
        <v>2109</v>
      </c>
      <c r="D5" t="s">
        <v>122</v>
      </c>
      <c r="E5" t="s">
        <v>2051</v>
      </c>
      <c r="F5" t="s">
        <v>433</v>
      </c>
      <c r="G5" t="s">
        <v>2135</v>
      </c>
      <c r="H5" t="s">
        <v>109</v>
      </c>
    </row>
    <row r="6">
      <c r="A6" t="s">
        <v>177</v>
      </c>
      <c r="B6" t="s">
        <v>440</v>
      </c>
      <c r="C6" t="s">
        <v>2113</v>
      </c>
      <c r="D6" t="s">
        <v>449</v>
      </c>
      <c r="E6" t="s">
        <v>2053</v>
      </c>
      <c r="F6" t="s">
        <v>414</v>
      </c>
      <c r="G6" t="s">
        <v>2135</v>
      </c>
      <c r="H6" t="s">
        <v>109</v>
      </c>
    </row>
    <row r="7">
      <c r="A7" t="s">
        <v>185</v>
      </c>
      <c r="B7" t="s">
        <v>440</v>
      </c>
      <c r="C7" t="s">
        <v>2055</v>
      </c>
      <c r="D7" t="s">
        <v>444</v>
      </c>
      <c r="E7" t="s">
        <v>2055</v>
      </c>
      <c r="F7" t="s">
        <v>546</v>
      </c>
      <c r="G7" t="s">
        <v>2135</v>
      </c>
      <c r="H7" t="s">
        <v>109</v>
      </c>
    </row>
    <row r="8">
      <c r="A8" t="s">
        <v>194</v>
      </c>
      <c r="B8" t="s">
        <v>440</v>
      </c>
      <c r="C8" t="s">
        <v>2057</v>
      </c>
      <c r="D8" t="s">
        <v>1853</v>
      </c>
      <c r="E8" t="s">
        <v>2057</v>
      </c>
      <c r="F8" t="s">
        <v>494</v>
      </c>
      <c r="G8" t="s">
        <v>2136</v>
      </c>
      <c r="H8" t="s">
        <v>109</v>
      </c>
    </row>
    <row r="9">
      <c r="A9" t="s">
        <v>203</v>
      </c>
      <c r="B9" t="s">
        <v>440</v>
      </c>
      <c r="C9" t="s">
        <v>1662</v>
      </c>
      <c r="D9" t="s">
        <v>1809</v>
      </c>
      <c r="E9" t="s">
        <v>1662</v>
      </c>
      <c r="F9" t="s">
        <v>386</v>
      </c>
      <c r="G9" t="s">
        <v>2135</v>
      </c>
      <c r="H9" t="s">
        <v>109</v>
      </c>
    </row>
    <row r="10">
      <c r="A10" t="s">
        <v>212</v>
      </c>
      <c r="B10" t="s">
        <v>109</v>
      </c>
      <c r="C10" t="s">
        <v>109</v>
      </c>
      <c r="D10" t="s">
        <v>109</v>
      </c>
      <c r="E10" t="s">
        <v>109</v>
      </c>
      <c r="F10" t="s">
        <v>109</v>
      </c>
      <c r="G10"/>
      <c r="H10" t="s">
        <v>1695</v>
      </c>
    </row>
    <row r="11">
      <c r="A11" t="s">
        <v>216</v>
      </c>
      <c r="B11" t="s">
        <v>109</v>
      </c>
      <c r="C11" t="s">
        <v>109</v>
      </c>
      <c r="D11" t="s">
        <v>109</v>
      </c>
      <c r="E11" t="s">
        <v>109</v>
      </c>
      <c r="F11" t="s">
        <v>109</v>
      </c>
      <c r="G11"/>
      <c r="H11" t="s">
        <v>1695</v>
      </c>
    </row>
    <row r="12">
      <c r="A12" t="s">
        <v>1556</v>
      </c>
      <c r="B12" t="s">
        <v>440</v>
      </c>
      <c r="C12" t="s">
        <v>2126</v>
      </c>
      <c r="D12" t="s">
        <v>372</v>
      </c>
      <c r="E12" t="s">
        <v>2060</v>
      </c>
      <c r="F12" t="s">
        <v>372</v>
      </c>
      <c r="G12" t="s">
        <v>2137</v>
      </c>
      <c r="H12" t="s">
        <v>109</v>
      </c>
    </row>
    <row r="13">
      <c r="A13" t="s">
        <v>1561</v>
      </c>
      <c r="B13" t="s">
        <v>440</v>
      </c>
      <c r="C13" t="s">
        <v>2130</v>
      </c>
      <c r="D13" t="s">
        <v>386</v>
      </c>
      <c r="E13" t="s">
        <v>2062</v>
      </c>
      <c r="F13" t="s">
        <v>1566</v>
      </c>
      <c r="G13" t="s">
        <v>2138</v>
      </c>
      <c r="H13" t="s">
        <v>2139</v>
      </c>
    </row>
    <row r="14">
      <c r="A14" t="s">
        <v>1567</v>
      </c>
      <c r="B14" t="s">
        <v>109</v>
      </c>
      <c r="C14" t="s">
        <v>109</v>
      </c>
      <c r="D14" t="s">
        <v>109</v>
      </c>
      <c r="E14" t="s">
        <v>109</v>
      </c>
      <c r="F14" t="s">
        <v>109</v>
      </c>
      <c r="G14"/>
      <c r="H14" t="s">
        <v>1702</v>
      </c>
    </row>
    <row r="16">
      <c r="A16" s="1" t="s">
        <v>1882</v>
      </c>
    </row>
    <row r="17">
      <c r="A17" t="s">
        <v>1465</v>
      </c>
      <c r="B17" t="s">
        <v>1466</v>
      </c>
      <c r="C17" t="s">
        <v>1467</v>
      </c>
      <c r="D17" t="s">
        <v>1468</v>
      </c>
      <c r="E17" t="s">
        <v>1469</v>
      </c>
      <c r="F17" t="s">
        <v>1470</v>
      </c>
      <c r="G17" t="s">
        <v>1471</v>
      </c>
      <c r="H17" t="s">
        <v>1472</v>
      </c>
      <c r="I17" t="s">
        <v>1473</v>
      </c>
      <c r="J17" t="s">
        <v>1474</v>
      </c>
      <c r="K17" t="s">
        <v>1475</v>
      </c>
      <c r="L17" t="s">
        <v>1476</v>
      </c>
      <c r="M17" t="s">
        <v>41</v>
      </c>
      <c r="N17" t="s">
        <v>1477</v>
      </c>
      <c r="O17" t="s">
        <v>1478</v>
      </c>
    </row>
    <row r="18">
      <c r="A18" t="s">
        <v>167</v>
      </c>
      <c r="B18" t="s">
        <v>1568</v>
      </c>
      <c r="C18" s="35" t="n">
        <v>172.061222367098</v>
      </c>
      <c r="D18" s="35" t="n">
        <v>14.9973037512926</v>
      </c>
      <c r="E18" s="35" t="n">
        <v>11.4728103944863</v>
      </c>
      <c r="F18" t="n">
        <v>0.0000000000000000000000162294904270438</v>
      </c>
      <c r="G18" t="n">
        <v>191</v>
      </c>
      <c r="H18"/>
      <c r="I18" s="35"/>
      <c r="J18" s="35"/>
      <c r="K18" s="35"/>
      <c r="L18"/>
      <c r="M18" t="s">
        <v>50</v>
      </c>
      <c r="N18" t="s">
        <v>1491</v>
      </c>
      <c r="O18" t="s">
        <v>1883</v>
      </c>
    </row>
    <row r="19">
      <c r="A19" t="s">
        <v>167</v>
      </c>
      <c r="B19" t="s">
        <v>440</v>
      </c>
      <c r="C19" s="35" t="n">
        <v>-2.87160189324371</v>
      </c>
      <c r="D19" s="35" t="n">
        <v>1.65809200224775</v>
      </c>
      <c r="E19" s="35" t="n">
        <v>-1.73187126489416</v>
      </c>
      <c r="F19" t="n">
        <v>0.0849109941046372</v>
      </c>
      <c r="G19" t="n">
        <v>191</v>
      </c>
      <c r="H19" t="s">
        <v>1487</v>
      </c>
      <c r="I19" s="35" t="n">
        <v>-2.87160189324371</v>
      </c>
      <c r="J19" s="35" t="n">
        <v>-6.14212534321441</v>
      </c>
      <c r="K19" s="35" t="n">
        <v>0.398921556726989</v>
      </c>
      <c r="L19" t="s">
        <v>2109</v>
      </c>
      <c r="M19" t="s">
        <v>122</v>
      </c>
      <c r="N19" t="s">
        <v>1491</v>
      </c>
      <c r="O19" t="s">
        <v>1883</v>
      </c>
    </row>
    <row r="20">
      <c r="A20" t="s">
        <v>167</v>
      </c>
      <c r="B20" t="s">
        <v>1480</v>
      </c>
      <c r="C20" s="35" t="n">
        <v>-0.126231007083332</v>
      </c>
      <c r="D20" s="35" t="n">
        <v>0.118358354431442</v>
      </c>
      <c r="E20" s="35" t="n">
        <v>-1.06651539462261</v>
      </c>
      <c r="F20" t="n">
        <v>0.287536968091713</v>
      </c>
      <c r="G20" t="n">
        <v>191</v>
      </c>
      <c r="H20" t="s">
        <v>1487</v>
      </c>
      <c r="I20" s="35" t="n">
        <v>-0.126231007083332</v>
      </c>
      <c r="J20" s="35" t="n">
        <v>-0.359688362370747</v>
      </c>
      <c r="K20" s="35" t="n">
        <v>0.107226348204083</v>
      </c>
      <c r="L20" t="s">
        <v>2110</v>
      </c>
      <c r="M20" t="s">
        <v>114</v>
      </c>
      <c r="N20" t="s">
        <v>1491</v>
      </c>
      <c r="O20" t="s">
        <v>1883</v>
      </c>
    </row>
    <row r="21">
      <c r="A21" t="s">
        <v>167</v>
      </c>
      <c r="B21" t="s">
        <v>55</v>
      </c>
      <c r="C21" s="35" t="n">
        <v>0.747602887379903</v>
      </c>
      <c r="D21" s="35" t="n">
        <v>0.486753629805087</v>
      </c>
      <c r="E21" s="35" t="n">
        <v>1.53589586518188</v>
      </c>
      <c r="F21" t="n">
        <v>0.126218785883421</v>
      </c>
      <c r="G21" t="n">
        <v>191</v>
      </c>
      <c r="H21" t="s">
        <v>1487</v>
      </c>
      <c r="I21" s="35" t="n">
        <v>0.747602887379903</v>
      </c>
      <c r="J21" s="35" t="n">
        <v>-0.21250014579185</v>
      </c>
      <c r="K21" s="35" t="n">
        <v>1.70770592055166</v>
      </c>
      <c r="L21" t="s">
        <v>2111</v>
      </c>
      <c r="M21" t="s">
        <v>189</v>
      </c>
      <c r="N21" t="s">
        <v>1491</v>
      </c>
      <c r="O21" t="s">
        <v>1883</v>
      </c>
    </row>
    <row r="22">
      <c r="A22" t="s">
        <v>167</v>
      </c>
      <c r="B22" t="s">
        <v>89</v>
      </c>
      <c r="C22" s="35" t="n">
        <v>0.0300211988789956</v>
      </c>
      <c r="D22" s="35" t="n">
        <v>0.0289815131703995</v>
      </c>
      <c r="E22" s="35" t="n">
        <v>1.03587410024049</v>
      </c>
      <c r="F22" t="n">
        <v>0.301570581432414</v>
      </c>
      <c r="G22" t="n">
        <v>191</v>
      </c>
      <c r="H22" t="s">
        <v>1487</v>
      </c>
      <c r="I22" s="35" t="n">
        <v>0.0300211988789956</v>
      </c>
      <c r="J22" s="35" t="n">
        <v>-0.0271437342555551</v>
      </c>
      <c r="K22" s="35" t="n">
        <v>0.0871861320135464</v>
      </c>
      <c r="L22" t="s">
        <v>2112</v>
      </c>
      <c r="M22" t="s">
        <v>479</v>
      </c>
      <c r="N22" t="s">
        <v>1491</v>
      </c>
      <c r="O22" t="s">
        <v>1883</v>
      </c>
    </row>
    <row r="23">
      <c r="A23" t="s">
        <v>177</v>
      </c>
      <c r="B23" t="s">
        <v>1568</v>
      </c>
      <c r="C23" s="35" t="n">
        <v>-0.225434746815831</v>
      </c>
      <c r="D23" s="35" t="n">
        <v>0.456071960832643</v>
      </c>
      <c r="E23" s="35" t="n">
        <v>-0.494296440421943</v>
      </c>
      <c r="F23" t="n">
        <v>0.621664857140083</v>
      </c>
      <c r="G23" t="n">
        <v>191</v>
      </c>
      <c r="H23"/>
      <c r="I23" s="35"/>
      <c r="J23" s="35"/>
      <c r="K23" s="35"/>
      <c r="L23"/>
      <c r="M23" t="s">
        <v>1523</v>
      </c>
      <c r="N23" t="s">
        <v>1491</v>
      </c>
      <c r="O23" t="s">
        <v>1883</v>
      </c>
    </row>
    <row r="24">
      <c r="A24" t="s">
        <v>177</v>
      </c>
      <c r="B24" t="s">
        <v>440</v>
      </c>
      <c r="C24" s="35" t="n">
        <v>-0.0610775514192025</v>
      </c>
      <c r="D24" s="35" t="n">
        <v>0.0491939307339966</v>
      </c>
      <c r="E24" s="35" t="n">
        <v>-1.24156680525212</v>
      </c>
      <c r="F24" t="n">
        <v>0.215918961228539</v>
      </c>
      <c r="G24" t="n">
        <v>191</v>
      </c>
      <c r="H24" t="s">
        <v>1487</v>
      </c>
      <c r="I24" s="35" t="n">
        <v>-0.0610775514192025</v>
      </c>
      <c r="J24" s="35" t="n">
        <v>-0.158110709919252</v>
      </c>
      <c r="K24" s="35" t="n">
        <v>0.0359556070808467</v>
      </c>
      <c r="L24" t="s">
        <v>2113</v>
      </c>
      <c r="M24" t="s">
        <v>449</v>
      </c>
      <c r="N24" t="s">
        <v>1491</v>
      </c>
      <c r="O24" t="s">
        <v>1883</v>
      </c>
    </row>
    <row r="25">
      <c r="A25" t="s">
        <v>177</v>
      </c>
      <c r="B25" t="s">
        <v>1480</v>
      </c>
      <c r="C25" s="35" t="n">
        <v>-0.0120198381897172</v>
      </c>
      <c r="D25" s="35" t="n">
        <v>0.00299454951268189</v>
      </c>
      <c r="E25" s="35" t="n">
        <v>-4.01390530990165</v>
      </c>
      <c r="F25" t="n">
        <v>0.0000857227656962364</v>
      </c>
      <c r="G25" t="n">
        <v>191</v>
      </c>
      <c r="H25" t="s">
        <v>1487</v>
      </c>
      <c r="I25" s="35" t="n">
        <v>-0.0120198381897172</v>
      </c>
      <c r="J25" s="35" t="n">
        <v>-0.0179264732799582</v>
      </c>
      <c r="K25" s="35" t="n">
        <v>-0.00611320309947627</v>
      </c>
      <c r="L25" t="s">
        <v>2114</v>
      </c>
      <c r="M25" t="s">
        <v>50</v>
      </c>
      <c r="N25" t="s">
        <v>1491</v>
      </c>
      <c r="O25" t="s">
        <v>1883</v>
      </c>
    </row>
    <row r="26">
      <c r="A26" t="s">
        <v>177</v>
      </c>
      <c r="B26" t="s">
        <v>55</v>
      </c>
      <c r="C26" s="35" t="n">
        <v>0.0367569626906258</v>
      </c>
      <c r="D26" s="35" t="n">
        <v>0.016128731130363</v>
      </c>
      <c r="E26" s="35" t="n">
        <v>2.27897423507974</v>
      </c>
      <c r="F26" t="n">
        <v>0.023774659769878</v>
      </c>
      <c r="G26" t="n">
        <v>191</v>
      </c>
      <c r="H26" t="s">
        <v>1487</v>
      </c>
      <c r="I26" s="35" t="n">
        <v>0.0367569626906258</v>
      </c>
      <c r="J26" s="35" t="n">
        <v>0.00494365359280974</v>
      </c>
      <c r="K26" s="35" t="n">
        <v>0.068570271788442</v>
      </c>
      <c r="L26" t="s">
        <v>2115</v>
      </c>
      <c r="M26" t="s">
        <v>372</v>
      </c>
      <c r="N26" t="s">
        <v>1491</v>
      </c>
      <c r="O26" t="s">
        <v>1883</v>
      </c>
    </row>
    <row r="27">
      <c r="A27" t="s">
        <v>177</v>
      </c>
      <c r="B27" t="s">
        <v>89</v>
      </c>
      <c r="C27" s="35" t="n">
        <v>0.00152943745216209</v>
      </c>
      <c r="D27" s="35" t="n">
        <v>0.000846807568262891</v>
      </c>
      <c r="E27" s="35" t="n">
        <v>1.80612161426417</v>
      </c>
      <c r="F27" t="n">
        <v>0.0724736319244002</v>
      </c>
      <c r="G27" t="n">
        <v>191</v>
      </c>
      <c r="H27" t="s">
        <v>1487</v>
      </c>
      <c r="I27" s="35" t="n">
        <v>0.00152943745216209</v>
      </c>
      <c r="J27" s="35" t="n">
        <v>-0.000140858288883668</v>
      </c>
      <c r="K27" s="35" t="n">
        <v>0.00319973319320784</v>
      </c>
      <c r="L27" t="s">
        <v>2116</v>
      </c>
      <c r="M27" t="s">
        <v>72</v>
      </c>
      <c r="N27" t="s">
        <v>1491</v>
      </c>
      <c r="O27" t="s">
        <v>1883</v>
      </c>
    </row>
    <row r="28">
      <c r="A28" t="s">
        <v>185</v>
      </c>
      <c r="B28" t="s">
        <v>1568</v>
      </c>
      <c r="C28" s="35" t="n">
        <v>-0.342264228764567</v>
      </c>
      <c r="D28" s="35" t="n">
        <v>0.268730138252834</v>
      </c>
      <c r="E28" s="35" t="n">
        <v>-1.2736354433106</v>
      </c>
      <c r="F28" t="n">
        <v>0.204340388454946</v>
      </c>
      <c r="G28" t="n">
        <v>191</v>
      </c>
      <c r="H28"/>
      <c r="I28" s="35"/>
      <c r="J28" s="35"/>
      <c r="K28" s="35"/>
      <c r="L28"/>
      <c r="M28" t="s">
        <v>129</v>
      </c>
      <c r="N28" t="s">
        <v>1491</v>
      </c>
      <c r="O28" t="s">
        <v>1883</v>
      </c>
    </row>
    <row r="29">
      <c r="A29" t="s">
        <v>185</v>
      </c>
      <c r="B29" t="s">
        <v>440</v>
      </c>
      <c r="C29" s="35" t="n">
        <v>0.00928292261990909</v>
      </c>
      <c r="D29" s="35" t="n">
        <v>0.030891449906121</v>
      </c>
      <c r="E29" s="35" t="n">
        <v>0.300501357110781</v>
      </c>
      <c r="F29" t="n">
        <v>0.764121593302204</v>
      </c>
      <c r="G29" t="n">
        <v>191</v>
      </c>
      <c r="H29" t="s">
        <v>1487</v>
      </c>
      <c r="I29" s="35" t="n">
        <v>0.00928292261990909</v>
      </c>
      <c r="J29" s="35" t="n">
        <v>-0.0516492881287125</v>
      </c>
      <c r="K29" s="35" t="n">
        <v>0.0702151333685307</v>
      </c>
      <c r="L29" t="s">
        <v>2055</v>
      </c>
      <c r="M29" t="s">
        <v>444</v>
      </c>
      <c r="N29" t="s">
        <v>1491</v>
      </c>
      <c r="O29" t="s">
        <v>1883</v>
      </c>
    </row>
    <row r="30">
      <c r="A30" t="s">
        <v>185</v>
      </c>
      <c r="B30" t="s">
        <v>1480</v>
      </c>
      <c r="C30" s="35" t="n">
        <v>0.000185309766247855</v>
      </c>
      <c r="D30" s="35" t="n">
        <v>0.00228590666186629</v>
      </c>
      <c r="E30" s="35" t="n">
        <v>0.0810661998318696</v>
      </c>
      <c r="F30" t="n">
        <v>0.935474188045111</v>
      </c>
      <c r="G30" t="n">
        <v>191</v>
      </c>
      <c r="H30" t="s">
        <v>1487</v>
      </c>
      <c r="I30" s="35" t="n">
        <v>0.000185309766247855</v>
      </c>
      <c r="J30" s="35" t="n">
        <v>-0.00432355423643905</v>
      </c>
      <c r="K30" s="35" t="n">
        <v>0.00469417376893476</v>
      </c>
      <c r="L30" t="s">
        <v>2117</v>
      </c>
      <c r="M30" t="s">
        <v>447</v>
      </c>
      <c r="N30" t="s">
        <v>1491</v>
      </c>
      <c r="O30" t="s">
        <v>1883</v>
      </c>
    </row>
    <row r="31">
      <c r="A31" t="s">
        <v>185</v>
      </c>
      <c r="B31" t="s">
        <v>55</v>
      </c>
      <c r="C31" s="35" t="n">
        <v>-0.00532758142905577</v>
      </c>
      <c r="D31" s="35" t="n">
        <v>0.00809336432421814</v>
      </c>
      <c r="E31" s="35" t="n">
        <v>-0.658265366000367</v>
      </c>
      <c r="F31" t="n">
        <v>0.511160280394962</v>
      </c>
      <c r="G31" t="n">
        <v>191</v>
      </c>
      <c r="H31" t="s">
        <v>1487</v>
      </c>
      <c r="I31" s="35" t="n">
        <v>-0.00532758142905577</v>
      </c>
      <c r="J31" s="35" t="n">
        <v>-0.021291434927914</v>
      </c>
      <c r="K31" s="35" t="n">
        <v>0.0106362720698025</v>
      </c>
      <c r="L31" t="s">
        <v>2118</v>
      </c>
      <c r="M31" t="s">
        <v>431</v>
      </c>
      <c r="N31" t="s">
        <v>1491</v>
      </c>
      <c r="O31" t="s">
        <v>1883</v>
      </c>
    </row>
    <row r="32">
      <c r="A32" t="s">
        <v>185</v>
      </c>
      <c r="B32" t="s">
        <v>89</v>
      </c>
      <c r="C32" s="35" t="n">
        <v>0.0000750816889130877</v>
      </c>
      <c r="D32" s="35" t="n">
        <v>0.000481818328061861</v>
      </c>
      <c r="E32" s="35" t="n">
        <v>0.155829873087451</v>
      </c>
      <c r="F32" t="n">
        <v>0.876331693966286</v>
      </c>
      <c r="G32" t="n">
        <v>191</v>
      </c>
      <c r="H32" t="s">
        <v>1487</v>
      </c>
      <c r="I32" s="35" t="n">
        <v>0.0000750816889130877</v>
      </c>
      <c r="J32" s="35" t="n">
        <v>-0.000875286649162121</v>
      </c>
      <c r="K32" s="35" t="n">
        <v>0.0010254500269883</v>
      </c>
      <c r="L32" t="s">
        <v>2119</v>
      </c>
      <c r="M32" t="s">
        <v>434</v>
      </c>
      <c r="N32" t="s">
        <v>1491</v>
      </c>
      <c r="O32" t="s">
        <v>1883</v>
      </c>
    </row>
    <row r="33">
      <c r="A33" t="s">
        <v>194</v>
      </c>
      <c r="B33" t="s">
        <v>1568</v>
      </c>
      <c r="C33" s="35" t="n">
        <v>-0.108446860153729</v>
      </c>
      <c r="D33" s="35" t="n">
        <v>0.149706328299767</v>
      </c>
      <c r="E33" s="35" t="n">
        <v>-0.724397300938266</v>
      </c>
      <c r="F33" t="n">
        <v>0.469717628439477</v>
      </c>
      <c r="G33" t="n">
        <v>189</v>
      </c>
      <c r="H33"/>
      <c r="I33" s="35"/>
      <c r="J33" s="35"/>
      <c r="K33" s="35"/>
      <c r="L33"/>
      <c r="M33" t="s">
        <v>1654</v>
      </c>
      <c r="N33" t="s">
        <v>1491</v>
      </c>
      <c r="O33" t="s">
        <v>1883</v>
      </c>
    </row>
    <row r="34">
      <c r="A34" t="s">
        <v>194</v>
      </c>
      <c r="B34" t="s">
        <v>440</v>
      </c>
      <c r="C34" s="35" t="n">
        <v>-0.00772504236008072</v>
      </c>
      <c r="D34" s="35" t="n">
        <v>0.0153207942017417</v>
      </c>
      <c r="E34" s="35" t="n">
        <v>-0.504219445699656</v>
      </c>
      <c r="F34" t="n">
        <v>0.614694466389377</v>
      </c>
      <c r="G34" t="n">
        <v>189</v>
      </c>
      <c r="H34" t="s">
        <v>1487</v>
      </c>
      <c r="I34" s="35" t="n">
        <v>-0.00772504236008072</v>
      </c>
      <c r="J34" s="35" t="n">
        <v>-0.0379467656103352</v>
      </c>
      <c r="K34" s="35" t="n">
        <v>0.0224966808901737</v>
      </c>
      <c r="L34" t="s">
        <v>2057</v>
      </c>
      <c r="M34" t="s">
        <v>1853</v>
      </c>
      <c r="N34" t="s">
        <v>1491</v>
      </c>
      <c r="O34" t="s">
        <v>1883</v>
      </c>
    </row>
    <row r="35">
      <c r="A35" t="s">
        <v>194</v>
      </c>
      <c r="B35" t="s">
        <v>1480</v>
      </c>
      <c r="C35" s="35" t="n">
        <v>-0.000702753835309502</v>
      </c>
      <c r="D35" s="35" t="n">
        <v>0.00112411985708719</v>
      </c>
      <c r="E35" s="35" t="n">
        <v>-0.625159168641031</v>
      </c>
      <c r="F35" t="n">
        <v>0.532620666021783</v>
      </c>
      <c r="G35" t="n">
        <v>189</v>
      </c>
      <c r="H35" t="s">
        <v>1487</v>
      </c>
      <c r="I35" s="35" t="n">
        <v>-0.000702753835309502</v>
      </c>
      <c r="J35" s="35" t="n">
        <v>-0.00292018713371791</v>
      </c>
      <c r="K35" s="35" t="n">
        <v>0.00151467946309891</v>
      </c>
      <c r="L35" t="s">
        <v>2120</v>
      </c>
      <c r="M35" t="s">
        <v>463</v>
      </c>
      <c r="N35" t="s">
        <v>1491</v>
      </c>
      <c r="O35" t="s">
        <v>1883</v>
      </c>
    </row>
    <row r="36">
      <c r="A36" t="s">
        <v>194</v>
      </c>
      <c r="B36" t="s">
        <v>55</v>
      </c>
      <c r="C36" s="35" t="n">
        <v>0.00158117564943703</v>
      </c>
      <c r="D36" s="35" t="n">
        <v>0.00465042054338529</v>
      </c>
      <c r="E36" s="35" t="n">
        <v>0.340007024028414</v>
      </c>
      <c r="F36" t="n">
        <v>0.734228807651582</v>
      </c>
      <c r="G36" t="n">
        <v>189</v>
      </c>
      <c r="H36" t="s">
        <v>1487</v>
      </c>
      <c r="I36" s="35" t="n">
        <v>0.00158117564943703</v>
      </c>
      <c r="J36" s="35" t="n">
        <v>-0.00759222103018879</v>
      </c>
      <c r="K36" s="35" t="n">
        <v>0.0107545723290629</v>
      </c>
      <c r="L36" t="s">
        <v>2121</v>
      </c>
      <c r="M36" t="s">
        <v>1766</v>
      </c>
      <c r="N36" t="s">
        <v>1491</v>
      </c>
      <c r="O36" t="s">
        <v>1883</v>
      </c>
    </row>
    <row r="37">
      <c r="A37" t="s">
        <v>194</v>
      </c>
      <c r="B37" t="s">
        <v>89</v>
      </c>
      <c r="C37" s="35" t="n">
        <v>0.000187783784627249</v>
      </c>
      <c r="D37" s="35" t="n">
        <v>0.000273612976686209</v>
      </c>
      <c r="E37" s="35" t="n">
        <v>0.686311690701014</v>
      </c>
      <c r="F37" t="n">
        <v>0.493357677543039</v>
      </c>
      <c r="G37" t="n">
        <v>189</v>
      </c>
      <c r="H37" t="s">
        <v>1487</v>
      </c>
      <c r="I37" s="35" t="n">
        <v>0.000187783784627249</v>
      </c>
      <c r="J37" s="35" t="n">
        <v>-0.000351943826761779</v>
      </c>
      <c r="K37" s="35" t="n">
        <v>0.000727511396016278</v>
      </c>
      <c r="L37" t="s">
        <v>2122</v>
      </c>
      <c r="M37" t="s">
        <v>502</v>
      </c>
      <c r="N37" t="s">
        <v>1491</v>
      </c>
      <c r="O37" t="s">
        <v>1883</v>
      </c>
    </row>
    <row r="38">
      <c r="A38" t="s">
        <v>203</v>
      </c>
      <c r="B38" t="s">
        <v>1568</v>
      </c>
      <c r="C38" s="35" t="n">
        <v>-0.297377553373529</v>
      </c>
      <c r="D38" s="35" t="n">
        <v>0.128010186289395</v>
      </c>
      <c r="E38" s="35" t="n">
        <v>-2.32307726434553</v>
      </c>
      <c r="F38" t="n">
        <v>0.0212280536787514</v>
      </c>
      <c r="G38" t="n">
        <v>191</v>
      </c>
      <c r="H38"/>
      <c r="I38" s="35"/>
      <c r="J38" s="35"/>
      <c r="K38" s="35"/>
      <c r="L38"/>
      <c r="M38" t="s">
        <v>372</v>
      </c>
      <c r="N38" t="s">
        <v>1491</v>
      </c>
      <c r="O38" t="s">
        <v>1883</v>
      </c>
    </row>
    <row r="39">
      <c r="A39" t="s">
        <v>203</v>
      </c>
      <c r="B39" t="s">
        <v>440</v>
      </c>
      <c r="C39" s="35" t="n">
        <v>-0.000544202007577023</v>
      </c>
      <c r="D39" s="35" t="n">
        <v>0.0138198629642772</v>
      </c>
      <c r="E39" s="35" t="n">
        <v>-0.0393782491898599</v>
      </c>
      <c r="F39" t="n">
        <v>0.968629950532405</v>
      </c>
      <c r="G39" t="n">
        <v>191</v>
      </c>
      <c r="H39" t="s">
        <v>1487</v>
      </c>
      <c r="I39" s="35" t="n">
        <v>-0.000544202007577023</v>
      </c>
      <c r="J39" s="35" t="n">
        <v>-0.0278033564084054</v>
      </c>
      <c r="K39" s="35" t="n">
        <v>0.0267149523932513</v>
      </c>
      <c r="L39" t="s">
        <v>1662</v>
      </c>
      <c r="M39" t="s">
        <v>1809</v>
      </c>
      <c r="N39" t="s">
        <v>1491</v>
      </c>
      <c r="O39" t="s">
        <v>1883</v>
      </c>
    </row>
    <row r="40">
      <c r="A40" t="s">
        <v>203</v>
      </c>
      <c r="B40" t="s">
        <v>1480</v>
      </c>
      <c r="C40" s="35" t="n">
        <v>-0.000833683865903768</v>
      </c>
      <c r="D40" s="35" t="n">
        <v>0.0010599756146532</v>
      </c>
      <c r="E40" s="35" t="n">
        <v>-0.78651230686711</v>
      </c>
      <c r="F40" t="n">
        <v>0.432542157952335</v>
      </c>
      <c r="G40" t="n">
        <v>191</v>
      </c>
      <c r="H40" t="s">
        <v>1487</v>
      </c>
      <c r="I40" s="35" t="n">
        <v>-0.000833683865903768</v>
      </c>
      <c r="J40" s="35" t="n">
        <v>-0.00292444547588733</v>
      </c>
      <c r="K40" s="35" t="n">
        <v>0.0012570777440798</v>
      </c>
      <c r="L40" t="s">
        <v>2123</v>
      </c>
      <c r="M40" t="s">
        <v>484</v>
      </c>
      <c r="N40" t="s">
        <v>1491</v>
      </c>
      <c r="O40" t="s">
        <v>1883</v>
      </c>
    </row>
    <row r="41">
      <c r="A41" t="s">
        <v>203</v>
      </c>
      <c r="B41" t="s">
        <v>55</v>
      </c>
      <c r="C41" s="35" t="n">
        <v>0.00105812275974078</v>
      </c>
      <c r="D41" s="35" t="n">
        <v>0.00427649818354819</v>
      </c>
      <c r="E41" s="35" t="n">
        <v>0.247427384351854</v>
      </c>
      <c r="F41" t="n">
        <v>0.804843253819938</v>
      </c>
      <c r="G41" t="n">
        <v>191</v>
      </c>
      <c r="H41" t="s">
        <v>1487</v>
      </c>
      <c r="I41" s="35" t="n">
        <v>0.00105812275974078</v>
      </c>
      <c r="J41" s="35" t="n">
        <v>-0.00737710735661653</v>
      </c>
      <c r="K41" s="35" t="n">
        <v>0.0094933528760981</v>
      </c>
      <c r="L41" t="s">
        <v>2124</v>
      </c>
      <c r="M41" t="s">
        <v>540</v>
      </c>
      <c r="N41" t="s">
        <v>1491</v>
      </c>
      <c r="O41" t="s">
        <v>1883</v>
      </c>
    </row>
    <row r="42">
      <c r="A42" t="s">
        <v>203</v>
      </c>
      <c r="B42" t="s">
        <v>89</v>
      </c>
      <c r="C42" s="35" t="n">
        <v>0.00049035479187156</v>
      </c>
      <c r="D42" s="35" t="n">
        <v>0.000244370265326577</v>
      </c>
      <c r="E42" s="35" t="n">
        <v>2.00660580048988</v>
      </c>
      <c r="F42" t="n">
        <v>0.0462020115285967</v>
      </c>
      <c r="G42" t="n">
        <v>191</v>
      </c>
      <c r="H42" t="s">
        <v>1487</v>
      </c>
      <c r="I42" s="35" t="n">
        <v>0.00049035479187156</v>
      </c>
      <c r="J42" s="35" t="n">
        <v>0.00000834373208555869</v>
      </c>
      <c r="K42" s="35" t="n">
        <v>0.000972365851657561</v>
      </c>
      <c r="L42" t="s">
        <v>2125</v>
      </c>
      <c r="M42" t="s">
        <v>1544</v>
      </c>
      <c r="N42" t="s">
        <v>1491</v>
      </c>
      <c r="O42" t="s">
        <v>1883</v>
      </c>
    </row>
    <row r="43">
      <c r="A43" t="s">
        <v>1556</v>
      </c>
      <c r="B43" t="s">
        <v>1568</v>
      </c>
      <c r="C43" s="35" t="n">
        <v>3.22716860153627</v>
      </c>
      <c r="D43" s="35" t="n">
        <v>3.91826145798052</v>
      </c>
      <c r="E43" s="35" t="n">
        <v>0.82362257754988</v>
      </c>
      <c r="F43" t="n">
        <v>0.411181266600069</v>
      </c>
      <c r="G43" t="n">
        <v>191</v>
      </c>
      <c r="H43"/>
      <c r="I43" s="35"/>
      <c r="J43" s="35"/>
      <c r="K43" s="35"/>
      <c r="L43"/>
      <c r="M43" t="s">
        <v>1615</v>
      </c>
      <c r="N43" t="s">
        <v>1491</v>
      </c>
      <c r="O43" t="s">
        <v>1884</v>
      </c>
    </row>
    <row r="44">
      <c r="A44" t="s">
        <v>1556</v>
      </c>
      <c r="B44" t="s">
        <v>440</v>
      </c>
      <c r="C44" s="35" t="n">
        <v>0.924960125482733</v>
      </c>
      <c r="D44" s="35" t="n">
        <v>0.386603215448662</v>
      </c>
      <c r="E44" s="35" t="n">
        <v>2.39253086503509</v>
      </c>
      <c r="F44" t="n">
        <v>0.0177020766935444</v>
      </c>
      <c r="G44" t="n">
        <v>191</v>
      </c>
      <c r="H44" t="s">
        <v>1520</v>
      </c>
      <c r="I44" s="35" t="n">
        <v>2.52176770408349</v>
      </c>
      <c r="J44" s="35" t="n">
        <v>1.17633065348841</v>
      </c>
      <c r="K44" s="35" t="n">
        <v>5.40605852147092</v>
      </c>
      <c r="L44" t="s">
        <v>2126</v>
      </c>
      <c r="M44" t="s">
        <v>372</v>
      </c>
      <c r="N44" t="s">
        <v>1491</v>
      </c>
      <c r="O44" t="s">
        <v>1884</v>
      </c>
    </row>
    <row r="45">
      <c r="A45" t="s">
        <v>1556</v>
      </c>
      <c r="B45" t="s">
        <v>1480</v>
      </c>
      <c r="C45" s="35" t="n">
        <v>0.0565845048620383</v>
      </c>
      <c r="D45" s="35" t="n">
        <v>0.0244459778698284</v>
      </c>
      <c r="E45" s="35" t="n">
        <v>2.31467545145231</v>
      </c>
      <c r="F45" t="n">
        <v>0.021693869046434</v>
      </c>
      <c r="G45" t="n">
        <v>191</v>
      </c>
      <c r="H45" t="s">
        <v>1520</v>
      </c>
      <c r="I45" s="35" t="n">
        <v>1.05821603542201</v>
      </c>
      <c r="J45" s="35" t="n">
        <v>1.00840083332142</v>
      </c>
      <c r="K45" s="35" t="n">
        <v>1.11049211843259</v>
      </c>
      <c r="L45" t="s">
        <v>2127</v>
      </c>
      <c r="M45" t="s">
        <v>372</v>
      </c>
      <c r="N45" t="s">
        <v>1491</v>
      </c>
      <c r="O45" t="s">
        <v>1884</v>
      </c>
    </row>
    <row r="46">
      <c r="A46" t="s">
        <v>1556</v>
      </c>
      <c r="B46" t="s">
        <v>55</v>
      </c>
      <c r="C46" s="35" t="n">
        <v>-0.102382444028855</v>
      </c>
      <c r="D46" s="35" t="n">
        <v>0.121134800679286</v>
      </c>
      <c r="E46" s="35" t="n">
        <v>-0.84519430795054</v>
      </c>
      <c r="F46" t="n">
        <v>0.399059864953579</v>
      </c>
      <c r="G46" t="n">
        <v>191</v>
      </c>
      <c r="H46" t="s">
        <v>1520</v>
      </c>
      <c r="I46" s="35" t="n">
        <v>0.902684259440645</v>
      </c>
      <c r="J46" s="35" t="n">
        <v>0.710834082749417</v>
      </c>
      <c r="K46" s="35" t="n">
        <v>1.14631373483136</v>
      </c>
      <c r="L46" t="s">
        <v>2128</v>
      </c>
      <c r="M46" t="s">
        <v>1620</v>
      </c>
      <c r="N46" t="s">
        <v>1491</v>
      </c>
      <c r="O46" t="s">
        <v>1884</v>
      </c>
    </row>
    <row r="47">
      <c r="A47" t="s">
        <v>1556</v>
      </c>
      <c r="B47" t="s">
        <v>89</v>
      </c>
      <c r="C47" s="35" t="n">
        <v>-0.0140904235860813</v>
      </c>
      <c r="D47" s="35" t="n">
        <v>0.00783729294550653</v>
      </c>
      <c r="E47" s="35" t="n">
        <v>-1.79786868808572</v>
      </c>
      <c r="F47" t="n">
        <v>0.073777191227504</v>
      </c>
      <c r="G47" t="n">
        <v>191</v>
      </c>
      <c r="H47" t="s">
        <v>1520</v>
      </c>
      <c r="I47" s="35" t="n">
        <v>0.986008381817938</v>
      </c>
      <c r="J47" s="35" t="n">
        <v>0.970883122586424</v>
      </c>
      <c r="K47" s="35" t="n">
        <v>1.00136927545436</v>
      </c>
      <c r="L47" t="s">
        <v>2129</v>
      </c>
      <c r="M47" t="s">
        <v>72</v>
      </c>
      <c r="N47" t="s">
        <v>1491</v>
      </c>
      <c r="O47" t="s">
        <v>1884</v>
      </c>
    </row>
    <row r="48">
      <c r="A48" t="s">
        <v>1561</v>
      </c>
      <c r="B48" t="s">
        <v>1568</v>
      </c>
      <c r="C48" s="35" t="n">
        <v>0.960929353964677</v>
      </c>
      <c r="D48" s="35" t="n">
        <v>4.24308345103042</v>
      </c>
      <c r="E48" s="35" t="n">
        <v>0.226469586340876</v>
      </c>
      <c r="F48" t="n">
        <v>0.821078394747992</v>
      </c>
      <c r="G48" t="n">
        <v>191</v>
      </c>
      <c r="H48"/>
      <c r="I48" s="35"/>
      <c r="J48" s="35"/>
      <c r="K48" s="35"/>
      <c r="L48"/>
      <c r="M48" t="s">
        <v>532</v>
      </c>
      <c r="N48" t="s">
        <v>1491</v>
      </c>
      <c r="O48" t="s">
        <v>1884</v>
      </c>
    </row>
    <row r="49">
      <c r="A49" t="s">
        <v>1561</v>
      </c>
      <c r="B49" t="s">
        <v>440</v>
      </c>
      <c r="C49" s="35" t="n">
        <v>0.00305713358693378</v>
      </c>
      <c r="D49" s="35" t="n">
        <v>0.461201133717347</v>
      </c>
      <c r="E49" s="35" t="n">
        <v>0.00662863415424167</v>
      </c>
      <c r="F49" t="n">
        <v>0.994718072095944</v>
      </c>
      <c r="G49" t="n">
        <v>191</v>
      </c>
      <c r="H49" t="s">
        <v>1520</v>
      </c>
      <c r="I49" s="35" t="n">
        <v>1.00306181138549</v>
      </c>
      <c r="J49" s="35" t="n">
        <v>0.403877133487196</v>
      </c>
      <c r="K49" s="35" t="n">
        <v>2.49118584350811</v>
      </c>
      <c r="L49" t="s">
        <v>2130</v>
      </c>
      <c r="M49" t="s">
        <v>386</v>
      </c>
      <c r="N49" t="s">
        <v>1491</v>
      </c>
      <c r="O49" t="s">
        <v>1884</v>
      </c>
    </row>
    <row r="50">
      <c r="A50" t="s">
        <v>1561</v>
      </c>
      <c r="B50" t="s">
        <v>1480</v>
      </c>
      <c r="C50" s="35" t="n">
        <v>-0.0113047518793111</v>
      </c>
      <c r="D50" s="35" t="n">
        <v>0.0401494489840761</v>
      </c>
      <c r="E50" s="35" t="n">
        <v>-0.281566800176878</v>
      </c>
      <c r="F50" t="n">
        <v>0.77858051995026</v>
      </c>
      <c r="G50" t="n">
        <v>191</v>
      </c>
      <c r="H50" t="s">
        <v>1520</v>
      </c>
      <c r="I50" s="35" t="n">
        <v>0.988758906720842</v>
      </c>
      <c r="J50" s="35" t="n">
        <v>0.913476148144539</v>
      </c>
      <c r="K50" s="35" t="n">
        <v>1.07024598026516</v>
      </c>
      <c r="L50" t="s">
        <v>2131</v>
      </c>
      <c r="M50" t="s">
        <v>1990</v>
      </c>
      <c r="N50" t="s">
        <v>1491</v>
      </c>
      <c r="O50" t="s">
        <v>1884</v>
      </c>
    </row>
    <row r="51">
      <c r="A51" t="s">
        <v>1561</v>
      </c>
      <c r="B51" t="s">
        <v>55</v>
      </c>
      <c r="C51" s="35" t="n">
        <v>0.00992425513047241</v>
      </c>
      <c r="D51" s="35" t="n">
        <v>0.161446687043186</v>
      </c>
      <c r="E51" s="35" t="n">
        <v>0.0614707883588699</v>
      </c>
      <c r="F51" t="n">
        <v>0.951048553493526</v>
      </c>
      <c r="G51" t="n">
        <v>191</v>
      </c>
      <c r="H51" t="s">
        <v>1520</v>
      </c>
      <c r="I51" s="35" t="n">
        <v>1.00997366386345</v>
      </c>
      <c r="J51" s="35" t="n">
        <v>0.734530912033125</v>
      </c>
      <c r="K51" s="35" t="n">
        <v>1.38870507011657</v>
      </c>
      <c r="L51" t="s">
        <v>2132</v>
      </c>
      <c r="M51" t="s">
        <v>544</v>
      </c>
      <c r="N51" t="s">
        <v>1491</v>
      </c>
      <c r="O51" t="s">
        <v>1884</v>
      </c>
    </row>
    <row r="52">
      <c r="A52" t="s">
        <v>1561</v>
      </c>
      <c r="B52" t="s">
        <v>89</v>
      </c>
      <c r="C52" s="35" t="n">
        <v>-0.00550390348704469</v>
      </c>
      <c r="D52" s="35" t="n">
        <v>0.00818791481975729</v>
      </c>
      <c r="E52" s="35" t="n">
        <v>-0.672198430028103</v>
      </c>
      <c r="F52" t="n">
        <v>0.502269702329143</v>
      </c>
      <c r="G52" t="n">
        <v>191</v>
      </c>
      <c r="H52" t="s">
        <v>1520</v>
      </c>
      <c r="I52" s="35" t="n">
        <v>0.994511215239698</v>
      </c>
      <c r="J52" s="35" t="n">
        <v>0.97857851593659</v>
      </c>
      <c r="K52" s="35" t="n">
        <v>1.0107033223501</v>
      </c>
      <c r="L52" t="s">
        <v>2133</v>
      </c>
      <c r="M52" t="s">
        <v>2010</v>
      </c>
      <c r="N52" t="s">
        <v>1491</v>
      </c>
      <c r="O52" t="s">
        <v>1884</v>
      </c>
    </row>
  </sheetData>
  <pageMargins left="0.7" right="0.7" top="0.75" bottom="0.75" header="0.3" footer="0.3"/>
  <pageSetup paperSize="9" orientation="portrait" horizontalDpi="300" verticalDpi="300"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0" t="s">
        <v>2140</v>
      </c>
    </row>
    <row r="3">
      <c r="A3" s="1" t="s">
        <v>1886</v>
      </c>
    </row>
    <row r="4">
      <c r="A4" t="s">
        <v>37</v>
      </c>
      <c r="B4" t="s">
        <v>2141</v>
      </c>
      <c r="C4" t="s">
        <v>2142</v>
      </c>
      <c r="D4" t="s">
        <v>41</v>
      </c>
      <c r="E4" t="s">
        <v>42</v>
      </c>
      <c r="F4" t="s">
        <v>43</v>
      </c>
      <c r="G4" t="s">
        <v>44</v>
      </c>
      <c r="H4" t="s">
        <v>45</v>
      </c>
    </row>
    <row r="5">
      <c r="A5" t="s">
        <v>46</v>
      </c>
      <c r="B5" t="s">
        <v>2143</v>
      </c>
      <c r="C5" t="s">
        <v>2144</v>
      </c>
      <c r="D5" t="s">
        <v>400</v>
      </c>
      <c r="E5" t="s">
        <v>1891</v>
      </c>
      <c r="F5" t="s">
        <v>1892</v>
      </c>
      <c r="G5" t="s">
        <v>2027</v>
      </c>
      <c r="H5" t="s">
        <v>2145</v>
      </c>
    </row>
    <row r="6">
      <c r="A6" t="s">
        <v>55</v>
      </c>
      <c r="B6" t="s">
        <v>2146</v>
      </c>
      <c r="C6" t="s">
        <v>2147</v>
      </c>
      <c r="D6" t="s">
        <v>1990</v>
      </c>
      <c r="E6" t="s">
        <v>1891</v>
      </c>
      <c r="F6" t="s">
        <v>1892</v>
      </c>
      <c r="G6" t="s">
        <v>2029</v>
      </c>
      <c r="H6" t="s">
        <v>1990</v>
      </c>
    </row>
    <row r="7">
      <c r="A7" t="s">
        <v>62</v>
      </c>
      <c r="B7" t="s">
        <v>2148</v>
      </c>
      <c r="C7" t="s">
        <v>2149</v>
      </c>
      <c r="D7" t="s">
        <v>1513</v>
      </c>
      <c r="E7" t="s">
        <v>1891</v>
      </c>
      <c r="F7" t="s">
        <v>1892</v>
      </c>
      <c r="G7" t="s">
        <v>2031</v>
      </c>
      <c r="H7" t="s">
        <v>1513</v>
      </c>
    </row>
    <row r="8">
      <c r="A8" t="s">
        <v>68</v>
      </c>
      <c r="B8" t="s">
        <v>2150</v>
      </c>
      <c r="C8" t="s">
        <v>71</v>
      </c>
      <c r="D8" t="s">
        <v>546</v>
      </c>
      <c r="E8" t="s">
        <v>1891</v>
      </c>
      <c r="F8" t="s">
        <v>1892</v>
      </c>
      <c r="G8" t="s">
        <v>2033</v>
      </c>
      <c r="H8" t="s">
        <v>546</v>
      </c>
    </row>
    <row r="9">
      <c r="A9" t="s">
        <v>76</v>
      </c>
      <c r="B9" t="s">
        <v>2151</v>
      </c>
      <c r="C9" t="s">
        <v>79</v>
      </c>
      <c r="D9" t="s">
        <v>444</v>
      </c>
      <c r="E9" t="s">
        <v>1891</v>
      </c>
      <c r="F9" t="s">
        <v>1892</v>
      </c>
      <c r="G9" t="s">
        <v>2035</v>
      </c>
      <c r="H9" t="s">
        <v>444</v>
      </c>
    </row>
    <row r="10">
      <c r="A10" t="s">
        <v>82</v>
      </c>
      <c r="B10" t="s">
        <v>83</v>
      </c>
      <c r="C10" t="s">
        <v>85</v>
      </c>
      <c r="D10" t="s">
        <v>171</v>
      </c>
      <c r="E10" t="s">
        <v>1891</v>
      </c>
      <c r="F10" t="s">
        <v>1892</v>
      </c>
      <c r="G10" t="s">
        <v>1599</v>
      </c>
      <c r="H10" t="s">
        <v>171</v>
      </c>
    </row>
    <row r="11">
      <c r="A11" t="s">
        <v>89</v>
      </c>
      <c r="B11" t="s">
        <v>2152</v>
      </c>
      <c r="C11" t="s">
        <v>2153</v>
      </c>
      <c r="D11" t="s">
        <v>540</v>
      </c>
      <c r="E11" t="s">
        <v>1891</v>
      </c>
      <c r="F11" t="s">
        <v>1892</v>
      </c>
      <c r="G11" t="s">
        <v>2037</v>
      </c>
      <c r="H11" t="s">
        <v>540</v>
      </c>
    </row>
    <row r="12">
      <c r="A12" t="s">
        <v>95</v>
      </c>
      <c r="B12" t="s">
        <v>2154</v>
      </c>
      <c r="C12" t="s">
        <v>2155</v>
      </c>
      <c r="D12" t="s">
        <v>429</v>
      </c>
      <c r="E12" t="s">
        <v>1891</v>
      </c>
      <c r="F12" t="s">
        <v>1892</v>
      </c>
      <c r="G12" t="s">
        <v>2039</v>
      </c>
      <c r="H12" t="s">
        <v>429</v>
      </c>
    </row>
    <row r="13">
      <c r="A13" t="s">
        <v>103</v>
      </c>
      <c r="B13" t="s">
        <v>2156</v>
      </c>
      <c r="C13" t="s">
        <v>2157</v>
      </c>
      <c r="D13" t="s">
        <v>461</v>
      </c>
      <c r="E13" t="s">
        <v>1908</v>
      </c>
      <c r="F13" t="s">
        <v>1892</v>
      </c>
      <c r="G13" t="s">
        <v>109</v>
      </c>
      <c r="H13" t="s">
        <v>109</v>
      </c>
    </row>
    <row r="14">
      <c r="A14" t="s">
        <v>110</v>
      </c>
      <c r="B14" t="s">
        <v>2158</v>
      </c>
      <c r="C14" t="s">
        <v>2159</v>
      </c>
      <c r="D14" t="s">
        <v>465</v>
      </c>
      <c r="E14" t="s">
        <v>1891</v>
      </c>
      <c r="F14" t="s">
        <v>1892</v>
      </c>
      <c r="G14" t="s">
        <v>2042</v>
      </c>
      <c r="H14" t="s">
        <v>2160</v>
      </c>
    </row>
    <row r="15">
      <c r="A15" t="s">
        <v>118</v>
      </c>
      <c r="B15" t="s">
        <v>2161</v>
      </c>
      <c r="C15" t="s">
        <v>2162</v>
      </c>
      <c r="D15" t="s">
        <v>494</v>
      </c>
      <c r="E15" t="s">
        <v>1891</v>
      </c>
      <c r="F15" t="s">
        <v>1892</v>
      </c>
      <c r="G15" t="s">
        <v>2045</v>
      </c>
      <c r="H15" t="s">
        <v>2163</v>
      </c>
    </row>
    <row r="16">
      <c r="A16" t="s">
        <v>125</v>
      </c>
      <c r="B16" t="s">
        <v>2164</v>
      </c>
      <c r="C16" t="s">
        <v>2165</v>
      </c>
      <c r="D16" t="s">
        <v>476</v>
      </c>
      <c r="E16" t="s">
        <v>1917</v>
      </c>
      <c r="F16" t="s">
        <v>1892</v>
      </c>
      <c r="G16" t="s">
        <v>109</v>
      </c>
      <c r="H16" t="s">
        <v>109</v>
      </c>
    </row>
    <row r="17">
      <c r="A17" t="s">
        <v>130</v>
      </c>
      <c r="B17" t="s">
        <v>2166</v>
      </c>
      <c r="C17" t="s">
        <v>2165</v>
      </c>
      <c r="D17" t="s">
        <v>109</v>
      </c>
      <c r="E17" t="s">
        <v>109</v>
      </c>
      <c r="F17" t="s">
        <v>109</v>
      </c>
      <c r="G17" t="s">
        <v>109</v>
      </c>
      <c r="H17" t="s">
        <v>109</v>
      </c>
    </row>
    <row r="18">
      <c r="A18" t="s">
        <v>134</v>
      </c>
      <c r="B18" t="s">
        <v>2167</v>
      </c>
      <c r="C18" t="s">
        <v>2168</v>
      </c>
      <c r="D18" t="s">
        <v>109</v>
      </c>
      <c r="E18" t="s">
        <v>109</v>
      </c>
      <c r="F18" t="s">
        <v>109</v>
      </c>
      <c r="G18" t="s">
        <v>109</v>
      </c>
      <c r="H18" t="s">
        <v>109</v>
      </c>
    </row>
    <row r="20">
      <c r="A20" s="1" t="s">
        <v>1922</v>
      </c>
    </row>
    <row r="21">
      <c r="A21" t="s">
        <v>37</v>
      </c>
      <c r="B21" t="s">
        <v>2141</v>
      </c>
      <c r="C21" t="s">
        <v>2142</v>
      </c>
      <c r="D21" t="s">
        <v>41</v>
      </c>
      <c r="E21" t="s">
        <v>42</v>
      </c>
      <c r="F21" t="s">
        <v>43</v>
      </c>
      <c r="G21" t="s">
        <v>44</v>
      </c>
      <c r="H21" t="s">
        <v>45</v>
      </c>
    </row>
    <row r="22">
      <c r="A22" t="s">
        <v>139</v>
      </c>
      <c r="B22" t="s">
        <v>2169</v>
      </c>
      <c r="C22" t="s">
        <v>142</v>
      </c>
      <c r="D22" t="s">
        <v>484</v>
      </c>
      <c r="E22" t="s">
        <v>1891</v>
      </c>
      <c r="F22" t="s">
        <v>1892</v>
      </c>
      <c r="G22" t="s">
        <v>2047</v>
      </c>
      <c r="H22" t="s">
        <v>2170</v>
      </c>
    </row>
    <row r="23">
      <c r="A23" t="s">
        <v>145</v>
      </c>
      <c r="B23" t="s">
        <v>2171</v>
      </c>
      <c r="C23" t="s">
        <v>2172</v>
      </c>
      <c r="D23" t="s">
        <v>509</v>
      </c>
      <c r="E23" t="s">
        <v>1891</v>
      </c>
      <c r="F23" t="s">
        <v>1892</v>
      </c>
      <c r="G23" t="s">
        <v>2049</v>
      </c>
      <c r="H23" t="s">
        <v>509</v>
      </c>
    </row>
    <row r="24">
      <c r="A24" t="s">
        <v>151</v>
      </c>
      <c r="B24" t="s">
        <v>2173</v>
      </c>
      <c r="C24" t="s">
        <v>2174</v>
      </c>
      <c r="D24" t="s">
        <v>1624</v>
      </c>
      <c r="E24" t="s">
        <v>1917</v>
      </c>
      <c r="F24" t="s">
        <v>1892</v>
      </c>
      <c r="G24" t="s">
        <v>109</v>
      </c>
      <c r="H24" t="s">
        <v>109</v>
      </c>
    </row>
    <row r="25">
      <c r="A25" t="s">
        <v>156</v>
      </c>
      <c r="B25" t="s">
        <v>2175</v>
      </c>
      <c r="C25" t="s">
        <v>2176</v>
      </c>
      <c r="D25" t="s">
        <v>109</v>
      </c>
      <c r="E25" t="s">
        <v>109</v>
      </c>
      <c r="F25" t="s">
        <v>109</v>
      </c>
      <c r="G25" t="s">
        <v>109</v>
      </c>
      <c r="H25" t="s">
        <v>109</v>
      </c>
    </row>
    <row r="26">
      <c r="A26" t="s">
        <v>160</v>
      </c>
      <c r="B26" t="s">
        <v>2177</v>
      </c>
      <c r="C26" t="s">
        <v>2178</v>
      </c>
      <c r="D26" t="s">
        <v>109</v>
      </c>
      <c r="E26" t="s">
        <v>109</v>
      </c>
      <c r="F26" t="s">
        <v>109</v>
      </c>
      <c r="G26" t="s">
        <v>109</v>
      </c>
      <c r="H26" t="s">
        <v>109</v>
      </c>
    </row>
  </sheetData>
  <pageMargins left="0.7" right="0.7" top="0.75" bottom="0.75" header="0.3" footer="0.3"/>
  <pageSetup paperSize="9" orientation="portrait" horizontalDpi="300" verticalDpi="300" r:id="rId2"/>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0" t="s">
        <v>2140</v>
      </c>
    </row>
    <row r="3">
      <c r="A3" t="s">
        <v>37</v>
      </c>
      <c r="B3" t="s">
        <v>2141</v>
      </c>
      <c r="C3" t="s">
        <v>2142</v>
      </c>
      <c r="D3" t="s">
        <v>41</v>
      </c>
      <c r="E3" t="s">
        <v>42</v>
      </c>
      <c r="F3" t="s">
        <v>43</v>
      </c>
      <c r="G3" t="s">
        <v>44</v>
      </c>
      <c r="H3" t="s">
        <v>45</v>
      </c>
      <c r="I3" t="s">
        <v>164</v>
      </c>
      <c r="J3" t="s">
        <v>165</v>
      </c>
      <c r="K3" t="s">
        <v>166</v>
      </c>
    </row>
    <row r="4">
      <c r="A4" t="s">
        <v>167</v>
      </c>
      <c r="B4" t="s">
        <v>2179</v>
      </c>
      <c r="C4" t="s">
        <v>2180</v>
      </c>
      <c r="D4" t="s">
        <v>433</v>
      </c>
      <c r="E4" t="s">
        <v>1891</v>
      </c>
      <c r="F4" t="s">
        <v>1892</v>
      </c>
      <c r="G4" t="s">
        <v>2051</v>
      </c>
      <c r="H4" t="s">
        <v>433</v>
      </c>
      <c r="I4" t="s">
        <v>2109</v>
      </c>
      <c r="J4" t="s">
        <v>122</v>
      </c>
      <c r="K4" t="s">
        <v>2135</v>
      </c>
    </row>
    <row r="5">
      <c r="A5" t="s">
        <v>177</v>
      </c>
      <c r="B5" t="s">
        <v>2181</v>
      </c>
      <c r="C5" t="s">
        <v>2182</v>
      </c>
      <c r="D5" t="s">
        <v>414</v>
      </c>
      <c r="E5" t="s">
        <v>1891</v>
      </c>
      <c r="F5" t="s">
        <v>1892</v>
      </c>
      <c r="G5" t="s">
        <v>2053</v>
      </c>
      <c r="H5" t="s">
        <v>414</v>
      </c>
      <c r="I5" t="s">
        <v>2113</v>
      </c>
      <c r="J5" t="s">
        <v>449</v>
      </c>
      <c r="K5" t="s">
        <v>2135</v>
      </c>
    </row>
    <row r="6">
      <c r="A6" t="s">
        <v>185</v>
      </c>
      <c r="B6" t="s">
        <v>2183</v>
      </c>
      <c r="C6" t="s">
        <v>2184</v>
      </c>
      <c r="D6" t="s">
        <v>546</v>
      </c>
      <c r="E6" t="s">
        <v>1891</v>
      </c>
      <c r="F6" t="s">
        <v>1892</v>
      </c>
      <c r="G6" t="s">
        <v>2055</v>
      </c>
      <c r="H6" t="s">
        <v>546</v>
      </c>
      <c r="I6" t="s">
        <v>2055</v>
      </c>
      <c r="J6" t="s">
        <v>444</v>
      </c>
      <c r="K6" t="s">
        <v>2135</v>
      </c>
    </row>
    <row r="7">
      <c r="A7" t="s">
        <v>194</v>
      </c>
      <c r="B7" t="s">
        <v>2185</v>
      </c>
      <c r="C7" t="s">
        <v>2186</v>
      </c>
      <c r="D7" t="s">
        <v>494</v>
      </c>
      <c r="E7" t="s">
        <v>1891</v>
      </c>
      <c r="F7" t="s">
        <v>1892</v>
      </c>
      <c r="G7" t="s">
        <v>2057</v>
      </c>
      <c r="H7" t="s">
        <v>494</v>
      </c>
      <c r="I7" t="s">
        <v>2057</v>
      </c>
      <c r="J7" t="s">
        <v>1853</v>
      </c>
      <c r="K7" t="s">
        <v>2136</v>
      </c>
    </row>
    <row r="8">
      <c r="A8" t="s">
        <v>203</v>
      </c>
      <c r="B8" t="s">
        <v>2187</v>
      </c>
      <c r="C8" t="s">
        <v>2188</v>
      </c>
      <c r="D8" t="s">
        <v>386</v>
      </c>
      <c r="E8" t="s">
        <v>1891</v>
      </c>
      <c r="F8" t="s">
        <v>1892</v>
      </c>
      <c r="G8" t="s">
        <v>1662</v>
      </c>
      <c r="H8" t="s">
        <v>386</v>
      </c>
      <c r="I8" t="s">
        <v>1662</v>
      </c>
      <c r="J8" t="s">
        <v>1809</v>
      </c>
      <c r="K8" t="s">
        <v>2135</v>
      </c>
    </row>
    <row r="9">
      <c r="A9" t="s">
        <v>212</v>
      </c>
      <c r="B9" t="s">
        <v>2189</v>
      </c>
      <c r="C9" t="s">
        <v>2190</v>
      </c>
      <c r="D9" t="s">
        <v>1698</v>
      </c>
      <c r="E9" t="s">
        <v>1908</v>
      </c>
      <c r="F9" t="s">
        <v>1892</v>
      </c>
      <c r="G9" t="s">
        <v>109</v>
      </c>
      <c r="H9" t="s">
        <v>109</v>
      </c>
      <c r="I9" t="s">
        <v>109</v>
      </c>
      <c r="J9" t="s">
        <v>109</v>
      </c>
      <c r="K9" t="s">
        <v>109</v>
      </c>
    </row>
    <row r="10">
      <c r="A10" t="s">
        <v>216</v>
      </c>
      <c r="B10" t="s">
        <v>2191</v>
      </c>
      <c r="C10" t="s">
        <v>2192</v>
      </c>
      <c r="D10" t="s">
        <v>122</v>
      </c>
      <c r="E10" t="s">
        <v>1908</v>
      </c>
      <c r="F10" t="s">
        <v>1892</v>
      </c>
      <c r="G10" t="s">
        <v>109</v>
      </c>
      <c r="H10" t="s">
        <v>109</v>
      </c>
      <c r="I10" t="s">
        <v>109</v>
      </c>
      <c r="J10" t="s">
        <v>109</v>
      </c>
      <c r="K10" t="s">
        <v>109</v>
      </c>
    </row>
    <row r="11">
      <c r="A11" t="s">
        <v>220</v>
      </c>
      <c r="B11" t="s">
        <v>2193</v>
      </c>
      <c r="C11" t="s">
        <v>2194</v>
      </c>
      <c r="D11" t="s">
        <v>372</v>
      </c>
      <c r="E11" t="s">
        <v>1891</v>
      </c>
      <c r="F11" t="s">
        <v>1938</v>
      </c>
      <c r="G11" t="s">
        <v>2060</v>
      </c>
      <c r="H11" t="s">
        <v>372</v>
      </c>
      <c r="I11" t="s">
        <v>2126</v>
      </c>
      <c r="J11" t="s">
        <v>372</v>
      </c>
      <c r="K11" t="s">
        <v>2137</v>
      </c>
    </row>
    <row r="12">
      <c r="A12" t="s">
        <v>230</v>
      </c>
      <c r="B12" t="s">
        <v>2195</v>
      </c>
      <c r="C12" t="s">
        <v>2196</v>
      </c>
      <c r="D12" t="s">
        <v>1566</v>
      </c>
      <c r="E12" t="s">
        <v>1891</v>
      </c>
      <c r="F12" t="s">
        <v>1892</v>
      </c>
      <c r="G12" t="s">
        <v>2062</v>
      </c>
      <c r="H12" t="s">
        <v>1566</v>
      </c>
      <c r="I12" t="s">
        <v>2130</v>
      </c>
      <c r="J12" t="s">
        <v>386</v>
      </c>
      <c r="K12" t="s">
        <v>2138</v>
      </c>
    </row>
    <row r="13">
      <c r="A13" t="s">
        <v>240</v>
      </c>
      <c r="B13" t="s">
        <v>2197</v>
      </c>
      <c r="C13" t="s">
        <v>2198</v>
      </c>
      <c r="D13" t="s">
        <v>460</v>
      </c>
      <c r="E13" t="s">
        <v>1917</v>
      </c>
      <c r="F13" t="s">
        <v>1938</v>
      </c>
      <c r="G13" t="s">
        <v>109</v>
      </c>
      <c r="H13" t="s">
        <v>109</v>
      </c>
      <c r="I13" t="s">
        <v>109</v>
      </c>
      <c r="J13" t="s">
        <v>109</v>
      </c>
      <c r="K13" t="s">
        <v>109</v>
      </c>
    </row>
    <row r="14">
      <c r="A14" t="s">
        <v>246</v>
      </c>
      <c r="B14" t="s">
        <v>2199</v>
      </c>
      <c r="C14" t="s">
        <v>2200</v>
      </c>
      <c r="D14" t="s">
        <v>109</v>
      </c>
      <c r="E14" t="s">
        <v>109</v>
      </c>
      <c r="F14" t="s">
        <v>109</v>
      </c>
      <c r="G14" t="s">
        <v>109</v>
      </c>
      <c r="H14" t="s">
        <v>109</v>
      </c>
      <c r="I14" t="s">
        <v>109</v>
      </c>
      <c r="J14" t="s">
        <v>109</v>
      </c>
      <c r="K14" t="s">
        <v>109</v>
      </c>
    </row>
    <row r="15">
      <c r="A15" t="s">
        <v>250</v>
      </c>
      <c r="B15" t="s">
        <v>2201</v>
      </c>
      <c r="C15" t="s">
        <v>2202</v>
      </c>
      <c r="D15" t="s">
        <v>109</v>
      </c>
      <c r="E15" t="s">
        <v>109</v>
      </c>
      <c r="F15" t="s">
        <v>109</v>
      </c>
      <c r="G15" t="s">
        <v>109</v>
      </c>
      <c r="H15" t="s">
        <v>109</v>
      </c>
      <c r="I15" t="s">
        <v>109</v>
      </c>
      <c r="J15" t="s">
        <v>109</v>
      </c>
      <c r="K15" t="s">
        <v>109</v>
      </c>
    </row>
    <row r="16">
      <c r="A16" t="s">
        <v>254</v>
      </c>
      <c r="B16" t="s">
        <v>2203</v>
      </c>
      <c r="C16" t="s">
        <v>2198</v>
      </c>
      <c r="D16" t="s">
        <v>109</v>
      </c>
      <c r="E16" t="s">
        <v>109</v>
      </c>
      <c r="F16" t="s">
        <v>109</v>
      </c>
      <c r="G16" t="s">
        <v>109</v>
      </c>
      <c r="H16" t="s">
        <v>109</v>
      </c>
      <c r="I16" t="s">
        <v>109</v>
      </c>
      <c r="J16" t="s">
        <v>109</v>
      </c>
      <c r="K16" t="s">
        <v>109</v>
      </c>
    </row>
    <row r="17">
      <c r="A17" t="s">
        <v>256</v>
      </c>
      <c r="B17" t="s">
        <v>2204</v>
      </c>
      <c r="C17" t="s">
        <v>2205</v>
      </c>
      <c r="D17" t="s">
        <v>109</v>
      </c>
      <c r="E17" t="s">
        <v>109</v>
      </c>
      <c r="F17" t="s">
        <v>109</v>
      </c>
      <c r="G17" t="s">
        <v>109</v>
      </c>
      <c r="H17" t="s">
        <v>109</v>
      </c>
      <c r="I17" t="s">
        <v>109</v>
      </c>
      <c r="J17" t="s">
        <v>109</v>
      </c>
      <c r="K17" t="s">
        <v>109</v>
      </c>
    </row>
  </sheetData>
  <pageMargins left="0.7" right="0.7" top="0.75" bottom="0.75" header="0.3" footer="0.3"/>
  <pageSetup paperSize="9" orientation="portrait" horizontalDpi="300" verticalDpi="300"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38.71" hidden="0" customWidth="1"/>
    <col min="2" max="2" width="18.71" hidden="0" customWidth="1"/>
    <col min="3" max="3" width="18.71" hidden="0" customWidth="1"/>
    <col min="4" max="4" width="18.71" hidden="0" customWidth="1"/>
    <col min="5" max="5" width="18.71" hidden="0" customWidth="1"/>
    <col min="6" max="6" width="18.71" hidden="0" customWidth="1"/>
    <col min="7" max="7" width="18.71" hidden="0" customWidth="1"/>
    <col min="8" max="8" width="18.71" hidden="0" customWidth="1"/>
    <col min="9" max="9" width="18.71" hidden="0" customWidth="1"/>
  </cols>
  <sheetData>
    <row r="1">
      <c r="A1" s="10" t="s">
        <v>2140</v>
      </c>
    </row>
    <row r="3">
      <c r="A3" s="3" t="s">
        <v>37</v>
      </c>
      <c r="B3" s="3" t="s">
        <v>2141</v>
      </c>
      <c r="C3" s="3" t="s">
        <v>2142</v>
      </c>
      <c r="D3" s="3" t="s">
        <v>41</v>
      </c>
      <c r="E3" s="3" t="s">
        <v>44</v>
      </c>
      <c r="F3" s="3" t="s">
        <v>45</v>
      </c>
      <c r="G3" s="3" t="s">
        <v>164</v>
      </c>
      <c r="H3" s="3" t="s">
        <v>165</v>
      </c>
      <c r="I3" s="3" t="s">
        <v>166</v>
      </c>
    </row>
    <row r="4">
      <c r="A4" s="4" t="s">
        <v>260</v>
      </c>
      <c r="B4" s="4" t="s">
        <v>109</v>
      </c>
      <c r="C4" s="4" t="s">
        <v>109</v>
      </c>
      <c r="D4" s="4" t="s">
        <v>109</v>
      </c>
      <c r="E4" s="4" t="s">
        <v>109</v>
      </c>
      <c r="F4" s="4" t="s">
        <v>109</v>
      </c>
      <c r="G4" s="4" t="s">
        <v>109</v>
      </c>
      <c r="H4" s="4" t="s">
        <v>109</v>
      </c>
      <c r="I4" s="4" t="s">
        <v>109</v>
      </c>
    </row>
    <row r="5">
      <c r="A5" t="s">
        <v>46</v>
      </c>
      <c r="B5" t="s">
        <v>2143</v>
      </c>
      <c r="C5" t="s">
        <v>2144</v>
      </c>
      <c r="D5" t="s">
        <v>400</v>
      </c>
      <c r="E5" t="s">
        <v>2027</v>
      </c>
      <c r="F5" t="s">
        <v>2145</v>
      </c>
      <c r="G5" t="s">
        <v>109</v>
      </c>
      <c r="H5" t="s">
        <v>109</v>
      </c>
      <c r="I5" t="s">
        <v>109</v>
      </c>
    </row>
    <row r="6">
      <c r="A6" t="s">
        <v>55</v>
      </c>
      <c r="B6" t="s">
        <v>2146</v>
      </c>
      <c r="C6" t="s">
        <v>2147</v>
      </c>
      <c r="D6" t="s">
        <v>1990</v>
      </c>
      <c r="E6" t="s">
        <v>2029</v>
      </c>
      <c r="F6" t="s">
        <v>1990</v>
      </c>
      <c r="G6" t="s">
        <v>109</v>
      </c>
      <c r="H6" t="s">
        <v>109</v>
      </c>
      <c r="I6" t="s">
        <v>109</v>
      </c>
    </row>
    <row r="7">
      <c r="A7" t="s">
        <v>62</v>
      </c>
      <c r="B7" t="s">
        <v>2148</v>
      </c>
      <c r="C7" t="s">
        <v>2149</v>
      </c>
      <c r="D7" t="s">
        <v>1513</v>
      </c>
      <c r="E7" t="s">
        <v>2031</v>
      </c>
      <c r="F7" t="s">
        <v>1513</v>
      </c>
      <c r="G7" t="s">
        <v>109</v>
      </c>
      <c r="H7" t="s">
        <v>109</v>
      </c>
      <c r="I7" t="s">
        <v>109</v>
      </c>
    </row>
    <row r="8">
      <c r="A8" t="s">
        <v>68</v>
      </c>
      <c r="B8" t="s">
        <v>2150</v>
      </c>
      <c r="C8" t="s">
        <v>71</v>
      </c>
      <c r="D8" t="s">
        <v>546</v>
      </c>
      <c r="E8" t="s">
        <v>2033</v>
      </c>
      <c r="F8" t="s">
        <v>546</v>
      </c>
      <c r="G8" t="s">
        <v>109</v>
      </c>
      <c r="H8" t="s">
        <v>109</v>
      </c>
      <c r="I8" t="s">
        <v>109</v>
      </c>
    </row>
    <row r="9">
      <c r="A9" t="s">
        <v>76</v>
      </c>
      <c r="B9" t="s">
        <v>2151</v>
      </c>
      <c r="C9" t="s">
        <v>79</v>
      </c>
      <c r="D9" t="s">
        <v>444</v>
      </c>
      <c r="E9" t="s">
        <v>2035</v>
      </c>
      <c r="F9" t="s">
        <v>444</v>
      </c>
      <c r="G9" t="s">
        <v>109</v>
      </c>
      <c r="H9" t="s">
        <v>109</v>
      </c>
      <c r="I9" t="s">
        <v>109</v>
      </c>
    </row>
    <row r="10">
      <c r="A10" t="s">
        <v>82</v>
      </c>
      <c r="B10" t="s">
        <v>83</v>
      </c>
      <c r="C10" t="s">
        <v>85</v>
      </c>
      <c r="D10" t="s">
        <v>171</v>
      </c>
      <c r="E10" t="s">
        <v>1599</v>
      </c>
      <c r="F10" t="s">
        <v>171</v>
      </c>
      <c r="G10" t="s">
        <v>109</v>
      </c>
      <c r="H10" t="s">
        <v>109</v>
      </c>
      <c r="I10" t="s">
        <v>109</v>
      </c>
    </row>
    <row r="11">
      <c r="A11" t="s">
        <v>89</v>
      </c>
      <c r="B11" t="s">
        <v>2152</v>
      </c>
      <c r="C11" t="s">
        <v>2153</v>
      </c>
      <c r="D11" t="s">
        <v>540</v>
      </c>
      <c r="E11" t="s">
        <v>2037</v>
      </c>
      <c r="F11" t="s">
        <v>540</v>
      </c>
      <c r="G11" t="s">
        <v>109</v>
      </c>
      <c r="H11" t="s">
        <v>109</v>
      </c>
      <c r="I11" t="s">
        <v>109</v>
      </c>
    </row>
    <row r="12">
      <c r="A12" t="s">
        <v>95</v>
      </c>
      <c r="B12" t="s">
        <v>2154</v>
      </c>
      <c r="C12" t="s">
        <v>2155</v>
      </c>
      <c r="D12" t="s">
        <v>429</v>
      </c>
      <c r="E12" t="s">
        <v>2039</v>
      </c>
      <c r="F12" t="s">
        <v>429</v>
      </c>
      <c r="G12" t="s">
        <v>109</v>
      </c>
      <c r="H12" t="s">
        <v>109</v>
      </c>
      <c r="I12" t="s">
        <v>109</v>
      </c>
    </row>
    <row r="13">
      <c r="A13" t="s">
        <v>103</v>
      </c>
      <c r="B13" t="s">
        <v>2156</v>
      </c>
      <c r="C13" t="s">
        <v>2157</v>
      </c>
      <c r="D13" t="s">
        <v>461</v>
      </c>
      <c r="E13" t="s">
        <v>109</v>
      </c>
      <c r="F13" t="s">
        <v>109</v>
      </c>
      <c r="G13" t="s">
        <v>109</v>
      </c>
      <c r="H13" t="s">
        <v>109</v>
      </c>
      <c r="I13" t="s">
        <v>109</v>
      </c>
    </row>
    <row r="14">
      <c r="A14" t="s">
        <v>110</v>
      </c>
      <c r="B14" t="s">
        <v>2158</v>
      </c>
      <c r="C14" t="s">
        <v>2159</v>
      </c>
      <c r="D14" t="s">
        <v>465</v>
      </c>
      <c r="E14" t="s">
        <v>2042</v>
      </c>
      <c r="F14" t="s">
        <v>2160</v>
      </c>
      <c r="G14" t="s">
        <v>109</v>
      </c>
      <c r="H14" t="s">
        <v>109</v>
      </c>
      <c r="I14" t="s">
        <v>109</v>
      </c>
    </row>
    <row r="15">
      <c r="A15" t="s">
        <v>118</v>
      </c>
      <c r="B15" t="s">
        <v>2161</v>
      </c>
      <c r="C15" t="s">
        <v>2162</v>
      </c>
      <c r="D15" t="s">
        <v>494</v>
      </c>
      <c r="E15" t="s">
        <v>2045</v>
      </c>
      <c r="F15" t="s">
        <v>2163</v>
      </c>
      <c r="G15" t="s">
        <v>109</v>
      </c>
      <c r="H15" t="s">
        <v>109</v>
      </c>
      <c r="I15" t="s">
        <v>109</v>
      </c>
    </row>
    <row r="16">
      <c r="A16" t="s">
        <v>125</v>
      </c>
      <c r="B16" t="s">
        <v>2164</v>
      </c>
      <c r="C16" t="s">
        <v>2165</v>
      </c>
      <c r="D16" t="s">
        <v>476</v>
      </c>
      <c r="E16" t="s">
        <v>109</v>
      </c>
      <c r="F16" t="s">
        <v>109</v>
      </c>
      <c r="G16" t="s">
        <v>109</v>
      </c>
      <c r="H16" t="s">
        <v>109</v>
      </c>
      <c r="I16" t="s">
        <v>109</v>
      </c>
    </row>
    <row r="17">
      <c r="A17" t="s">
        <v>130</v>
      </c>
      <c r="B17" t="s">
        <v>2166</v>
      </c>
      <c r="C17" t="s">
        <v>2165</v>
      </c>
      <c r="D17" t="s">
        <v>109</v>
      </c>
      <c r="E17" t="s">
        <v>109</v>
      </c>
      <c r="F17" t="s">
        <v>109</v>
      </c>
      <c r="G17" t="s">
        <v>109</v>
      </c>
      <c r="H17" t="s">
        <v>109</v>
      </c>
      <c r="I17" t="s">
        <v>109</v>
      </c>
    </row>
    <row r="18">
      <c r="A18" t="s">
        <v>134</v>
      </c>
      <c r="B18" t="s">
        <v>2167</v>
      </c>
      <c r="C18" t="s">
        <v>2168</v>
      </c>
      <c r="D18" t="s">
        <v>109</v>
      </c>
      <c r="E18" t="s">
        <v>109</v>
      </c>
      <c r="F18" t="s">
        <v>109</v>
      </c>
      <c r="G18" t="s">
        <v>109</v>
      </c>
      <c r="H18" t="s">
        <v>109</v>
      </c>
      <c r="I18" t="s">
        <v>109</v>
      </c>
    </row>
    <row r="19">
      <c r="A19" s="4" t="s">
        <v>138</v>
      </c>
      <c r="B19" s="4" t="s">
        <v>109</v>
      </c>
      <c r="C19" s="4" t="s">
        <v>109</v>
      </c>
      <c r="D19" s="4" t="s">
        <v>109</v>
      </c>
      <c r="E19" s="4" t="s">
        <v>109</v>
      </c>
      <c r="F19" s="4" t="s">
        <v>109</v>
      </c>
      <c r="G19" s="4" t="s">
        <v>109</v>
      </c>
      <c r="H19" s="4" t="s">
        <v>109</v>
      </c>
      <c r="I19" s="4" t="s">
        <v>109</v>
      </c>
    </row>
    <row r="20">
      <c r="A20" t="s">
        <v>139</v>
      </c>
      <c r="B20" t="s">
        <v>2169</v>
      </c>
      <c r="C20" t="s">
        <v>142</v>
      </c>
      <c r="D20" t="s">
        <v>484</v>
      </c>
      <c r="E20" t="s">
        <v>2047</v>
      </c>
      <c r="F20" t="s">
        <v>2170</v>
      </c>
      <c r="G20" t="s">
        <v>109</v>
      </c>
      <c r="H20" t="s">
        <v>109</v>
      </c>
      <c r="I20" t="s">
        <v>109</v>
      </c>
    </row>
    <row r="21">
      <c r="A21" t="s">
        <v>145</v>
      </c>
      <c r="B21" t="s">
        <v>2171</v>
      </c>
      <c r="C21" t="s">
        <v>2172</v>
      </c>
      <c r="D21" t="s">
        <v>509</v>
      </c>
      <c r="E21" t="s">
        <v>2049</v>
      </c>
      <c r="F21" t="s">
        <v>509</v>
      </c>
      <c r="G21" t="s">
        <v>109</v>
      </c>
      <c r="H21" t="s">
        <v>109</v>
      </c>
      <c r="I21" t="s">
        <v>109</v>
      </c>
    </row>
    <row r="22">
      <c r="A22" t="s">
        <v>151</v>
      </c>
      <c r="B22" t="s">
        <v>2173</v>
      </c>
      <c r="C22" t="s">
        <v>2174</v>
      </c>
      <c r="D22" t="s">
        <v>1624</v>
      </c>
      <c r="E22" t="s">
        <v>109</v>
      </c>
      <c r="F22" t="s">
        <v>109</v>
      </c>
      <c r="G22" t="s">
        <v>109</v>
      </c>
      <c r="H22" t="s">
        <v>109</v>
      </c>
      <c r="I22" t="s">
        <v>109</v>
      </c>
    </row>
    <row r="23">
      <c r="A23" t="s">
        <v>156</v>
      </c>
      <c r="B23" t="s">
        <v>2175</v>
      </c>
      <c r="C23" t="s">
        <v>2176</v>
      </c>
      <c r="D23" t="s">
        <v>109</v>
      </c>
      <c r="E23" t="s">
        <v>109</v>
      </c>
      <c r="F23" t="s">
        <v>109</v>
      </c>
      <c r="G23" t="s">
        <v>109</v>
      </c>
      <c r="H23" t="s">
        <v>109</v>
      </c>
      <c r="I23" t="s">
        <v>109</v>
      </c>
    </row>
    <row r="24">
      <c r="A24" t="s">
        <v>160</v>
      </c>
      <c r="B24" t="s">
        <v>2177</v>
      </c>
      <c r="C24" t="s">
        <v>2178</v>
      </c>
      <c r="D24" t="s">
        <v>109</v>
      </c>
      <c r="E24" t="s">
        <v>109</v>
      </c>
      <c r="F24" t="s">
        <v>109</v>
      </c>
      <c r="G24" t="s">
        <v>109</v>
      </c>
      <c r="H24" t="s">
        <v>109</v>
      </c>
      <c r="I24" t="s">
        <v>109</v>
      </c>
    </row>
    <row r="25">
      <c r="A25" s="4" t="s">
        <v>261</v>
      </c>
      <c r="B25" s="4" t="s">
        <v>109</v>
      </c>
      <c r="C25" s="4" t="s">
        <v>109</v>
      </c>
      <c r="D25" s="4" t="s">
        <v>109</v>
      </c>
      <c r="E25" s="4" t="s">
        <v>109</v>
      </c>
      <c r="F25" s="4" t="s">
        <v>109</v>
      </c>
      <c r="G25" s="4" t="s">
        <v>109</v>
      </c>
      <c r="H25" s="4" t="s">
        <v>109</v>
      </c>
      <c r="I25" s="4" t="s">
        <v>109</v>
      </c>
    </row>
    <row r="26">
      <c r="A26" t="s">
        <v>167</v>
      </c>
      <c r="B26" t="s">
        <v>2179</v>
      </c>
      <c r="C26" t="s">
        <v>2180</v>
      </c>
      <c r="D26" t="s">
        <v>433</v>
      </c>
      <c r="E26" t="s">
        <v>2051</v>
      </c>
      <c r="F26" t="s">
        <v>433</v>
      </c>
      <c r="G26" t="s">
        <v>2109</v>
      </c>
      <c r="H26" t="s">
        <v>122</v>
      </c>
      <c r="I26" t="s">
        <v>2135</v>
      </c>
    </row>
    <row r="27">
      <c r="A27" t="s">
        <v>177</v>
      </c>
      <c r="B27" t="s">
        <v>2181</v>
      </c>
      <c r="C27" t="s">
        <v>2182</v>
      </c>
      <c r="D27" t="s">
        <v>414</v>
      </c>
      <c r="E27" t="s">
        <v>2053</v>
      </c>
      <c r="F27" t="s">
        <v>414</v>
      </c>
      <c r="G27" t="s">
        <v>2113</v>
      </c>
      <c r="H27" t="s">
        <v>449</v>
      </c>
      <c r="I27" t="s">
        <v>2135</v>
      </c>
    </row>
    <row r="28">
      <c r="A28" t="s">
        <v>185</v>
      </c>
      <c r="B28" t="s">
        <v>2183</v>
      </c>
      <c r="C28" t="s">
        <v>2184</v>
      </c>
      <c r="D28" t="s">
        <v>546</v>
      </c>
      <c r="E28" t="s">
        <v>2055</v>
      </c>
      <c r="F28" t="s">
        <v>546</v>
      </c>
      <c r="G28" t="s">
        <v>2055</v>
      </c>
      <c r="H28" t="s">
        <v>444</v>
      </c>
      <c r="I28" t="s">
        <v>2135</v>
      </c>
    </row>
    <row r="29">
      <c r="A29" t="s">
        <v>194</v>
      </c>
      <c r="B29" t="s">
        <v>2185</v>
      </c>
      <c r="C29" t="s">
        <v>2186</v>
      </c>
      <c r="D29" t="s">
        <v>494</v>
      </c>
      <c r="E29" t="s">
        <v>2057</v>
      </c>
      <c r="F29" t="s">
        <v>494</v>
      </c>
      <c r="G29" t="s">
        <v>2057</v>
      </c>
      <c r="H29" t="s">
        <v>1853</v>
      </c>
      <c r="I29" t="s">
        <v>2136</v>
      </c>
    </row>
    <row r="30">
      <c r="A30" t="s">
        <v>203</v>
      </c>
      <c r="B30" t="s">
        <v>2187</v>
      </c>
      <c r="C30" t="s">
        <v>2188</v>
      </c>
      <c r="D30" t="s">
        <v>386</v>
      </c>
      <c r="E30" t="s">
        <v>1662</v>
      </c>
      <c r="F30" t="s">
        <v>386</v>
      </c>
      <c r="G30" t="s">
        <v>1662</v>
      </c>
      <c r="H30" t="s">
        <v>1809</v>
      </c>
      <c r="I30" t="s">
        <v>2135</v>
      </c>
    </row>
    <row r="31">
      <c r="A31" t="s">
        <v>212</v>
      </c>
      <c r="B31" t="s">
        <v>2189</v>
      </c>
      <c r="C31" t="s">
        <v>2190</v>
      </c>
      <c r="D31" t="s">
        <v>1698</v>
      </c>
      <c r="E31" t="s">
        <v>109</v>
      </c>
      <c r="F31" t="s">
        <v>109</v>
      </c>
      <c r="G31" t="s">
        <v>109</v>
      </c>
      <c r="H31" t="s">
        <v>109</v>
      </c>
      <c r="I31" t="s">
        <v>109</v>
      </c>
    </row>
    <row r="32">
      <c r="A32" t="s">
        <v>216</v>
      </c>
      <c r="B32" t="s">
        <v>2191</v>
      </c>
      <c r="C32" t="s">
        <v>2192</v>
      </c>
      <c r="D32" t="s">
        <v>122</v>
      </c>
      <c r="E32" t="s">
        <v>109</v>
      </c>
      <c r="F32" t="s">
        <v>109</v>
      </c>
      <c r="G32" t="s">
        <v>109</v>
      </c>
      <c r="H32" t="s">
        <v>109</v>
      </c>
      <c r="I32" t="s">
        <v>109</v>
      </c>
    </row>
    <row r="33">
      <c r="A33" t="s">
        <v>220</v>
      </c>
      <c r="B33" t="s">
        <v>2193</v>
      </c>
      <c r="C33" t="s">
        <v>2194</v>
      </c>
      <c r="D33" t="s">
        <v>372</v>
      </c>
      <c r="E33" t="s">
        <v>2060</v>
      </c>
      <c r="F33" t="s">
        <v>372</v>
      </c>
      <c r="G33" t="s">
        <v>2126</v>
      </c>
      <c r="H33" t="s">
        <v>372</v>
      </c>
      <c r="I33" t="s">
        <v>2137</v>
      </c>
    </row>
    <row r="34">
      <c r="A34" t="s">
        <v>230</v>
      </c>
      <c r="B34" t="s">
        <v>2195</v>
      </c>
      <c r="C34" t="s">
        <v>2196</v>
      </c>
      <c r="D34" t="s">
        <v>1566</v>
      </c>
      <c r="E34" t="s">
        <v>2062</v>
      </c>
      <c r="F34" t="s">
        <v>1566</v>
      </c>
      <c r="G34" t="s">
        <v>2130</v>
      </c>
      <c r="H34" t="s">
        <v>386</v>
      </c>
      <c r="I34" t="s">
        <v>2138</v>
      </c>
    </row>
    <row r="35">
      <c r="A35" t="s">
        <v>240</v>
      </c>
      <c r="B35" t="s">
        <v>2197</v>
      </c>
      <c r="C35" t="s">
        <v>2198</v>
      </c>
      <c r="D35" t="s">
        <v>460</v>
      </c>
      <c r="E35" t="s">
        <v>109</v>
      </c>
      <c r="F35" t="s">
        <v>109</v>
      </c>
      <c r="G35" t="s">
        <v>109</v>
      </c>
      <c r="H35" t="s">
        <v>109</v>
      </c>
      <c r="I35" t="s">
        <v>109</v>
      </c>
    </row>
    <row r="36">
      <c r="A36" t="s">
        <v>246</v>
      </c>
      <c r="B36" t="s">
        <v>2199</v>
      </c>
      <c r="C36" t="s">
        <v>2200</v>
      </c>
      <c r="D36" t="s">
        <v>109</v>
      </c>
      <c r="E36" t="s">
        <v>109</v>
      </c>
      <c r="F36" t="s">
        <v>109</v>
      </c>
      <c r="G36" t="s">
        <v>109</v>
      </c>
      <c r="H36" t="s">
        <v>109</v>
      </c>
      <c r="I36" t="s">
        <v>109</v>
      </c>
    </row>
    <row r="37">
      <c r="A37" t="s">
        <v>250</v>
      </c>
      <c r="B37" t="s">
        <v>2201</v>
      </c>
      <c r="C37" t="s">
        <v>2202</v>
      </c>
      <c r="D37" t="s">
        <v>109</v>
      </c>
      <c r="E37" t="s">
        <v>109</v>
      </c>
      <c r="F37" t="s">
        <v>109</v>
      </c>
      <c r="G37" t="s">
        <v>109</v>
      </c>
      <c r="H37" t="s">
        <v>109</v>
      </c>
      <c r="I37" t="s">
        <v>109</v>
      </c>
    </row>
    <row r="38">
      <c r="A38" t="s">
        <v>254</v>
      </c>
      <c r="B38" t="s">
        <v>2203</v>
      </c>
      <c r="C38" t="s">
        <v>2198</v>
      </c>
      <c r="D38" t="s">
        <v>109</v>
      </c>
      <c r="E38" t="s">
        <v>109</v>
      </c>
      <c r="F38" t="s">
        <v>109</v>
      </c>
      <c r="G38" t="s">
        <v>109</v>
      </c>
      <c r="H38" t="s">
        <v>109</v>
      </c>
      <c r="I38" t="s">
        <v>109</v>
      </c>
    </row>
    <row r="39">
      <c r="A39" t="s">
        <v>256</v>
      </c>
      <c r="B39" t="s">
        <v>2204</v>
      </c>
      <c r="C39" t="s">
        <v>2205</v>
      </c>
      <c r="D39" t="s">
        <v>109</v>
      </c>
      <c r="E39" t="s">
        <v>109</v>
      </c>
      <c r="F39" t="s">
        <v>109</v>
      </c>
      <c r="G39" t="s">
        <v>109</v>
      </c>
      <c r="H39" t="s">
        <v>109</v>
      </c>
      <c r="I39" t="s">
        <v>109</v>
      </c>
    </row>
    <row r="41">
      <c r="A41" t="s">
        <v>262</v>
      </c>
    </row>
    <row r="42">
      <c r="A42" t="s">
        <v>263</v>
      </c>
    </row>
    <row r="43">
      <c r="A43" t="s">
        <v>264</v>
      </c>
    </row>
    <row r="44">
      <c r="A44" t="s">
        <v>265</v>
      </c>
    </row>
    <row r="45">
      <c r="A45" t="s">
        <v>266</v>
      </c>
    </row>
    <row r="46">
      <c r="A46" t="s">
        <v>267</v>
      </c>
    </row>
    <row r="47">
      <c r="A47" t="s">
        <v>269</v>
      </c>
    </row>
    <row r="48">
      <c r="A48" t="s">
        <v>1960</v>
      </c>
    </row>
    <row r="49">
      <c r="A49" t="s">
        <v>109</v>
      </c>
    </row>
    <row r="50">
      <c r="A50" t="s">
        <v>270</v>
      </c>
    </row>
    <row r="51">
      <c r="A51" t="s">
        <v>1961</v>
      </c>
    </row>
    <row r="52">
      <c r="A52" t="s">
        <v>1962</v>
      </c>
    </row>
    <row r="53">
      <c r="A53" t="s">
        <v>1963</v>
      </c>
    </row>
  </sheetData>
  <pageMargins left="0.7" right="0.7" top="0.75" bottom="0.75" header="0.3" footer="0.3"/>
  <pageSetup paperSize="9" orientation="portrait" horizontalDpi="300" verticalDpi="300" r:id="rId2"/>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5" t="s">
        <v>279</v>
      </c>
      <c r="B1" s="5" t="s">
        <v>280</v>
      </c>
      <c r="C1" s="5" t="s">
        <v>281</v>
      </c>
      <c r="D1" s="5" t="s">
        <v>282</v>
      </c>
      <c r="E1" s="6" t="s">
        <v>283</v>
      </c>
      <c r="F1" s="6" t="s">
        <v>284</v>
      </c>
      <c r="G1" s="6" t="s">
        <v>285</v>
      </c>
      <c r="H1" s="6" t="s">
        <v>286</v>
      </c>
      <c r="I1" s="6" t="s">
        <v>82</v>
      </c>
      <c r="J1" s="7" t="s">
        <v>287</v>
      </c>
      <c r="K1" s="7" t="s">
        <v>288</v>
      </c>
      <c r="L1" s="7" t="s">
        <v>289</v>
      </c>
      <c r="M1" s="7" t="s">
        <v>290</v>
      </c>
      <c r="N1" s="8" t="s">
        <v>291</v>
      </c>
      <c r="O1" s="8" t="s">
        <v>292</v>
      </c>
      <c r="P1" s="8" t="s">
        <v>293</v>
      </c>
      <c r="Q1" s="8" t="s">
        <v>294</v>
      </c>
      <c r="R1" s="8" t="s">
        <v>203</v>
      </c>
      <c r="S1" s="8" t="s">
        <v>194</v>
      </c>
      <c r="T1" s="9" t="s">
        <v>295</v>
      </c>
    </row>
    <row r="2">
      <c r="A2" t="s">
        <v>30</v>
      </c>
      <c r="B2" t="n">
        <v>0.8</v>
      </c>
      <c r="C2" t="n">
        <v>0.8</v>
      </c>
      <c r="D2" t="n">
        <v>0.8</v>
      </c>
      <c r="E2" t="n">
        <v>-4.5</v>
      </c>
      <c r="F2" t="n">
        <v>-0.5</v>
      </c>
      <c r="G2" t="n">
        <v>139</v>
      </c>
      <c r="H2" t="n">
        <v>12</v>
      </c>
      <c r="I2" t="s">
        <v>296</v>
      </c>
      <c r="J2" t="n">
        <v>0</v>
      </c>
      <c r="K2" t="n">
        <v>0</v>
      </c>
      <c r="L2" t="n">
        <v>0</v>
      </c>
      <c r="M2" t="n">
        <v>12</v>
      </c>
      <c r="N2" t="n">
        <v>0.25</v>
      </c>
      <c r="O2" t="n">
        <v>-0.25</v>
      </c>
      <c r="P2" t="n">
        <v>27</v>
      </c>
      <c r="Q2" t="n">
        <v>12</v>
      </c>
      <c r="R2" t="s">
        <v>296</v>
      </c>
      <c r="S2" t="s">
        <v>296</v>
      </c>
      <c r="T2" t="n">
        <v>0.125</v>
      </c>
    </row>
    <row r="3">
      <c r="A3" t="s">
        <v>30</v>
      </c>
      <c r="B3" t="n">
        <v>0.8</v>
      </c>
      <c r="C3" t="n">
        <v>0.8</v>
      </c>
      <c r="D3" t="n">
        <v>0.8</v>
      </c>
      <c r="E3" t="n">
        <v>-4.75</v>
      </c>
      <c r="F3" t="n">
        <v>-0.75</v>
      </c>
      <c r="G3" t="n">
        <v>41</v>
      </c>
      <c r="H3" t="n">
        <v>12</v>
      </c>
      <c r="I3" t="s">
        <v>296</v>
      </c>
      <c r="J3" t="n">
        <v>0</v>
      </c>
      <c r="K3" t="n">
        <v>0</v>
      </c>
      <c r="L3" t="n">
        <v>0</v>
      </c>
      <c r="M3" t="n">
        <v>12</v>
      </c>
      <c r="N3" t="n">
        <v>0.5</v>
      </c>
      <c r="O3" t="n">
        <v>-0.25</v>
      </c>
      <c r="P3" t="n">
        <v>75</v>
      </c>
      <c r="Q3" t="n">
        <v>12</v>
      </c>
      <c r="R3" t="s">
        <v>296</v>
      </c>
      <c r="S3" t="s">
        <v>296</v>
      </c>
      <c r="T3" t="n">
        <v>0.375</v>
      </c>
    </row>
    <row r="4">
      <c r="A4" t="s">
        <v>30</v>
      </c>
      <c r="B4" t="n">
        <v>0.8</v>
      </c>
      <c r="C4" t="n">
        <v>1</v>
      </c>
      <c r="D4" t="n">
        <v>1</v>
      </c>
      <c r="E4" t="n">
        <v>-3</v>
      </c>
      <c r="F4" t="n">
        <v>-0.75</v>
      </c>
      <c r="G4" t="n">
        <v>70</v>
      </c>
      <c r="H4" t="n">
        <v>12</v>
      </c>
      <c r="I4" t="s">
        <v>296</v>
      </c>
      <c r="J4" t="n">
        <v>0</v>
      </c>
      <c r="K4" t="n">
        <v>0</v>
      </c>
      <c r="L4" t="n">
        <v>0</v>
      </c>
      <c r="M4" t="n">
        <v>12</v>
      </c>
      <c r="N4" t="n">
        <v>0.25</v>
      </c>
      <c r="O4" t="n">
        <v>-0.5</v>
      </c>
      <c r="P4" t="n">
        <v>78</v>
      </c>
      <c r="Q4" t="n">
        <v>12</v>
      </c>
      <c r="R4" t="s">
        <v>297</v>
      </c>
      <c r="S4" t="s">
        <v>297</v>
      </c>
      <c r="T4" t="n">
        <v>0</v>
      </c>
    </row>
    <row r="5">
      <c r="A5" t="s">
        <v>30</v>
      </c>
      <c r="B5" t="n">
        <v>0.8</v>
      </c>
      <c r="C5" t="n">
        <v>0.8</v>
      </c>
      <c r="D5" t="n">
        <v>1</v>
      </c>
      <c r="E5" t="n">
        <v>-4</v>
      </c>
      <c r="F5" t="n">
        <v>-1</v>
      </c>
      <c r="G5" t="n">
        <v>170</v>
      </c>
      <c r="H5" t="n">
        <v>12</v>
      </c>
      <c r="I5" t="s">
        <v>296</v>
      </c>
      <c r="J5" t="n">
        <v>0</v>
      </c>
      <c r="K5" t="n">
        <v>0</v>
      </c>
      <c r="L5" t="n">
        <v>0</v>
      </c>
      <c r="M5" t="n">
        <v>12</v>
      </c>
      <c r="N5" t="n">
        <v>0.5</v>
      </c>
      <c r="O5" t="n">
        <v>-0.75</v>
      </c>
      <c r="P5" t="n">
        <v>131</v>
      </c>
      <c r="Q5" t="n">
        <v>12</v>
      </c>
      <c r="R5" t="s">
        <v>297</v>
      </c>
      <c r="S5" t="s">
        <v>296</v>
      </c>
      <c r="T5" t="n">
        <v>0.125</v>
      </c>
    </row>
    <row r="6">
      <c r="A6" t="s">
        <v>30</v>
      </c>
      <c r="B6" t="n">
        <v>1</v>
      </c>
      <c r="C6" t="n">
        <v>1.25</v>
      </c>
      <c r="D6" t="n">
        <v>1.25</v>
      </c>
      <c r="E6" t="n">
        <v>-3.5</v>
      </c>
      <c r="F6" t="n">
        <v>-0.75</v>
      </c>
      <c r="G6" t="n">
        <v>95</v>
      </c>
      <c r="H6" t="n">
        <v>12</v>
      </c>
      <c r="I6" t="s">
        <v>297</v>
      </c>
      <c r="J6" t="n">
        <v>0</v>
      </c>
      <c r="K6" t="n">
        <v>0</v>
      </c>
      <c r="L6" t="n">
        <v>0</v>
      </c>
      <c r="M6" t="n">
        <v>12</v>
      </c>
      <c r="N6" t="n">
        <v>0</v>
      </c>
      <c r="O6" t="n">
        <v>-0.25</v>
      </c>
      <c r="P6" t="n">
        <v>92</v>
      </c>
      <c r="Q6" t="n">
        <v>12</v>
      </c>
      <c r="R6" t="s">
        <v>298</v>
      </c>
      <c r="S6" t="s">
        <v>298</v>
      </c>
      <c r="T6" t="n">
        <v>-0.125</v>
      </c>
    </row>
    <row r="7">
      <c r="A7" t="s">
        <v>30</v>
      </c>
      <c r="B7" t="n">
        <v>1</v>
      </c>
      <c r="C7" t="n">
        <v>1.25</v>
      </c>
      <c r="D7" t="n">
        <v>1.25</v>
      </c>
      <c r="E7" t="n">
        <v>-4.75</v>
      </c>
      <c r="F7" t="n">
        <v>-0.5</v>
      </c>
      <c r="G7" t="n">
        <v>106</v>
      </c>
      <c r="H7" t="n">
        <v>12</v>
      </c>
      <c r="I7" t="s">
        <v>297</v>
      </c>
      <c r="J7" t="n">
        <v>0</v>
      </c>
      <c r="K7" t="n">
        <v>0</v>
      </c>
      <c r="L7" t="n">
        <v>0</v>
      </c>
      <c r="M7" t="n">
        <v>12</v>
      </c>
      <c r="N7" t="n">
        <v>0.25</v>
      </c>
      <c r="O7" t="n">
        <v>-0.25</v>
      </c>
      <c r="P7" t="n">
        <v>123</v>
      </c>
      <c r="Q7" t="n">
        <v>12</v>
      </c>
      <c r="R7" t="s">
        <v>298</v>
      </c>
      <c r="S7" t="s">
        <v>298</v>
      </c>
      <c r="T7" t="n">
        <v>0.125</v>
      </c>
    </row>
    <row r="8">
      <c r="A8" t="s">
        <v>30</v>
      </c>
      <c r="B8" t="n">
        <v>0.8</v>
      </c>
      <c r="C8" t="n">
        <v>1</v>
      </c>
      <c r="D8" t="n">
        <v>1</v>
      </c>
      <c r="E8" t="n">
        <v>-6.5</v>
      </c>
      <c r="F8" t="n">
        <v>-1.5</v>
      </c>
      <c r="G8" t="n">
        <v>172</v>
      </c>
      <c r="H8" t="n">
        <v>12</v>
      </c>
      <c r="I8" t="s">
        <v>296</v>
      </c>
      <c r="J8" t="n">
        <v>0</v>
      </c>
      <c r="K8" t="n">
        <v>0</v>
      </c>
      <c r="L8" t="n">
        <v>0</v>
      </c>
      <c r="M8" t="n">
        <v>12</v>
      </c>
      <c r="N8" t="n">
        <v>-0.25</v>
      </c>
      <c r="O8" t="n">
        <v>-0.25</v>
      </c>
      <c r="P8" t="n">
        <v>37</v>
      </c>
      <c r="Q8" t="n">
        <v>12</v>
      </c>
      <c r="R8" t="s">
        <v>297</v>
      </c>
      <c r="S8" t="s">
        <v>297</v>
      </c>
      <c r="T8" t="n">
        <v>-0.375</v>
      </c>
    </row>
    <row r="9">
      <c r="A9" t="s">
        <v>30</v>
      </c>
      <c r="B9" t="n">
        <v>1</v>
      </c>
      <c r="C9" t="n">
        <v>1.25</v>
      </c>
      <c r="D9" t="n">
        <v>1.25</v>
      </c>
      <c r="E9" t="n">
        <v>-5</v>
      </c>
      <c r="F9" t="n">
        <v>-1.25</v>
      </c>
      <c r="G9" t="n">
        <v>171</v>
      </c>
      <c r="H9" t="n">
        <v>12</v>
      </c>
      <c r="I9" t="s">
        <v>297</v>
      </c>
      <c r="J9" t="n">
        <v>0</v>
      </c>
      <c r="K9" t="n">
        <v>0</v>
      </c>
      <c r="L9" t="n">
        <v>0</v>
      </c>
      <c r="M9" t="n">
        <v>12</v>
      </c>
      <c r="N9" t="n">
        <v>0.75</v>
      </c>
      <c r="O9" t="n">
        <v>-0.25</v>
      </c>
      <c r="P9" t="n">
        <v>162</v>
      </c>
      <c r="Q9" t="n">
        <v>12</v>
      </c>
      <c r="R9" t="s">
        <v>298</v>
      </c>
      <c r="S9" t="s">
        <v>298</v>
      </c>
      <c r="T9" t="n">
        <v>0.625</v>
      </c>
    </row>
    <row r="10">
      <c r="A10" t="s">
        <v>30</v>
      </c>
      <c r="B10" t="n">
        <v>1</v>
      </c>
      <c r="C10" t="n">
        <v>1</v>
      </c>
      <c r="D10" t="n">
        <v>1</v>
      </c>
      <c r="E10" t="n">
        <v>-4.5</v>
      </c>
      <c r="F10" t="n">
        <v>-0.5</v>
      </c>
      <c r="G10" t="n">
        <v>22</v>
      </c>
      <c r="H10" t="n">
        <v>12</v>
      </c>
      <c r="I10" t="s">
        <v>297</v>
      </c>
      <c r="J10" t="n">
        <v>0</v>
      </c>
      <c r="K10" t="n">
        <v>0</v>
      </c>
      <c r="L10" t="n">
        <v>0</v>
      </c>
      <c r="M10" t="n">
        <v>12</v>
      </c>
      <c r="N10" t="n">
        <v>0.75</v>
      </c>
      <c r="O10" t="n">
        <v>-0.25</v>
      </c>
      <c r="P10" t="n">
        <v>48</v>
      </c>
      <c r="Q10" t="n">
        <v>12</v>
      </c>
      <c r="R10" t="s">
        <v>297</v>
      </c>
      <c r="S10" t="s">
        <v>297</v>
      </c>
      <c r="T10" t="n">
        <v>0.625</v>
      </c>
    </row>
    <row r="11">
      <c r="A11" t="s">
        <v>30</v>
      </c>
      <c r="B11" t="n">
        <v>1.25</v>
      </c>
      <c r="C11" t="n">
        <v>1.6</v>
      </c>
      <c r="D11" t="n">
        <v>1.6</v>
      </c>
      <c r="E11" t="n">
        <v>-1.25</v>
      </c>
      <c r="F11" t="n">
        <v>-0.25</v>
      </c>
      <c r="G11" t="n">
        <v>165</v>
      </c>
      <c r="H11" t="n">
        <v>12</v>
      </c>
      <c r="I11" t="s">
        <v>298</v>
      </c>
      <c r="J11" t="n">
        <v>0</v>
      </c>
      <c r="K11" t="n">
        <v>0</v>
      </c>
      <c r="L11" t="n">
        <v>0</v>
      </c>
      <c r="M11" t="n">
        <v>12</v>
      </c>
      <c r="N11" t="n">
        <v>0.25</v>
      </c>
      <c r="O11" t="n">
        <v>0</v>
      </c>
      <c r="P11" t="n">
        <v>114</v>
      </c>
      <c r="Q11" t="n">
        <v>12</v>
      </c>
      <c r="R11" t="s">
        <v>299</v>
      </c>
      <c r="S11" t="s">
        <v>299</v>
      </c>
      <c r="T11" t="n">
        <v>0.25</v>
      </c>
    </row>
    <row r="12">
      <c r="A12" t="s">
        <v>30</v>
      </c>
      <c r="B12" t="n">
        <v>1.25</v>
      </c>
      <c r="C12" t="n">
        <v>1</v>
      </c>
      <c r="D12" t="n">
        <v>1.25</v>
      </c>
      <c r="E12" t="n">
        <v>-5</v>
      </c>
      <c r="F12" t="n">
        <v>-0.75</v>
      </c>
      <c r="G12" t="n">
        <v>50</v>
      </c>
      <c r="H12" t="n">
        <v>12</v>
      </c>
      <c r="I12" t="s">
        <v>298</v>
      </c>
      <c r="J12" t="n">
        <v>0</v>
      </c>
      <c r="K12" t="n">
        <v>0</v>
      </c>
      <c r="L12" t="n">
        <v>0</v>
      </c>
      <c r="M12" t="n">
        <v>12</v>
      </c>
      <c r="N12" t="n">
        <v>0.25</v>
      </c>
      <c r="O12" t="n">
        <v>-0.5</v>
      </c>
      <c r="P12" t="n">
        <v>31</v>
      </c>
      <c r="Q12" t="n">
        <v>12</v>
      </c>
      <c r="R12" t="s">
        <v>298</v>
      </c>
      <c r="S12" t="s">
        <v>297</v>
      </c>
      <c r="T12" t="n">
        <v>0</v>
      </c>
    </row>
    <row r="13">
      <c r="A13" t="s">
        <v>30</v>
      </c>
      <c r="B13" t="n">
        <v>1</v>
      </c>
      <c r="C13" t="n">
        <v>1.25</v>
      </c>
      <c r="D13" t="n">
        <v>1.6</v>
      </c>
      <c r="E13" t="n">
        <v>-3</v>
      </c>
      <c r="F13" t="n">
        <v>-0.5</v>
      </c>
      <c r="G13" t="n">
        <v>85</v>
      </c>
      <c r="H13" t="n">
        <v>12</v>
      </c>
      <c r="I13" t="s">
        <v>297</v>
      </c>
      <c r="J13" t="n">
        <v>0</v>
      </c>
      <c r="K13" t="n">
        <v>0</v>
      </c>
      <c r="L13" t="n">
        <v>0</v>
      </c>
      <c r="M13" t="n">
        <v>12</v>
      </c>
      <c r="N13" t="n">
        <v>0.5</v>
      </c>
      <c r="O13" t="n">
        <v>0</v>
      </c>
      <c r="P13" t="n">
        <v>131</v>
      </c>
      <c r="Q13" t="n">
        <v>12</v>
      </c>
      <c r="R13" t="s">
        <v>299</v>
      </c>
      <c r="S13" t="s">
        <v>298</v>
      </c>
      <c r="T13" t="n">
        <v>0.5</v>
      </c>
    </row>
    <row r="14">
      <c r="A14" t="s">
        <v>30</v>
      </c>
      <c r="B14" t="n">
        <v>1</v>
      </c>
      <c r="C14" t="n">
        <v>1</v>
      </c>
      <c r="D14" t="n">
        <v>1</v>
      </c>
      <c r="E14" t="n">
        <v>-1.5</v>
      </c>
      <c r="F14" t="n">
        <v>-1.5</v>
      </c>
      <c r="G14" t="n">
        <v>57</v>
      </c>
      <c r="H14" t="n">
        <v>12</v>
      </c>
      <c r="I14" t="s">
        <v>297</v>
      </c>
      <c r="J14" t="n">
        <v>0</v>
      </c>
      <c r="K14" t="n">
        <v>0</v>
      </c>
      <c r="L14" t="n">
        <v>0</v>
      </c>
      <c r="M14" t="n">
        <v>12</v>
      </c>
      <c r="N14" t="n">
        <v>0.5</v>
      </c>
      <c r="O14" t="n">
        <v>0</v>
      </c>
      <c r="P14" t="n">
        <v>84</v>
      </c>
      <c r="Q14" t="n">
        <v>12</v>
      </c>
      <c r="R14" t="s">
        <v>297</v>
      </c>
      <c r="S14" t="s">
        <v>297</v>
      </c>
      <c r="T14" t="n">
        <v>0.5</v>
      </c>
    </row>
    <row r="15">
      <c r="A15" t="s">
        <v>30</v>
      </c>
      <c r="B15" t="n">
        <v>1</v>
      </c>
      <c r="C15" t="n">
        <v>1</v>
      </c>
      <c r="D15" t="n">
        <v>1</v>
      </c>
      <c r="E15" t="n">
        <v>-4</v>
      </c>
      <c r="F15" t="n">
        <v>-1</v>
      </c>
      <c r="G15" t="n">
        <v>128</v>
      </c>
      <c r="H15" t="n">
        <v>12</v>
      </c>
      <c r="I15" t="s">
        <v>297</v>
      </c>
      <c r="J15" t="n">
        <v>0</v>
      </c>
      <c r="K15" t="n">
        <v>0</v>
      </c>
      <c r="L15" t="n">
        <v>0</v>
      </c>
      <c r="M15" t="n">
        <v>12</v>
      </c>
      <c r="N15" t="n">
        <v>0</v>
      </c>
      <c r="O15" t="n">
        <v>0</v>
      </c>
      <c r="P15" t="n">
        <v>42</v>
      </c>
      <c r="Q15" t="n">
        <v>12</v>
      </c>
      <c r="R15" t="s">
        <v>297</v>
      </c>
      <c r="S15" t="s">
        <v>297</v>
      </c>
      <c r="T15" t="n">
        <v>0</v>
      </c>
    </row>
    <row r="16">
      <c r="A16" t="s">
        <v>30</v>
      </c>
      <c r="B16" t="n">
        <v>1.25</v>
      </c>
      <c r="C16" t="n">
        <v>1.25</v>
      </c>
      <c r="D16" t="n">
        <v>1.25</v>
      </c>
      <c r="E16" t="n">
        <v>-1</v>
      </c>
      <c r="F16" t="n">
        <v>-1.25</v>
      </c>
      <c r="G16" t="n">
        <v>15</v>
      </c>
      <c r="H16" t="n">
        <v>12</v>
      </c>
      <c r="I16" t="s">
        <v>298</v>
      </c>
      <c r="J16" t="n">
        <v>0</v>
      </c>
      <c r="K16" t="n">
        <v>0</v>
      </c>
      <c r="L16" t="n">
        <v>0</v>
      </c>
      <c r="M16" t="n">
        <v>12</v>
      </c>
      <c r="N16" t="n">
        <v>1</v>
      </c>
      <c r="O16" t="n">
        <v>-0.5</v>
      </c>
      <c r="P16" t="n">
        <v>37</v>
      </c>
      <c r="Q16" t="n">
        <v>12</v>
      </c>
      <c r="R16" t="s">
        <v>298</v>
      </c>
      <c r="S16" t="s">
        <v>298</v>
      </c>
      <c r="T16" t="n">
        <v>0.75</v>
      </c>
    </row>
    <row r="17">
      <c r="A17" t="s">
        <v>30</v>
      </c>
      <c r="B17" t="n">
        <v>1.25</v>
      </c>
      <c r="C17" t="n">
        <v>1.25</v>
      </c>
      <c r="D17" t="n">
        <v>1.25</v>
      </c>
      <c r="E17" t="n">
        <v>-1.5</v>
      </c>
      <c r="F17" t="n">
        <v>-0.5</v>
      </c>
      <c r="G17" t="n">
        <v>6</v>
      </c>
      <c r="H17" t="n">
        <v>12</v>
      </c>
      <c r="I17" t="s">
        <v>298</v>
      </c>
      <c r="J17" t="n">
        <v>0</v>
      </c>
      <c r="K17" t="n">
        <v>0</v>
      </c>
      <c r="L17" t="n">
        <v>0</v>
      </c>
      <c r="M17" t="n">
        <v>12</v>
      </c>
      <c r="N17" t="n">
        <v>0.25</v>
      </c>
      <c r="O17" t="n">
        <v>-0.25</v>
      </c>
      <c r="P17" t="n">
        <v>164</v>
      </c>
      <c r="Q17" t="n">
        <v>12</v>
      </c>
      <c r="R17" t="s">
        <v>298</v>
      </c>
      <c r="S17" t="s">
        <v>298</v>
      </c>
      <c r="T17" t="n">
        <v>0.125</v>
      </c>
    </row>
    <row r="18">
      <c r="A18" t="s">
        <v>30</v>
      </c>
      <c r="B18" t="n">
        <v>1.25</v>
      </c>
      <c r="C18" t="n">
        <v>1.25</v>
      </c>
      <c r="D18" t="n">
        <v>1.25</v>
      </c>
      <c r="E18" t="n">
        <v>-2.25</v>
      </c>
      <c r="F18" t="n">
        <v>-1.75</v>
      </c>
      <c r="G18" t="n">
        <v>23</v>
      </c>
      <c r="H18" t="n">
        <v>12</v>
      </c>
      <c r="I18" t="s">
        <v>298</v>
      </c>
      <c r="J18" t="n">
        <v>0</v>
      </c>
      <c r="K18" t="n">
        <v>0</v>
      </c>
      <c r="L18" t="n">
        <v>0</v>
      </c>
      <c r="M18" t="n">
        <v>12</v>
      </c>
      <c r="N18" t="n">
        <v>0.5</v>
      </c>
      <c r="O18" t="n">
        <v>-0.5</v>
      </c>
      <c r="P18" t="n">
        <v>172</v>
      </c>
      <c r="Q18" t="n">
        <v>12</v>
      </c>
      <c r="R18" t="s">
        <v>298</v>
      </c>
      <c r="S18" t="s">
        <v>298</v>
      </c>
      <c r="T18" t="n">
        <v>0.25</v>
      </c>
    </row>
    <row r="19">
      <c r="A19" t="s">
        <v>30</v>
      </c>
      <c r="B19" t="n">
        <v>1</v>
      </c>
      <c r="C19" t="n">
        <v>1.25</v>
      </c>
      <c r="D19" t="n">
        <v>1.25</v>
      </c>
      <c r="E19" t="n">
        <v>-4</v>
      </c>
      <c r="F19" t="n">
        <v>-0.75</v>
      </c>
      <c r="G19" t="n">
        <v>149</v>
      </c>
      <c r="H19" t="n">
        <v>12</v>
      </c>
      <c r="I19" t="s">
        <v>297</v>
      </c>
      <c r="J19" t="n">
        <v>0</v>
      </c>
      <c r="K19" t="n">
        <v>0</v>
      </c>
      <c r="L19" t="n">
        <v>0</v>
      </c>
      <c r="M19" t="n">
        <v>12</v>
      </c>
      <c r="N19" t="n">
        <v>0</v>
      </c>
      <c r="O19" t="n">
        <v>-0.25</v>
      </c>
      <c r="P19" t="n">
        <v>117</v>
      </c>
      <c r="Q19" t="n">
        <v>12</v>
      </c>
      <c r="R19" t="s">
        <v>298</v>
      </c>
      <c r="S19" t="s">
        <v>298</v>
      </c>
      <c r="T19" t="n">
        <v>-0.125</v>
      </c>
    </row>
    <row r="20">
      <c r="A20" t="s">
        <v>30</v>
      </c>
      <c r="B20" t="n">
        <v>1.25</v>
      </c>
      <c r="C20" t="n">
        <v>1.25</v>
      </c>
      <c r="D20" t="n">
        <v>1.25</v>
      </c>
      <c r="E20" t="n">
        <v>-2</v>
      </c>
      <c r="F20" t="n">
        <v>-1.75</v>
      </c>
      <c r="G20" t="n">
        <v>108</v>
      </c>
      <c r="H20" t="n">
        <v>12</v>
      </c>
      <c r="I20" t="s">
        <v>298</v>
      </c>
      <c r="J20" t="n">
        <v>0</v>
      </c>
      <c r="K20" t="n">
        <v>0</v>
      </c>
      <c r="L20" t="n">
        <v>0</v>
      </c>
      <c r="M20" t="n">
        <v>12</v>
      </c>
      <c r="N20" t="n">
        <v>0.5</v>
      </c>
      <c r="O20" t="n">
        <v>-0.25</v>
      </c>
      <c r="P20" t="n">
        <v>15</v>
      </c>
      <c r="Q20" t="n">
        <v>12</v>
      </c>
      <c r="R20" t="s">
        <v>298</v>
      </c>
      <c r="S20" t="s">
        <v>298</v>
      </c>
      <c r="T20" t="n">
        <v>0.375</v>
      </c>
    </row>
    <row r="21">
      <c r="A21" t="s">
        <v>30</v>
      </c>
      <c r="B21" t="n">
        <v>1.25</v>
      </c>
      <c r="C21" t="n">
        <v>1.6</v>
      </c>
      <c r="D21" t="n">
        <v>1.6</v>
      </c>
      <c r="E21" t="n">
        <v>-1.25</v>
      </c>
      <c r="F21" t="n">
        <v>-1</v>
      </c>
      <c r="G21" t="n">
        <v>67</v>
      </c>
      <c r="H21" t="n">
        <v>12</v>
      </c>
      <c r="I21" t="s">
        <v>298</v>
      </c>
      <c r="J21" t="n">
        <v>0</v>
      </c>
      <c r="K21" t="n">
        <v>0</v>
      </c>
      <c r="L21" t="n">
        <v>0</v>
      </c>
      <c r="M21" t="n">
        <v>12</v>
      </c>
      <c r="N21" t="n">
        <v>0.75</v>
      </c>
      <c r="O21" t="n">
        <v>-0.25</v>
      </c>
      <c r="P21" t="n">
        <v>161</v>
      </c>
      <c r="Q21" t="n">
        <v>12</v>
      </c>
      <c r="R21" t="s">
        <v>299</v>
      </c>
      <c r="S21" t="s">
        <v>299</v>
      </c>
      <c r="T21" t="n">
        <v>0.625</v>
      </c>
    </row>
    <row r="22">
      <c r="A22" t="s">
        <v>30</v>
      </c>
      <c r="B22" t="n">
        <v>1</v>
      </c>
      <c r="C22" t="n">
        <v>1</v>
      </c>
      <c r="D22" t="n">
        <v>1</v>
      </c>
      <c r="E22" t="n">
        <v>-2</v>
      </c>
      <c r="F22" t="n">
        <v>-1</v>
      </c>
      <c r="G22" t="n">
        <v>109</v>
      </c>
      <c r="H22" t="n">
        <v>12</v>
      </c>
      <c r="I22" t="s">
        <v>297</v>
      </c>
      <c r="J22" t="n">
        <v>0</v>
      </c>
      <c r="K22" t="n">
        <v>0</v>
      </c>
      <c r="L22" t="n">
        <v>0</v>
      </c>
      <c r="M22" t="n">
        <v>12</v>
      </c>
      <c r="N22" t="n">
        <v>0.25</v>
      </c>
      <c r="O22" t="n">
        <v>0</v>
      </c>
      <c r="P22" t="n">
        <v>159</v>
      </c>
      <c r="Q22" t="n">
        <v>12</v>
      </c>
      <c r="R22" t="s">
        <v>297</v>
      </c>
      <c r="S22" t="s">
        <v>297</v>
      </c>
      <c r="T22" t="n">
        <v>0.25</v>
      </c>
    </row>
    <row r="23">
      <c r="A23" t="s">
        <v>30</v>
      </c>
      <c r="B23" t="n">
        <v>1</v>
      </c>
      <c r="C23" t="n">
        <v>1</v>
      </c>
      <c r="D23" t="n">
        <v>1</v>
      </c>
      <c r="E23" t="n">
        <v>-5.5</v>
      </c>
      <c r="F23" t="n">
        <v>-0.25</v>
      </c>
      <c r="G23" t="n">
        <v>14</v>
      </c>
      <c r="H23" t="n">
        <v>12</v>
      </c>
      <c r="I23" t="s">
        <v>297</v>
      </c>
      <c r="J23" t="n">
        <v>0</v>
      </c>
      <c r="K23" t="n">
        <v>0</v>
      </c>
      <c r="L23" t="n">
        <v>0</v>
      </c>
      <c r="M23" t="n">
        <v>12</v>
      </c>
      <c r="N23" t="n">
        <v>-0.25</v>
      </c>
      <c r="O23" t="n">
        <v>-0.25</v>
      </c>
      <c r="P23" t="n">
        <v>84</v>
      </c>
      <c r="Q23" t="n">
        <v>12</v>
      </c>
      <c r="R23" t="s">
        <v>297</v>
      </c>
      <c r="S23" t="s">
        <v>297</v>
      </c>
      <c r="T23" t="n">
        <v>-0.375</v>
      </c>
    </row>
    <row r="24">
      <c r="A24" t="s">
        <v>30</v>
      </c>
      <c r="B24" t="n">
        <v>1</v>
      </c>
      <c r="C24"/>
      <c r="D24"/>
      <c r="E24" t="n">
        <v>-4</v>
      </c>
      <c r="F24" t="n">
        <v>-0.5</v>
      </c>
      <c r="G24" t="n">
        <v>179</v>
      </c>
      <c r="H24" t="n">
        <v>12</v>
      </c>
      <c r="I24" t="s">
        <v>297</v>
      </c>
      <c r="J24" t="n">
        <v>0</v>
      </c>
      <c r="K24" t="n">
        <v>0</v>
      </c>
      <c r="L24" t="n">
        <v>0</v>
      </c>
      <c r="M24" t="n">
        <v>12</v>
      </c>
      <c r="N24"/>
      <c r="O24"/>
      <c r="P24"/>
      <c r="Q24" t="n">
        <v>12</v>
      </c>
      <c r="R24" t="s">
        <v>109</v>
      </c>
      <c r="S24" t="s">
        <v>109</v>
      </c>
      <c r="T24"/>
    </row>
    <row r="25">
      <c r="A25" t="s">
        <v>30</v>
      </c>
      <c r="B25" t="n">
        <v>1</v>
      </c>
      <c r="C25"/>
      <c r="D25"/>
      <c r="E25" t="n">
        <v>-4.5</v>
      </c>
      <c r="F25" t="n">
        <v>-0.5</v>
      </c>
      <c r="G25" t="n">
        <v>176</v>
      </c>
      <c r="H25" t="n">
        <v>12</v>
      </c>
      <c r="I25" t="s">
        <v>297</v>
      </c>
      <c r="J25" t="n">
        <v>0</v>
      </c>
      <c r="K25" t="n">
        <v>0</v>
      </c>
      <c r="L25" t="n">
        <v>0</v>
      </c>
      <c r="M25" t="n">
        <v>12</v>
      </c>
      <c r="N25"/>
      <c r="O25"/>
      <c r="P25"/>
      <c r="Q25" t="n">
        <v>12</v>
      </c>
      <c r="R25" t="s">
        <v>109</v>
      </c>
      <c r="S25" t="s">
        <v>109</v>
      </c>
      <c r="T25"/>
    </row>
    <row r="26">
      <c r="A26" t="s">
        <v>30</v>
      </c>
      <c r="B26" t="n">
        <v>1.25</v>
      </c>
      <c r="C26" t="n">
        <v>1.6</v>
      </c>
      <c r="D26" t="n">
        <v>1.6</v>
      </c>
      <c r="E26" t="n">
        <v>-2</v>
      </c>
      <c r="F26" t="n">
        <v>-1.25</v>
      </c>
      <c r="G26" t="n">
        <v>2</v>
      </c>
      <c r="H26" t="n">
        <v>12</v>
      </c>
      <c r="I26" t="s">
        <v>298</v>
      </c>
      <c r="J26" t="n">
        <v>0</v>
      </c>
      <c r="K26" t="n">
        <v>0</v>
      </c>
      <c r="L26" t="n">
        <v>0</v>
      </c>
      <c r="M26" t="n">
        <v>12</v>
      </c>
      <c r="N26" t="n">
        <v>0.25</v>
      </c>
      <c r="O26" t="n">
        <v>-0.25</v>
      </c>
      <c r="P26" t="n">
        <v>157</v>
      </c>
      <c r="Q26" t="n">
        <v>12</v>
      </c>
      <c r="R26" t="s">
        <v>299</v>
      </c>
      <c r="S26" t="s">
        <v>299</v>
      </c>
      <c r="T26" t="n">
        <v>0.125</v>
      </c>
    </row>
    <row r="27">
      <c r="A27" t="s">
        <v>30</v>
      </c>
      <c r="B27" t="n">
        <v>1</v>
      </c>
      <c r="C27" t="n">
        <v>1</v>
      </c>
      <c r="D27" t="n">
        <v>1</v>
      </c>
      <c r="E27" t="n">
        <v>-1.5</v>
      </c>
      <c r="F27" t="n">
        <v>-1</v>
      </c>
      <c r="G27" t="n">
        <v>21</v>
      </c>
      <c r="H27" t="n">
        <v>12</v>
      </c>
      <c r="I27" t="s">
        <v>297</v>
      </c>
      <c r="J27" t="n">
        <v>0</v>
      </c>
      <c r="K27" t="n">
        <v>0</v>
      </c>
      <c r="L27" t="n">
        <v>0</v>
      </c>
      <c r="M27" t="n">
        <v>12</v>
      </c>
      <c r="N27" t="n">
        <v>0</v>
      </c>
      <c r="O27" t="n">
        <v>-0.25</v>
      </c>
      <c r="P27" t="n">
        <v>52</v>
      </c>
      <c r="Q27" t="n">
        <v>12</v>
      </c>
      <c r="R27" t="s">
        <v>297</v>
      </c>
      <c r="S27" t="s">
        <v>297</v>
      </c>
      <c r="T27" t="n">
        <v>-0.125</v>
      </c>
    </row>
    <row r="28">
      <c r="A28" t="s">
        <v>30</v>
      </c>
      <c r="B28" t="n">
        <v>1.25</v>
      </c>
      <c r="C28" t="n">
        <v>1.6</v>
      </c>
      <c r="D28" t="n">
        <v>1.6</v>
      </c>
      <c r="E28" t="n">
        <v>-2.5</v>
      </c>
      <c r="F28" t="n">
        <v>-1</v>
      </c>
      <c r="G28" t="n">
        <v>167</v>
      </c>
      <c r="H28" t="n">
        <v>12</v>
      </c>
      <c r="I28" t="s">
        <v>298</v>
      </c>
      <c r="J28" t="n">
        <v>0</v>
      </c>
      <c r="K28" t="n">
        <v>0</v>
      </c>
      <c r="L28" t="n">
        <v>0</v>
      </c>
      <c r="M28" t="n">
        <v>12</v>
      </c>
      <c r="N28" t="n">
        <v>0.25</v>
      </c>
      <c r="O28" t="n">
        <v>-0.25</v>
      </c>
      <c r="P28" t="n">
        <v>142</v>
      </c>
      <c r="Q28" t="n">
        <v>12</v>
      </c>
      <c r="R28" t="s">
        <v>299</v>
      </c>
      <c r="S28" t="s">
        <v>299</v>
      </c>
      <c r="T28" t="n">
        <v>0.125</v>
      </c>
    </row>
    <row r="29">
      <c r="A29" t="s">
        <v>30</v>
      </c>
      <c r="B29" t="n">
        <v>0.8</v>
      </c>
      <c r="C29"/>
      <c r="D29"/>
      <c r="E29" t="n">
        <v>-6</v>
      </c>
      <c r="F29" t="n">
        <v>-0.75</v>
      </c>
      <c r="G29" t="n">
        <v>116</v>
      </c>
      <c r="H29" t="n">
        <v>12</v>
      </c>
      <c r="I29" t="s">
        <v>296</v>
      </c>
      <c r="J29" t="n">
        <v>0</v>
      </c>
      <c r="K29" t="n">
        <v>0</v>
      </c>
      <c r="L29" t="n">
        <v>0</v>
      </c>
      <c r="M29" t="n">
        <v>12</v>
      </c>
      <c r="N29"/>
      <c r="O29"/>
      <c r="P29"/>
      <c r="Q29" t="n">
        <v>12</v>
      </c>
      <c r="R29" t="s">
        <v>109</v>
      </c>
      <c r="S29" t="s">
        <v>109</v>
      </c>
      <c r="T29"/>
    </row>
    <row r="30">
      <c r="A30" t="s">
        <v>30</v>
      </c>
      <c r="B30" t="n">
        <v>1.25</v>
      </c>
      <c r="C30"/>
      <c r="D30" t="n">
        <v>1.6</v>
      </c>
      <c r="E30" t="n">
        <v>-2.75</v>
      </c>
      <c r="F30" t="n">
        <v>-1</v>
      </c>
      <c r="G30" t="n">
        <v>83</v>
      </c>
      <c r="H30" t="n">
        <v>12</v>
      </c>
      <c r="I30" t="s">
        <v>298</v>
      </c>
      <c r="J30" t="n">
        <v>0</v>
      </c>
      <c r="K30" t="n">
        <v>0</v>
      </c>
      <c r="L30" t="n">
        <v>0</v>
      </c>
      <c r="M30" t="n">
        <v>12</v>
      </c>
      <c r="N30" t="n">
        <v>0.25</v>
      </c>
      <c r="O30" t="n">
        <v>-0.25</v>
      </c>
      <c r="P30" t="n">
        <v>165</v>
      </c>
      <c r="Q30" t="n">
        <v>12</v>
      </c>
      <c r="R30" t="s">
        <v>299</v>
      </c>
      <c r="S30" t="s">
        <v>109</v>
      </c>
      <c r="T30" t="n">
        <v>0.125</v>
      </c>
    </row>
    <row r="31">
      <c r="A31" t="s">
        <v>30</v>
      </c>
      <c r="B31" t="n">
        <v>1.25</v>
      </c>
      <c r="C31" t="n">
        <v>1.25</v>
      </c>
      <c r="D31" t="n">
        <v>1.25</v>
      </c>
      <c r="E31" t="n">
        <v>-2.25</v>
      </c>
      <c r="F31" t="n">
        <v>-1</v>
      </c>
      <c r="G31" t="n">
        <v>170</v>
      </c>
      <c r="H31" t="n">
        <v>12</v>
      </c>
      <c r="I31" t="s">
        <v>298</v>
      </c>
      <c r="J31" t="n">
        <v>0</v>
      </c>
      <c r="K31" t="n">
        <v>0</v>
      </c>
      <c r="L31" t="n">
        <v>0</v>
      </c>
      <c r="M31" t="n">
        <v>12</v>
      </c>
      <c r="N31" t="n">
        <v>0.25</v>
      </c>
      <c r="O31" t="n">
        <v>-0.25</v>
      </c>
      <c r="P31" t="n">
        <v>70</v>
      </c>
      <c r="Q31" t="n">
        <v>12</v>
      </c>
      <c r="R31" t="s">
        <v>298</v>
      </c>
      <c r="S31" t="s">
        <v>298</v>
      </c>
      <c r="T31" t="n">
        <v>0.125</v>
      </c>
    </row>
    <row r="32">
      <c r="A32" t="s">
        <v>30</v>
      </c>
      <c r="B32" t="n">
        <v>1</v>
      </c>
      <c r="C32" t="n">
        <v>1</v>
      </c>
      <c r="D32" t="n">
        <v>1</v>
      </c>
      <c r="E32" t="n">
        <v>-2</v>
      </c>
      <c r="F32" t="n">
        <v>-1.25</v>
      </c>
      <c r="G32" t="n">
        <v>170</v>
      </c>
      <c r="H32" t="n">
        <v>12</v>
      </c>
      <c r="I32" t="s">
        <v>297</v>
      </c>
      <c r="J32" t="n">
        <v>0</v>
      </c>
      <c r="K32" t="n">
        <v>0</v>
      </c>
      <c r="L32" t="n">
        <v>0</v>
      </c>
      <c r="M32" t="n">
        <v>12</v>
      </c>
      <c r="N32" t="n">
        <v>0.25</v>
      </c>
      <c r="O32" t="n">
        <v>-0.25</v>
      </c>
      <c r="P32" t="n">
        <v>108</v>
      </c>
      <c r="Q32" t="n">
        <v>12</v>
      </c>
      <c r="R32" t="s">
        <v>297</v>
      </c>
      <c r="S32" t="s">
        <v>297</v>
      </c>
      <c r="T32" t="n">
        <v>0.125</v>
      </c>
    </row>
    <row r="33">
      <c r="A33" t="s">
        <v>30</v>
      </c>
      <c r="B33" t="n">
        <v>1</v>
      </c>
      <c r="C33" t="n">
        <v>1</v>
      </c>
      <c r="D33" t="n">
        <v>1</v>
      </c>
      <c r="E33" t="n">
        <v>-3.75</v>
      </c>
      <c r="F33" t="n">
        <v>-1.5</v>
      </c>
      <c r="G33" t="n">
        <v>160</v>
      </c>
      <c r="H33" t="n">
        <v>12</v>
      </c>
      <c r="I33" t="s">
        <v>297</v>
      </c>
      <c r="J33" t="n">
        <v>0</v>
      </c>
      <c r="K33" t="n">
        <v>0</v>
      </c>
      <c r="L33" t="n">
        <v>0</v>
      </c>
      <c r="M33" t="n">
        <v>12</v>
      </c>
      <c r="N33" t="n">
        <v>0.75</v>
      </c>
      <c r="O33" t="n">
        <v>-0.5</v>
      </c>
      <c r="P33" t="n">
        <v>106</v>
      </c>
      <c r="Q33" t="n">
        <v>12</v>
      </c>
      <c r="R33" t="s">
        <v>297</v>
      </c>
      <c r="S33" t="s">
        <v>297</v>
      </c>
      <c r="T33" t="n">
        <v>0.5</v>
      </c>
    </row>
    <row r="34">
      <c r="A34" t="s">
        <v>30</v>
      </c>
      <c r="B34" t="n">
        <v>1.25</v>
      </c>
      <c r="C34" t="n">
        <v>1.6</v>
      </c>
      <c r="D34" t="n">
        <v>1.6</v>
      </c>
      <c r="E34" t="n">
        <v>-4</v>
      </c>
      <c r="F34" t="n">
        <v>-0.5</v>
      </c>
      <c r="G34" t="n">
        <v>11</v>
      </c>
      <c r="H34" t="n">
        <v>12</v>
      </c>
      <c r="I34" t="s">
        <v>298</v>
      </c>
      <c r="J34" t="n">
        <v>0</v>
      </c>
      <c r="K34" t="n">
        <v>0</v>
      </c>
      <c r="L34" t="n">
        <v>0</v>
      </c>
      <c r="M34" t="n">
        <v>12</v>
      </c>
      <c r="N34" t="n">
        <v>0</v>
      </c>
      <c r="O34" t="n">
        <v>0</v>
      </c>
      <c r="P34" t="n">
        <v>111</v>
      </c>
      <c r="Q34" t="n">
        <v>12</v>
      </c>
      <c r="R34" t="s">
        <v>299</v>
      </c>
      <c r="S34" t="s">
        <v>299</v>
      </c>
      <c r="T34" t="n">
        <v>0</v>
      </c>
    </row>
    <row r="35">
      <c r="A35" t="s">
        <v>30</v>
      </c>
      <c r="B35" t="n">
        <v>1.25</v>
      </c>
      <c r="C35" t="n">
        <v>1.25</v>
      </c>
      <c r="D35" t="n">
        <v>1.25</v>
      </c>
      <c r="E35" t="n">
        <v>-3.25</v>
      </c>
      <c r="F35" t="n">
        <v>-0.75</v>
      </c>
      <c r="G35" t="n">
        <v>19</v>
      </c>
      <c r="H35" t="n">
        <v>12</v>
      </c>
      <c r="I35" t="s">
        <v>298</v>
      </c>
      <c r="J35" t="n">
        <v>0</v>
      </c>
      <c r="K35" t="n">
        <v>0</v>
      </c>
      <c r="L35" t="n">
        <v>0</v>
      </c>
      <c r="M35" t="n">
        <v>12</v>
      </c>
      <c r="N35" t="n">
        <v>0.5</v>
      </c>
      <c r="O35" t="n">
        <v>-0.5</v>
      </c>
      <c r="P35" t="n">
        <v>43</v>
      </c>
      <c r="Q35" t="n">
        <v>12</v>
      </c>
      <c r="R35" t="s">
        <v>298</v>
      </c>
      <c r="S35" t="s">
        <v>298</v>
      </c>
      <c r="T35" t="n">
        <v>0.25</v>
      </c>
    </row>
    <row r="36">
      <c r="A36" t="s">
        <v>30</v>
      </c>
      <c r="B36" t="n">
        <v>1</v>
      </c>
      <c r="C36" t="n">
        <v>1</v>
      </c>
      <c r="D36" t="n">
        <v>1</v>
      </c>
      <c r="E36" t="n">
        <v>-4.75</v>
      </c>
      <c r="F36" t="n">
        <v>-0.5</v>
      </c>
      <c r="G36" t="n">
        <v>150</v>
      </c>
      <c r="H36" t="n">
        <v>12</v>
      </c>
      <c r="I36" t="s">
        <v>297</v>
      </c>
      <c r="J36" t="n">
        <v>0</v>
      </c>
      <c r="K36" t="n">
        <v>0</v>
      </c>
      <c r="L36" t="n">
        <v>0</v>
      </c>
      <c r="M36" t="n">
        <v>12</v>
      </c>
      <c r="N36" t="n">
        <v>0.5</v>
      </c>
      <c r="O36" t="n">
        <v>-0.25</v>
      </c>
      <c r="P36" t="n">
        <v>148</v>
      </c>
      <c r="Q36" t="n">
        <v>12</v>
      </c>
      <c r="R36" t="s">
        <v>297</v>
      </c>
      <c r="S36" t="s">
        <v>297</v>
      </c>
      <c r="T36" t="n">
        <v>0.375</v>
      </c>
    </row>
    <row r="37">
      <c r="A37" t="s">
        <v>30</v>
      </c>
      <c r="B37" t="n">
        <v>1</v>
      </c>
      <c r="C37" t="n">
        <v>1</v>
      </c>
      <c r="D37" t="n">
        <v>1</v>
      </c>
      <c r="E37" t="n">
        <v>-4</v>
      </c>
      <c r="F37" t="n">
        <v>-2.5</v>
      </c>
      <c r="G37" t="n">
        <v>173</v>
      </c>
      <c r="H37" t="n">
        <v>12</v>
      </c>
      <c r="I37" t="s">
        <v>297</v>
      </c>
      <c r="J37" t="n">
        <v>0</v>
      </c>
      <c r="K37" t="n">
        <v>0</v>
      </c>
      <c r="L37" t="n">
        <v>0</v>
      </c>
      <c r="M37" t="n">
        <v>12</v>
      </c>
      <c r="N37" t="n">
        <v>0</v>
      </c>
      <c r="O37" t="n">
        <v>-0.25</v>
      </c>
      <c r="P37" t="n">
        <v>156</v>
      </c>
      <c r="Q37" t="n">
        <v>12</v>
      </c>
      <c r="R37" t="s">
        <v>297</v>
      </c>
      <c r="S37" t="s">
        <v>297</v>
      </c>
      <c r="T37" t="n">
        <v>-0.125</v>
      </c>
    </row>
    <row r="38">
      <c r="A38" t="s">
        <v>30</v>
      </c>
      <c r="B38" t="n">
        <v>1.25</v>
      </c>
      <c r="C38" t="n">
        <v>1</v>
      </c>
      <c r="D38" t="n">
        <v>1</v>
      </c>
      <c r="E38" t="n">
        <v>-3.75</v>
      </c>
      <c r="F38" t="n">
        <v>-1.5</v>
      </c>
      <c r="G38" t="n">
        <v>4</v>
      </c>
      <c r="H38" t="n">
        <v>12</v>
      </c>
      <c r="I38" t="s">
        <v>298</v>
      </c>
      <c r="J38" t="n">
        <v>0</v>
      </c>
      <c r="K38" t="n">
        <v>0</v>
      </c>
      <c r="L38" t="n">
        <v>0</v>
      </c>
      <c r="M38" t="n">
        <v>12</v>
      </c>
      <c r="N38" t="n">
        <v>-0.25</v>
      </c>
      <c r="O38" t="n">
        <v>0</v>
      </c>
      <c r="P38" t="n">
        <v>178</v>
      </c>
      <c r="Q38" t="n">
        <v>12</v>
      </c>
      <c r="R38" t="s">
        <v>297</v>
      </c>
      <c r="S38" t="s">
        <v>297</v>
      </c>
      <c r="T38" t="n">
        <v>-0.25</v>
      </c>
    </row>
    <row r="39">
      <c r="A39" t="s">
        <v>30</v>
      </c>
      <c r="B39" t="n">
        <v>0.8</v>
      </c>
      <c r="C39" t="n">
        <v>0.8</v>
      </c>
      <c r="D39" t="n">
        <v>0.8</v>
      </c>
      <c r="E39" t="n">
        <v>-8</v>
      </c>
      <c r="F39" t="n">
        <v>-1.25</v>
      </c>
      <c r="G39" t="n">
        <v>44</v>
      </c>
      <c r="H39" t="n">
        <v>12</v>
      </c>
      <c r="I39" t="s">
        <v>296</v>
      </c>
      <c r="J39" t="n">
        <v>0</v>
      </c>
      <c r="K39" t="n">
        <v>0</v>
      </c>
      <c r="L39" t="n">
        <v>0</v>
      </c>
      <c r="M39" t="n">
        <v>12</v>
      </c>
      <c r="N39" t="n">
        <v>0.75</v>
      </c>
      <c r="O39" t="n">
        <v>-0.5</v>
      </c>
      <c r="P39" t="n">
        <v>4</v>
      </c>
      <c r="Q39" t="n">
        <v>12</v>
      </c>
      <c r="R39" t="s">
        <v>296</v>
      </c>
      <c r="S39" t="s">
        <v>296</v>
      </c>
      <c r="T39" t="n">
        <v>0.5</v>
      </c>
    </row>
    <row r="40">
      <c r="A40" t="s">
        <v>30</v>
      </c>
      <c r="B40" t="n">
        <v>0.8</v>
      </c>
      <c r="C40" t="n">
        <v>0.8</v>
      </c>
      <c r="D40" t="n">
        <v>0.8</v>
      </c>
      <c r="E40" t="n">
        <v>-7.5</v>
      </c>
      <c r="F40" t="n">
        <v>-0.5</v>
      </c>
      <c r="G40" t="n">
        <v>142</v>
      </c>
      <c r="H40" t="n">
        <v>12</v>
      </c>
      <c r="I40" t="s">
        <v>296</v>
      </c>
      <c r="J40" t="n">
        <v>0</v>
      </c>
      <c r="K40" t="n">
        <v>0</v>
      </c>
      <c r="L40" t="n">
        <v>0</v>
      </c>
      <c r="M40" t="n">
        <v>12</v>
      </c>
      <c r="N40" t="n">
        <v>0</v>
      </c>
      <c r="O40" t="n">
        <v>-0.25</v>
      </c>
      <c r="P40" t="n">
        <v>175</v>
      </c>
      <c r="Q40" t="n">
        <v>12</v>
      </c>
      <c r="R40" t="s">
        <v>296</v>
      </c>
      <c r="S40" t="s">
        <v>296</v>
      </c>
      <c r="T40" t="n">
        <v>-0.125</v>
      </c>
    </row>
    <row r="41">
      <c r="A41" t="s">
        <v>30</v>
      </c>
      <c r="B41" t="n">
        <v>1.25</v>
      </c>
      <c r="C41" t="n">
        <v>1</v>
      </c>
      <c r="D41" t="n">
        <v>1.25</v>
      </c>
      <c r="E41" t="n">
        <v>-1.5</v>
      </c>
      <c r="F41" t="n">
        <v>-0.5</v>
      </c>
      <c r="G41" t="n">
        <v>122</v>
      </c>
      <c r="H41" t="n">
        <v>12</v>
      </c>
      <c r="I41" t="s">
        <v>298</v>
      </c>
      <c r="J41" t="n">
        <v>0</v>
      </c>
      <c r="K41" t="n">
        <v>0</v>
      </c>
      <c r="L41" t="n">
        <v>0</v>
      </c>
      <c r="M41" t="n">
        <v>12</v>
      </c>
      <c r="N41" t="n">
        <v>0.5</v>
      </c>
      <c r="O41" t="n">
        <v>-0.25</v>
      </c>
      <c r="P41" t="n">
        <v>85</v>
      </c>
      <c r="Q41" t="n">
        <v>12</v>
      </c>
      <c r="R41" t="s">
        <v>298</v>
      </c>
      <c r="S41" t="s">
        <v>297</v>
      </c>
      <c r="T41" t="n">
        <v>0.375</v>
      </c>
    </row>
    <row r="42">
      <c r="A42" t="s">
        <v>30</v>
      </c>
      <c r="B42" t="n">
        <v>1</v>
      </c>
      <c r="C42" t="n">
        <v>1</v>
      </c>
      <c r="D42" t="n">
        <v>1.25</v>
      </c>
      <c r="E42" t="n">
        <v>-0.75</v>
      </c>
      <c r="F42" t="n">
        <v>-0.5</v>
      </c>
      <c r="G42" t="n">
        <v>11</v>
      </c>
      <c r="H42" t="n">
        <v>12</v>
      </c>
      <c r="I42" t="s">
        <v>297</v>
      </c>
      <c r="J42" t="n">
        <v>0</v>
      </c>
      <c r="K42" t="n">
        <v>0</v>
      </c>
      <c r="L42" t="n">
        <v>0</v>
      </c>
      <c r="M42" t="n">
        <v>12</v>
      </c>
      <c r="N42" t="n">
        <v>0.25</v>
      </c>
      <c r="O42" t="n">
        <v>-0.25</v>
      </c>
      <c r="P42" t="n">
        <v>120</v>
      </c>
      <c r="Q42" t="n">
        <v>12</v>
      </c>
      <c r="R42" t="s">
        <v>298</v>
      </c>
      <c r="S42" t="s">
        <v>297</v>
      </c>
      <c r="T42" t="n">
        <v>0.125</v>
      </c>
    </row>
    <row r="43">
      <c r="A43" t="s">
        <v>30</v>
      </c>
      <c r="B43" t="n">
        <v>1</v>
      </c>
      <c r="C43" t="n">
        <v>1</v>
      </c>
      <c r="D43" t="n">
        <v>1.25</v>
      </c>
      <c r="E43" t="n">
        <v>-0.25</v>
      </c>
      <c r="F43" t="n">
        <v>-0.75</v>
      </c>
      <c r="G43" t="n">
        <v>153</v>
      </c>
      <c r="H43" t="n">
        <v>12</v>
      </c>
      <c r="I43" t="s">
        <v>297</v>
      </c>
      <c r="J43" t="n">
        <v>0</v>
      </c>
      <c r="K43" t="n">
        <v>0</v>
      </c>
      <c r="L43" t="n">
        <v>0</v>
      </c>
      <c r="M43" t="n">
        <v>12</v>
      </c>
      <c r="N43" t="n">
        <v>0.75</v>
      </c>
      <c r="O43" t="n">
        <v>-0.25</v>
      </c>
      <c r="P43" t="n">
        <v>87</v>
      </c>
      <c r="Q43" t="n">
        <v>12</v>
      </c>
      <c r="R43" t="s">
        <v>298</v>
      </c>
      <c r="S43" t="s">
        <v>297</v>
      </c>
      <c r="T43" t="n">
        <v>0.625</v>
      </c>
    </row>
    <row r="44">
      <c r="A44" t="s">
        <v>30</v>
      </c>
      <c r="B44" t="n">
        <v>1</v>
      </c>
      <c r="C44" t="n">
        <v>1</v>
      </c>
      <c r="D44" t="n">
        <v>1</v>
      </c>
      <c r="E44" t="n">
        <v>-0.25</v>
      </c>
      <c r="F44" t="n">
        <v>-2.25</v>
      </c>
      <c r="G44" t="n">
        <v>152</v>
      </c>
      <c r="H44" t="n">
        <v>12</v>
      </c>
      <c r="I44" t="s">
        <v>297</v>
      </c>
      <c r="J44" t="n">
        <v>0</v>
      </c>
      <c r="K44" t="n">
        <v>0</v>
      </c>
      <c r="L44" t="n">
        <v>0</v>
      </c>
      <c r="M44" t="n">
        <v>12</v>
      </c>
      <c r="N44" t="n">
        <v>0</v>
      </c>
      <c r="O44" t="n">
        <v>-0.25</v>
      </c>
      <c r="P44" t="n">
        <v>172</v>
      </c>
      <c r="Q44" t="n">
        <v>12</v>
      </c>
      <c r="R44" t="s">
        <v>297</v>
      </c>
      <c r="S44" t="s">
        <v>297</v>
      </c>
      <c r="T44" t="n">
        <v>-0.125</v>
      </c>
    </row>
    <row r="45">
      <c r="A45" t="s">
        <v>30</v>
      </c>
      <c r="B45" t="n">
        <v>1</v>
      </c>
      <c r="C45" t="n">
        <v>1.25</v>
      </c>
      <c r="D45" t="n">
        <v>1.25</v>
      </c>
      <c r="E45" t="n">
        <v>-7.25</v>
      </c>
      <c r="F45" t="n">
        <v>-0.75</v>
      </c>
      <c r="G45" t="n">
        <v>165</v>
      </c>
      <c r="H45" t="n">
        <v>12</v>
      </c>
      <c r="I45" t="s">
        <v>297</v>
      </c>
      <c r="J45" t="n">
        <v>0</v>
      </c>
      <c r="K45" t="n">
        <v>0</v>
      </c>
      <c r="L45" t="n">
        <v>0</v>
      </c>
      <c r="M45" t="n">
        <v>12</v>
      </c>
      <c r="N45" t="n">
        <v>0</v>
      </c>
      <c r="O45" t="n">
        <v>-0.25</v>
      </c>
      <c r="P45" t="n">
        <v>133</v>
      </c>
      <c r="Q45" t="n">
        <v>12</v>
      </c>
      <c r="R45" t="s">
        <v>298</v>
      </c>
      <c r="S45" t="s">
        <v>298</v>
      </c>
      <c r="T45" t="n">
        <v>-0.125</v>
      </c>
    </row>
    <row r="46">
      <c r="A46" t="s">
        <v>30</v>
      </c>
      <c r="B46" t="n">
        <v>1</v>
      </c>
      <c r="C46" t="n">
        <v>1</v>
      </c>
      <c r="D46" t="n">
        <v>1</v>
      </c>
      <c r="E46" t="n">
        <v>-6.25</v>
      </c>
      <c r="F46" t="n">
        <v>-2</v>
      </c>
      <c r="G46" t="n">
        <v>24</v>
      </c>
      <c r="H46" t="n">
        <v>12</v>
      </c>
      <c r="I46" t="s">
        <v>297</v>
      </c>
      <c r="J46" t="n">
        <v>0</v>
      </c>
      <c r="K46" t="n">
        <v>0</v>
      </c>
      <c r="L46" t="n">
        <v>0</v>
      </c>
      <c r="M46" t="n">
        <v>12</v>
      </c>
      <c r="N46" t="n">
        <v>0</v>
      </c>
      <c r="O46" t="n">
        <v>-0.5</v>
      </c>
      <c r="P46" t="n">
        <v>24</v>
      </c>
      <c r="Q46" t="n">
        <v>12</v>
      </c>
      <c r="R46" t="s">
        <v>297</v>
      </c>
      <c r="S46" t="s">
        <v>297</v>
      </c>
      <c r="T46" t="n">
        <v>-0.25</v>
      </c>
    </row>
    <row r="47">
      <c r="A47" t="s">
        <v>30</v>
      </c>
      <c r="B47" t="n">
        <v>1</v>
      </c>
      <c r="C47" t="n">
        <v>1.25</v>
      </c>
      <c r="D47" t="n">
        <v>1.25</v>
      </c>
      <c r="E47" t="n">
        <v>-4</v>
      </c>
      <c r="F47" t="n">
        <v>-1</v>
      </c>
      <c r="G47" t="n">
        <v>21</v>
      </c>
      <c r="H47" t="n">
        <v>12</v>
      </c>
      <c r="I47" t="s">
        <v>297</v>
      </c>
      <c r="J47" t="n">
        <v>0</v>
      </c>
      <c r="K47" t="n">
        <v>0</v>
      </c>
      <c r="L47" t="n">
        <v>0</v>
      </c>
      <c r="M47" t="n">
        <v>12</v>
      </c>
      <c r="N47" t="n">
        <v>0.5</v>
      </c>
      <c r="O47" t="n">
        <v>-0.5</v>
      </c>
      <c r="P47" t="n">
        <v>156</v>
      </c>
      <c r="Q47" t="n">
        <v>12</v>
      </c>
      <c r="R47" t="s">
        <v>298</v>
      </c>
      <c r="S47" t="s">
        <v>298</v>
      </c>
      <c r="T47" t="n">
        <v>0.25</v>
      </c>
    </row>
    <row r="48">
      <c r="A48" t="s">
        <v>30</v>
      </c>
      <c r="B48" t="n">
        <v>1</v>
      </c>
      <c r="C48" t="n">
        <v>1.6</v>
      </c>
      <c r="D48" t="n">
        <v>1.6</v>
      </c>
      <c r="E48" t="n">
        <v>-1.75</v>
      </c>
      <c r="F48" t="n">
        <v>-1.75</v>
      </c>
      <c r="G48" t="n">
        <v>164</v>
      </c>
      <c r="H48" t="n">
        <v>12</v>
      </c>
      <c r="I48" t="s">
        <v>297</v>
      </c>
      <c r="J48" t="n">
        <v>0</v>
      </c>
      <c r="K48" t="n">
        <v>0</v>
      </c>
      <c r="L48" t="n">
        <v>0</v>
      </c>
      <c r="M48" t="n">
        <v>12</v>
      </c>
      <c r="N48" t="n">
        <v>0.5</v>
      </c>
      <c r="O48" t="n">
        <v>-0.5</v>
      </c>
      <c r="P48" t="n">
        <v>24</v>
      </c>
      <c r="Q48" t="n">
        <v>12</v>
      </c>
      <c r="R48" t="s">
        <v>299</v>
      </c>
      <c r="S48" t="s">
        <v>299</v>
      </c>
      <c r="T48" t="n">
        <v>0.25</v>
      </c>
    </row>
    <row r="49">
      <c r="A49" t="s">
        <v>30</v>
      </c>
      <c r="B49" t="n">
        <v>1</v>
      </c>
      <c r="C49"/>
      <c r="D49"/>
      <c r="E49" t="n">
        <v>-3</v>
      </c>
      <c r="F49" t="n">
        <v>-0.75</v>
      </c>
      <c r="G49" t="n">
        <v>9</v>
      </c>
      <c r="H49" t="n">
        <v>12</v>
      </c>
      <c r="I49" t="s">
        <v>297</v>
      </c>
      <c r="J49" t="n">
        <v>0</v>
      </c>
      <c r="K49" t="n">
        <v>0</v>
      </c>
      <c r="L49" t="n">
        <v>0</v>
      </c>
      <c r="M49" t="n">
        <v>12</v>
      </c>
      <c r="N49"/>
      <c r="O49"/>
      <c r="P49"/>
      <c r="Q49" t="n">
        <v>12</v>
      </c>
      <c r="R49" t="s">
        <v>109</v>
      </c>
      <c r="S49" t="s">
        <v>109</v>
      </c>
      <c r="T49"/>
    </row>
    <row r="50">
      <c r="A50" t="s">
        <v>30</v>
      </c>
      <c r="B50" t="n">
        <v>1</v>
      </c>
      <c r="C50" t="n">
        <v>1.25</v>
      </c>
      <c r="D50" t="n">
        <v>1.25</v>
      </c>
      <c r="E50" t="n">
        <v>-3.75</v>
      </c>
      <c r="F50" t="n">
        <v>-0.5</v>
      </c>
      <c r="G50" t="n">
        <v>174</v>
      </c>
      <c r="H50" t="n">
        <v>12</v>
      </c>
      <c r="I50" t="s">
        <v>297</v>
      </c>
      <c r="J50" t="n">
        <v>0</v>
      </c>
      <c r="K50" t="n">
        <v>0</v>
      </c>
      <c r="L50" t="n">
        <v>0</v>
      </c>
      <c r="M50" t="n">
        <v>12</v>
      </c>
      <c r="N50" t="n">
        <v>0.25</v>
      </c>
      <c r="O50" t="n">
        <v>0</v>
      </c>
      <c r="P50" t="n">
        <v>51</v>
      </c>
      <c r="Q50" t="n">
        <v>12</v>
      </c>
      <c r="R50" t="s">
        <v>298</v>
      </c>
      <c r="S50" t="s">
        <v>298</v>
      </c>
      <c r="T50" t="n">
        <v>0.25</v>
      </c>
    </row>
    <row r="51">
      <c r="A51" t="s">
        <v>30</v>
      </c>
      <c r="B51" t="n">
        <v>0.8</v>
      </c>
      <c r="C51" t="n">
        <v>1</v>
      </c>
      <c r="D51" t="n">
        <v>1</v>
      </c>
      <c r="E51" t="n">
        <v>-5</v>
      </c>
      <c r="F51" t="n">
        <v>-0.5</v>
      </c>
      <c r="G51" t="n">
        <v>2</v>
      </c>
      <c r="H51" t="n">
        <v>12</v>
      </c>
      <c r="I51" t="s">
        <v>296</v>
      </c>
      <c r="J51" t="n">
        <v>0</v>
      </c>
      <c r="K51" t="n">
        <v>0</v>
      </c>
      <c r="L51" t="n">
        <v>0</v>
      </c>
      <c r="M51" t="n">
        <v>12</v>
      </c>
      <c r="N51" t="n">
        <v>0.5</v>
      </c>
      <c r="O51" t="n">
        <v>0</v>
      </c>
      <c r="P51" t="n">
        <v>99</v>
      </c>
      <c r="Q51" t="n">
        <v>12</v>
      </c>
      <c r="R51" t="s">
        <v>297</v>
      </c>
      <c r="S51" t="s">
        <v>297</v>
      </c>
      <c r="T51" t="n">
        <v>0.5</v>
      </c>
    </row>
    <row r="52">
      <c r="A52" t="s">
        <v>30</v>
      </c>
      <c r="B52" t="n">
        <v>1.25</v>
      </c>
      <c r="C52" t="n">
        <v>1.25</v>
      </c>
      <c r="D52" t="n">
        <v>1.25</v>
      </c>
      <c r="E52" t="n">
        <v>-3.5</v>
      </c>
      <c r="F52" t="n">
        <v>-0.5</v>
      </c>
      <c r="G52" t="n">
        <v>18</v>
      </c>
      <c r="H52" t="n">
        <v>12</v>
      </c>
      <c r="I52" t="s">
        <v>298</v>
      </c>
      <c r="J52" t="n">
        <v>0</v>
      </c>
      <c r="K52" t="n">
        <v>0</v>
      </c>
      <c r="L52" t="n">
        <v>0</v>
      </c>
      <c r="M52" t="n">
        <v>12</v>
      </c>
      <c r="N52" t="n">
        <v>0</v>
      </c>
      <c r="O52" t="n">
        <v>-0.25</v>
      </c>
      <c r="P52" t="n">
        <v>37</v>
      </c>
      <c r="Q52" t="n">
        <v>12</v>
      </c>
      <c r="R52" t="s">
        <v>298</v>
      </c>
      <c r="S52" t="s">
        <v>298</v>
      </c>
      <c r="T52" t="n">
        <v>-0.125</v>
      </c>
    </row>
    <row r="53">
      <c r="A53" t="s">
        <v>30</v>
      </c>
      <c r="B53" t="n">
        <v>1.25</v>
      </c>
      <c r="C53" t="n">
        <v>1.25</v>
      </c>
      <c r="D53" t="n">
        <v>1.25</v>
      </c>
      <c r="E53" t="n">
        <v>-4</v>
      </c>
      <c r="F53" t="n">
        <v>-0.75</v>
      </c>
      <c r="G53" t="n">
        <v>171</v>
      </c>
      <c r="H53" t="n">
        <v>12</v>
      </c>
      <c r="I53" t="s">
        <v>298</v>
      </c>
      <c r="J53" t="n">
        <v>0</v>
      </c>
      <c r="K53" t="n">
        <v>0</v>
      </c>
      <c r="L53" t="n">
        <v>0</v>
      </c>
      <c r="M53" t="n">
        <v>12</v>
      </c>
      <c r="N53" t="n">
        <v>0</v>
      </c>
      <c r="O53" t="n">
        <v>-0.25</v>
      </c>
      <c r="P53" t="n">
        <v>2</v>
      </c>
      <c r="Q53" t="n">
        <v>12</v>
      </c>
      <c r="R53" t="s">
        <v>298</v>
      </c>
      <c r="S53" t="s">
        <v>298</v>
      </c>
      <c r="T53" t="n">
        <v>-0.125</v>
      </c>
    </row>
    <row r="54">
      <c r="A54" t="s">
        <v>30</v>
      </c>
      <c r="B54" t="n">
        <v>1</v>
      </c>
      <c r="C54" t="n">
        <v>1.25</v>
      </c>
      <c r="D54" t="n">
        <v>1.6</v>
      </c>
      <c r="E54" t="n">
        <v>-5.5</v>
      </c>
      <c r="F54" t="n">
        <v>-1</v>
      </c>
      <c r="G54" t="n">
        <v>156</v>
      </c>
      <c r="H54" t="n">
        <v>12</v>
      </c>
      <c r="I54" t="s">
        <v>297</v>
      </c>
      <c r="J54" t="n">
        <v>0</v>
      </c>
      <c r="K54" t="n">
        <v>0</v>
      </c>
      <c r="L54" t="n">
        <v>0</v>
      </c>
      <c r="M54" t="n">
        <v>12</v>
      </c>
      <c r="N54" t="n">
        <v>0.5</v>
      </c>
      <c r="O54" t="n">
        <v>-0.5</v>
      </c>
      <c r="P54" t="n">
        <v>126</v>
      </c>
      <c r="Q54" t="n">
        <v>12</v>
      </c>
      <c r="R54" t="s">
        <v>299</v>
      </c>
      <c r="S54" t="s">
        <v>298</v>
      </c>
      <c r="T54" t="n">
        <v>0.25</v>
      </c>
    </row>
    <row r="55">
      <c r="A55" t="s">
        <v>30</v>
      </c>
      <c r="B55" t="n">
        <v>1.25</v>
      </c>
      <c r="C55" t="n">
        <v>1.6</v>
      </c>
      <c r="D55" t="n">
        <v>1.6</v>
      </c>
      <c r="E55" t="n">
        <v>-5.75</v>
      </c>
      <c r="F55" t="n">
        <v>-1.25</v>
      </c>
      <c r="G55" t="n">
        <v>7</v>
      </c>
      <c r="H55" t="n">
        <v>12</v>
      </c>
      <c r="I55" t="s">
        <v>298</v>
      </c>
      <c r="J55" t="n">
        <v>0</v>
      </c>
      <c r="K55" t="n">
        <v>0</v>
      </c>
      <c r="L55" t="n">
        <v>0</v>
      </c>
      <c r="M55" t="n">
        <v>12</v>
      </c>
      <c r="N55" t="n">
        <v>0.25</v>
      </c>
      <c r="O55" t="n">
        <v>-0.25</v>
      </c>
      <c r="P55" t="n">
        <v>35</v>
      </c>
      <c r="Q55" t="n">
        <v>12</v>
      </c>
      <c r="R55" t="s">
        <v>299</v>
      </c>
      <c r="S55" t="s">
        <v>299</v>
      </c>
      <c r="T55" t="n">
        <v>0.125</v>
      </c>
    </row>
    <row r="56">
      <c r="A56" t="s">
        <v>30</v>
      </c>
      <c r="B56" t="n">
        <v>1</v>
      </c>
      <c r="C56" t="n">
        <v>0.5</v>
      </c>
      <c r="D56" t="n">
        <v>0.5</v>
      </c>
      <c r="E56" t="n">
        <v>-2.25</v>
      </c>
      <c r="F56" t="n">
        <v>-0.25</v>
      </c>
      <c r="G56" t="n">
        <v>52</v>
      </c>
      <c r="H56" t="n">
        <v>12</v>
      </c>
      <c r="I56" t="s">
        <v>297</v>
      </c>
      <c r="J56" t="n">
        <v>0</v>
      </c>
      <c r="K56" t="n">
        <v>0</v>
      </c>
      <c r="L56" t="n">
        <v>0</v>
      </c>
      <c r="M56" t="n">
        <v>12</v>
      </c>
      <c r="N56" t="n">
        <v>0.5</v>
      </c>
      <c r="O56" t="n">
        <v>-0.25</v>
      </c>
      <c r="P56" t="n">
        <v>144</v>
      </c>
      <c r="Q56" t="n">
        <v>12</v>
      </c>
      <c r="R56" t="s">
        <v>300</v>
      </c>
      <c r="S56" t="s">
        <v>300</v>
      </c>
      <c r="T56" t="n">
        <v>0.375</v>
      </c>
    </row>
    <row r="57">
      <c r="A57" t="s">
        <v>30</v>
      </c>
      <c r="B57" t="n">
        <v>1</v>
      </c>
      <c r="C57" t="n">
        <v>0.5</v>
      </c>
      <c r="D57" t="n">
        <v>0.5</v>
      </c>
      <c r="E57" t="n">
        <v>-3.5</v>
      </c>
      <c r="F57" t="n">
        <v>-0.25</v>
      </c>
      <c r="G57" t="n">
        <v>133</v>
      </c>
      <c r="H57" t="n">
        <v>12</v>
      </c>
      <c r="I57" t="s">
        <v>297</v>
      </c>
      <c r="J57" t="n">
        <v>0</v>
      </c>
      <c r="K57" t="n">
        <v>0</v>
      </c>
      <c r="L57" t="n">
        <v>0</v>
      </c>
      <c r="M57" t="n">
        <v>12</v>
      </c>
      <c r="N57" t="n">
        <v>-0.25</v>
      </c>
      <c r="O57" t="n">
        <v>-0.25</v>
      </c>
      <c r="P57" t="n">
        <v>19</v>
      </c>
      <c r="Q57" t="n">
        <v>12</v>
      </c>
      <c r="R57" t="s">
        <v>300</v>
      </c>
      <c r="S57" t="s">
        <v>300</v>
      </c>
      <c r="T57" t="n">
        <v>-0.375</v>
      </c>
    </row>
    <row r="58">
      <c r="A58" t="s">
        <v>30</v>
      </c>
      <c r="B58" t="n">
        <v>1</v>
      </c>
      <c r="C58" t="n">
        <v>1.25</v>
      </c>
      <c r="D58" t="n">
        <v>1.25</v>
      </c>
      <c r="E58" t="n">
        <v>-1</v>
      </c>
      <c r="F58" t="n">
        <v>-0.5</v>
      </c>
      <c r="G58" t="n">
        <v>176</v>
      </c>
      <c r="H58" t="n">
        <v>12</v>
      </c>
      <c r="I58" t="s">
        <v>297</v>
      </c>
      <c r="J58" t="n">
        <v>0</v>
      </c>
      <c r="K58" t="n">
        <v>0</v>
      </c>
      <c r="L58" t="n">
        <v>0</v>
      </c>
      <c r="M58" t="n">
        <v>12</v>
      </c>
      <c r="N58" t="n">
        <v>0.5</v>
      </c>
      <c r="O58" t="n">
        <v>-0.25</v>
      </c>
      <c r="P58" t="n">
        <v>123</v>
      </c>
      <c r="Q58" t="n">
        <v>12</v>
      </c>
      <c r="R58" t="s">
        <v>298</v>
      </c>
      <c r="S58" t="s">
        <v>298</v>
      </c>
      <c r="T58" t="n">
        <v>0.375</v>
      </c>
    </row>
    <row r="59">
      <c r="A59" t="s">
        <v>30</v>
      </c>
      <c r="B59" t="n">
        <v>1.25</v>
      </c>
      <c r="C59" t="n">
        <v>1.25</v>
      </c>
      <c r="D59" t="n">
        <v>1.25</v>
      </c>
      <c r="E59" t="n">
        <v>-0.25</v>
      </c>
      <c r="F59" t="n">
        <v>-0.5</v>
      </c>
      <c r="G59" t="n">
        <v>11</v>
      </c>
      <c r="H59" t="n">
        <v>12</v>
      </c>
      <c r="I59" t="s">
        <v>298</v>
      </c>
      <c r="J59" t="n">
        <v>0</v>
      </c>
      <c r="K59" t="n">
        <v>0</v>
      </c>
      <c r="L59" t="n">
        <v>0</v>
      </c>
      <c r="M59" t="n">
        <v>12</v>
      </c>
      <c r="N59" t="n">
        <v>0.5</v>
      </c>
      <c r="O59" t="n">
        <v>-0.25</v>
      </c>
      <c r="P59" t="n">
        <v>61</v>
      </c>
      <c r="Q59" t="n">
        <v>12</v>
      </c>
      <c r="R59" t="s">
        <v>298</v>
      </c>
      <c r="S59" t="s">
        <v>298</v>
      </c>
      <c r="T59" t="n">
        <v>0.375</v>
      </c>
    </row>
    <row r="60">
      <c r="A60" t="s">
        <v>30</v>
      </c>
      <c r="B60" t="n">
        <v>1</v>
      </c>
      <c r="C60"/>
      <c r="D60"/>
      <c r="E60" t="n">
        <v>-4.5</v>
      </c>
      <c r="F60" t="n">
        <v>-0.75</v>
      </c>
      <c r="G60" t="n">
        <v>177</v>
      </c>
      <c r="H60" t="n">
        <v>12</v>
      </c>
      <c r="I60" t="s">
        <v>297</v>
      </c>
      <c r="J60" t="n">
        <v>0</v>
      </c>
      <c r="K60" t="n">
        <v>0</v>
      </c>
      <c r="L60" t="n">
        <v>0</v>
      </c>
      <c r="M60" t="n">
        <v>12</v>
      </c>
      <c r="N60"/>
      <c r="O60"/>
      <c r="P60"/>
      <c r="Q60" t="n">
        <v>12</v>
      </c>
      <c r="R60" t="s">
        <v>109</v>
      </c>
      <c r="S60" t="s">
        <v>109</v>
      </c>
      <c r="T60"/>
    </row>
    <row r="61">
      <c r="A61" t="s">
        <v>30</v>
      </c>
      <c r="B61" t="n">
        <v>1</v>
      </c>
      <c r="C61"/>
      <c r="D61"/>
      <c r="E61" t="n">
        <v>-5.25</v>
      </c>
      <c r="F61" t="n">
        <v>-0.5</v>
      </c>
      <c r="G61" t="n">
        <v>19</v>
      </c>
      <c r="H61" t="n">
        <v>12</v>
      </c>
      <c r="I61" t="s">
        <v>297</v>
      </c>
      <c r="J61" t="n">
        <v>0</v>
      </c>
      <c r="K61" t="n">
        <v>0</v>
      </c>
      <c r="L61" t="n">
        <v>0</v>
      </c>
      <c r="M61" t="n">
        <v>12</v>
      </c>
      <c r="N61"/>
      <c r="O61"/>
      <c r="P61"/>
      <c r="Q61" t="n">
        <v>12</v>
      </c>
      <c r="R61" t="s">
        <v>109</v>
      </c>
      <c r="S61" t="s">
        <v>109</v>
      </c>
      <c r="T61"/>
    </row>
    <row r="62">
      <c r="A62" t="s">
        <v>30</v>
      </c>
      <c r="B62" t="n">
        <v>1</v>
      </c>
      <c r="C62" t="n">
        <v>1</v>
      </c>
      <c r="D62" t="n">
        <v>1</v>
      </c>
      <c r="E62" t="n">
        <v>-1.25</v>
      </c>
      <c r="F62" t="n">
        <v>-3</v>
      </c>
      <c r="G62" t="n">
        <v>158</v>
      </c>
      <c r="H62" t="n">
        <v>12</v>
      </c>
      <c r="I62" t="s">
        <v>297</v>
      </c>
      <c r="J62" t="n">
        <v>0</v>
      </c>
      <c r="K62" t="n">
        <v>0</v>
      </c>
      <c r="L62" t="n">
        <v>0</v>
      </c>
      <c r="M62" t="n">
        <v>12</v>
      </c>
      <c r="N62" t="n">
        <v>0.5</v>
      </c>
      <c r="O62" t="n">
        <v>-0.5</v>
      </c>
      <c r="P62" t="n">
        <v>122</v>
      </c>
      <c r="Q62" t="n">
        <v>12</v>
      </c>
      <c r="R62" t="s">
        <v>297</v>
      </c>
      <c r="S62" t="s">
        <v>297</v>
      </c>
      <c r="T62" t="n">
        <v>0.25</v>
      </c>
    </row>
    <row r="63">
      <c r="A63" t="s">
        <v>30</v>
      </c>
      <c r="B63" t="n">
        <v>1</v>
      </c>
      <c r="C63" t="n">
        <v>1.25</v>
      </c>
      <c r="D63" t="n">
        <v>1.25</v>
      </c>
      <c r="E63" t="n">
        <v>-1</v>
      </c>
      <c r="F63" t="n">
        <v>-1.75</v>
      </c>
      <c r="G63" t="n">
        <v>24</v>
      </c>
      <c r="H63" t="n">
        <v>12</v>
      </c>
      <c r="I63" t="s">
        <v>297</v>
      </c>
      <c r="J63" t="n">
        <v>0</v>
      </c>
      <c r="K63" t="n">
        <v>0</v>
      </c>
      <c r="L63" t="n">
        <v>0</v>
      </c>
      <c r="M63" t="n">
        <v>12</v>
      </c>
      <c r="N63" t="n">
        <v>0.25</v>
      </c>
      <c r="O63" t="n">
        <v>-0.25</v>
      </c>
      <c r="P63" t="n">
        <v>52</v>
      </c>
      <c r="Q63" t="n">
        <v>12</v>
      </c>
      <c r="R63" t="s">
        <v>298</v>
      </c>
      <c r="S63" t="s">
        <v>298</v>
      </c>
      <c r="T63" t="n">
        <v>0.125</v>
      </c>
    </row>
    <row r="64">
      <c r="A64" t="s">
        <v>30</v>
      </c>
      <c r="B64" t="n">
        <v>1.25</v>
      </c>
      <c r="C64" t="n">
        <v>1.6</v>
      </c>
      <c r="D64" t="n">
        <v>1.6</v>
      </c>
      <c r="E64" t="n">
        <v>-3.25</v>
      </c>
      <c r="F64" t="n">
        <v>-0.5</v>
      </c>
      <c r="G64" t="n">
        <v>18</v>
      </c>
      <c r="H64" t="n">
        <v>12</v>
      </c>
      <c r="I64" t="s">
        <v>298</v>
      </c>
      <c r="J64" t="n">
        <v>0</v>
      </c>
      <c r="K64" t="n">
        <v>0</v>
      </c>
      <c r="L64" t="n">
        <v>0</v>
      </c>
      <c r="M64" t="n">
        <v>12</v>
      </c>
      <c r="N64" t="n">
        <v>0.25</v>
      </c>
      <c r="O64" t="n">
        <v>-0.25</v>
      </c>
      <c r="P64" t="n">
        <v>141</v>
      </c>
      <c r="Q64" t="n">
        <v>12</v>
      </c>
      <c r="R64" t="s">
        <v>299</v>
      </c>
      <c r="S64" t="s">
        <v>299</v>
      </c>
      <c r="T64" t="n">
        <v>0.125</v>
      </c>
    </row>
    <row r="65">
      <c r="A65" t="s">
        <v>30</v>
      </c>
      <c r="B65" t="n">
        <v>1.25</v>
      </c>
      <c r="C65"/>
      <c r="D65"/>
      <c r="E65" t="n">
        <v>-2.5</v>
      </c>
      <c r="F65" t="n">
        <v>-0.25</v>
      </c>
      <c r="G65" t="n">
        <v>36</v>
      </c>
      <c r="H65" t="n">
        <v>12</v>
      </c>
      <c r="I65" t="s">
        <v>298</v>
      </c>
      <c r="J65" t="n">
        <v>0</v>
      </c>
      <c r="K65" t="n">
        <v>0</v>
      </c>
      <c r="L65" t="n">
        <v>0</v>
      </c>
      <c r="M65" t="n">
        <v>12</v>
      </c>
      <c r="N65"/>
      <c r="O65"/>
      <c r="P65"/>
      <c r="Q65" t="n">
        <v>12</v>
      </c>
      <c r="R65" t="s">
        <v>109</v>
      </c>
      <c r="S65" t="s">
        <v>109</v>
      </c>
      <c r="T65"/>
    </row>
    <row r="66">
      <c r="A66" t="s">
        <v>30</v>
      </c>
      <c r="B66" t="n">
        <v>1</v>
      </c>
      <c r="C66"/>
      <c r="D66"/>
      <c r="E66" t="n">
        <v>-3</v>
      </c>
      <c r="F66" t="n">
        <v>-0.5</v>
      </c>
      <c r="G66" t="n">
        <v>145</v>
      </c>
      <c r="H66" t="n">
        <v>12</v>
      </c>
      <c r="I66" t="s">
        <v>297</v>
      </c>
      <c r="J66" t="n">
        <v>0</v>
      </c>
      <c r="K66" t="n">
        <v>0</v>
      </c>
      <c r="L66" t="n">
        <v>0</v>
      </c>
      <c r="M66" t="n">
        <v>12</v>
      </c>
      <c r="N66"/>
      <c r="O66"/>
      <c r="P66"/>
      <c r="Q66" t="n">
        <v>12</v>
      </c>
      <c r="R66" t="s">
        <v>109</v>
      </c>
      <c r="S66" t="s">
        <v>109</v>
      </c>
      <c r="T66"/>
    </row>
    <row r="67">
      <c r="A67" t="s">
        <v>30</v>
      </c>
      <c r="B67" t="n">
        <v>1</v>
      </c>
      <c r="C67" t="n">
        <v>0.63</v>
      </c>
      <c r="D67" t="n">
        <v>0.8</v>
      </c>
      <c r="E67" t="n">
        <v>-1</v>
      </c>
      <c r="F67" t="n">
        <v>-1.75</v>
      </c>
      <c r="G67" t="n">
        <v>179</v>
      </c>
      <c r="H67" t="n">
        <v>12</v>
      </c>
      <c r="I67" t="s">
        <v>297</v>
      </c>
      <c r="J67" t="n">
        <v>-0.5</v>
      </c>
      <c r="K67" t="n">
        <v>0</v>
      </c>
      <c r="L67" t="n">
        <v>0</v>
      </c>
      <c r="M67" t="n">
        <v>12</v>
      </c>
      <c r="N67" t="n">
        <v>-0.25</v>
      </c>
      <c r="O67" t="n">
        <v>-0.5</v>
      </c>
      <c r="P67" t="n">
        <v>127</v>
      </c>
      <c r="Q67" t="n">
        <v>12</v>
      </c>
      <c r="R67" t="s">
        <v>296</v>
      </c>
      <c r="S67" t="s">
        <v>301</v>
      </c>
      <c r="T67" t="n">
        <v>-0.5</v>
      </c>
    </row>
    <row r="68">
      <c r="A68" t="s">
        <v>30</v>
      </c>
      <c r="B68" t="n">
        <v>1</v>
      </c>
      <c r="C68" t="n">
        <v>1</v>
      </c>
      <c r="D68" t="n">
        <v>1</v>
      </c>
      <c r="E68" t="n">
        <v>-2.5</v>
      </c>
      <c r="F68" t="n">
        <v>-2</v>
      </c>
      <c r="G68" t="n">
        <v>1</v>
      </c>
      <c r="H68" t="n">
        <v>12</v>
      </c>
      <c r="I68" t="s">
        <v>297</v>
      </c>
      <c r="J68" t="n">
        <v>0</v>
      </c>
      <c r="K68" t="n">
        <v>0</v>
      </c>
      <c r="L68" t="n">
        <v>0</v>
      </c>
      <c r="M68" t="n">
        <v>12</v>
      </c>
      <c r="N68" t="n">
        <v>0</v>
      </c>
      <c r="O68" t="n">
        <v>-0.25</v>
      </c>
      <c r="P68" t="n">
        <v>71</v>
      </c>
      <c r="Q68" t="n">
        <v>12</v>
      </c>
      <c r="R68" t="s">
        <v>297</v>
      </c>
      <c r="S68" t="s">
        <v>297</v>
      </c>
      <c r="T68" t="n">
        <v>-0.125</v>
      </c>
    </row>
    <row r="69">
      <c r="A69" t="s">
        <v>30</v>
      </c>
      <c r="B69" t="n">
        <v>0.8</v>
      </c>
      <c r="C69" t="n">
        <v>0.8</v>
      </c>
      <c r="D69" t="n">
        <v>0.8</v>
      </c>
      <c r="E69" t="n">
        <v>-3.5</v>
      </c>
      <c r="F69" t="n">
        <v>-1</v>
      </c>
      <c r="G69" t="n">
        <v>12</v>
      </c>
      <c r="H69" t="n">
        <v>12</v>
      </c>
      <c r="I69" t="s">
        <v>296</v>
      </c>
      <c r="J69" t="n">
        <v>0</v>
      </c>
      <c r="K69" t="n">
        <v>0</v>
      </c>
      <c r="L69" t="n">
        <v>0</v>
      </c>
      <c r="M69" t="n">
        <v>12</v>
      </c>
      <c r="N69" t="n">
        <v>0.5</v>
      </c>
      <c r="O69" t="n">
        <v>-0.25</v>
      </c>
      <c r="P69" t="n">
        <v>31</v>
      </c>
      <c r="Q69" t="n">
        <v>12</v>
      </c>
      <c r="R69" t="s">
        <v>296</v>
      </c>
      <c r="S69" t="s">
        <v>296</v>
      </c>
      <c r="T69" t="n">
        <v>0.375</v>
      </c>
    </row>
    <row r="70">
      <c r="A70" t="s">
        <v>30</v>
      </c>
      <c r="B70" t="n">
        <v>1</v>
      </c>
      <c r="C70" t="n">
        <v>1</v>
      </c>
      <c r="D70" t="n">
        <v>1</v>
      </c>
      <c r="E70" t="n">
        <v>-1.75</v>
      </c>
      <c r="F70" t="n">
        <v>-1</v>
      </c>
      <c r="G70" t="n">
        <v>174</v>
      </c>
      <c r="H70" t="n">
        <v>12</v>
      </c>
      <c r="I70" t="s">
        <v>297</v>
      </c>
      <c r="J70" t="n">
        <v>0</v>
      </c>
      <c r="K70" t="n">
        <v>0</v>
      </c>
      <c r="L70" t="n">
        <v>0</v>
      </c>
      <c r="M70" t="n">
        <v>12</v>
      </c>
      <c r="N70" t="n">
        <v>0.25</v>
      </c>
      <c r="O70" t="n">
        <v>-0.5</v>
      </c>
      <c r="P70" t="n">
        <v>130</v>
      </c>
      <c r="Q70" t="n">
        <v>12</v>
      </c>
      <c r="R70" t="s">
        <v>297</v>
      </c>
      <c r="S70" t="s">
        <v>297</v>
      </c>
      <c r="T70" t="n">
        <v>0</v>
      </c>
    </row>
    <row r="71">
      <c r="A71" t="s">
        <v>30</v>
      </c>
      <c r="B71" t="n">
        <v>0.8</v>
      </c>
      <c r="C71"/>
      <c r="D71"/>
      <c r="E71" t="n">
        <v>-3</v>
      </c>
      <c r="F71" t="n">
        <v>-0.75</v>
      </c>
      <c r="G71" t="n">
        <v>172</v>
      </c>
      <c r="H71" t="n">
        <v>12</v>
      </c>
      <c r="I71" t="s">
        <v>296</v>
      </c>
      <c r="J71" t="n">
        <v>0</v>
      </c>
      <c r="K71" t="n">
        <v>0</v>
      </c>
      <c r="L71" t="n">
        <v>0</v>
      </c>
      <c r="M71" t="n">
        <v>12</v>
      </c>
      <c r="N71"/>
      <c r="O71"/>
      <c r="P71"/>
      <c r="Q71" t="n">
        <v>12</v>
      </c>
      <c r="R71" t="s">
        <v>109</v>
      </c>
      <c r="S71" t="s">
        <v>109</v>
      </c>
      <c r="T71"/>
    </row>
    <row r="72">
      <c r="A72" t="s">
        <v>30</v>
      </c>
      <c r="B72" t="n">
        <v>1</v>
      </c>
      <c r="C72" t="n">
        <v>1</v>
      </c>
      <c r="D72" t="n">
        <v>1</v>
      </c>
      <c r="E72" t="n">
        <v>-0.75</v>
      </c>
      <c r="F72" t="n">
        <v>-1.25</v>
      </c>
      <c r="G72" t="n">
        <v>13</v>
      </c>
      <c r="H72" t="n">
        <v>12</v>
      </c>
      <c r="I72" t="s">
        <v>297</v>
      </c>
      <c r="J72" t="n">
        <v>0</v>
      </c>
      <c r="K72" t="n">
        <v>0</v>
      </c>
      <c r="L72" t="n">
        <v>0</v>
      </c>
      <c r="M72" t="n">
        <v>12</v>
      </c>
      <c r="N72" t="n">
        <v>0.25</v>
      </c>
      <c r="O72" t="n">
        <v>-0.25</v>
      </c>
      <c r="P72" t="n">
        <v>77</v>
      </c>
      <c r="Q72" t="n">
        <v>12</v>
      </c>
      <c r="R72" t="s">
        <v>297</v>
      </c>
      <c r="S72" t="s">
        <v>297</v>
      </c>
      <c r="T72" t="n">
        <v>0.125</v>
      </c>
    </row>
    <row r="73">
      <c r="A73" t="s">
        <v>30</v>
      </c>
      <c r="B73" t="n">
        <v>1</v>
      </c>
      <c r="C73" t="n">
        <v>1</v>
      </c>
      <c r="D73" t="n">
        <v>1</v>
      </c>
      <c r="E73" t="n">
        <v>-2</v>
      </c>
      <c r="F73" t="n">
        <v>-1</v>
      </c>
      <c r="G73" t="n">
        <v>178</v>
      </c>
      <c r="H73" t="n">
        <v>12</v>
      </c>
      <c r="I73" t="s">
        <v>297</v>
      </c>
      <c r="J73" t="n">
        <v>0</v>
      </c>
      <c r="K73" t="n">
        <v>0</v>
      </c>
      <c r="L73" t="n">
        <v>0</v>
      </c>
      <c r="M73" t="n">
        <v>12</v>
      </c>
      <c r="N73" t="n">
        <v>0</v>
      </c>
      <c r="O73" t="n">
        <v>-0.25</v>
      </c>
      <c r="P73" t="n">
        <v>84</v>
      </c>
      <c r="Q73" t="n">
        <v>12</v>
      </c>
      <c r="R73" t="s">
        <v>297</v>
      </c>
      <c r="S73" t="s">
        <v>297</v>
      </c>
      <c r="T73" t="n">
        <v>-0.125</v>
      </c>
    </row>
    <row r="74">
      <c r="A74" t="s">
        <v>30</v>
      </c>
      <c r="B74" t="n">
        <v>1.25</v>
      </c>
      <c r="C74" t="n">
        <v>1.25</v>
      </c>
      <c r="D74" t="n">
        <v>1.6</v>
      </c>
      <c r="E74" t="n">
        <v>-3</v>
      </c>
      <c r="F74" t="n">
        <v>-3.5</v>
      </c>
      <c r="G74" t="n">
        <v>156</v>
      </c>
      <c r="H74" t="n">
        <v>12</v>
      </c>
      <c r="I74" t="s">
        <v>298</v>
      </c>
      <c r="J74" t="n">
        <v>0</v>
      </c>
      <c r="K74" t="n">
        <v>0</v>
      </c>
      <c r="L74" t="n">
        <v>0</v>
      </c>
      <c r="M74" t="n">
        <v>12</v>
      </c>
      <c r="N74" t="n">
        <v>0.75</v>
      </c>
      <c r="O74" t="n">
        <v>-1</v>
      </c>
      <c r="P74" t="n">
        <v>3</v>
      </c>
      <c r="Q74" t="n">
        <v>12</v>
      </c>
      <c r="R74" t="s">
        <v>299</v>
      </c>
      <c r="S74" t="s">
        <v>298</v>
      </c>
      <c r="T74" t="n">
        <v>0.25</v>
      </c>
    </row>
    <row r="75">
      <c r="A75" t="s">
        <v>30</v>
      </c>
      <c r="B75" t="n">
        <v>1.25</v>
      </c>
      <c r="C75" t="n">
        <v>1.25</v>
      </c>
      <c r="D75" t="n">
        <v>1.25</v>
      </c>
      <c r="E75" t="n">
        <v>-2.25</v>
      </c>
      <c r="F75" t="n">
        <v>-3</v>
      </c>
      <c r="G75" t="n">
        <v>19</v>
      </c>
      <c r="H75" t="n">
        <v>12</v>
      </c>
      <c r="I75" t="s">
        <v>298</v>
      </c>
      <c r="J75" t="n">
        <v>0</v>
      </c>
      <c r="K75" t="n">
        <v>0</v>
      </c>
      <c r="L75" t="n">
        <v>0</v>
      </c>
      <c r="M75" t="n">
        <v>12</v>
      </c>
      <c r="N75" t="n">
        <v>0.75</v>
      </c>
      <c r="O75" t="n">
        <v>-0.75</v>
      </c>
      <c r="P75" t="n">
        <v>166</v>
      </c>
      <c r="Q75" t="n">
        <v>12</v>
      </c>
      <c r="R75" t="s">
        <v>298</v>
      </c>
      <c r="S75" t="s">
        <v>298</v>
      </c>
      <c r="T75" t="n">
        <v>0.375</v>
      </c>
    </row>
    <row r="76">
      <c r="A76" t="s">
        <v>30</v>
      </c>
      <c r="B76" t="n">
        <v>1</v>
      </c>
      <c r="C76"/>
      <c r="D76" t="n">
        <v>1</v>
      </c>
      <c r="E76" t="n">
        <v>-3.75</v>
      </c>
      <c r="F76" t="n">
        <v>-0.5</v>
      </c>
      <c r="G76" t="n">
        <v>156</v>
      </c>
      <c r="H76" t="n">
        <v>12</v>
      </c>
      <c r="I76" t="s">
        <v>297</v>
      </c>
      <c r="J76" t="n">
        <v>0</v>
      </c>
      <c r="K76" t="n">
        <v>0</v>
      </c>
      <c r="L76" t="n">
        <v>0</v>
      </c>
      <c r="M76" t="n">
        <v>12</v>
      </c>
      <c r="N76" t="n">
        <v>0.75</v>
      </c>
      <c r="O76" t="n">
        <v>-0.25</v>
      </c>
      <c r="P76" t="n">
        <v>30</v>
      </c>
      <c r="Q76" t="n">
        <v>12</v>
      </c>
      <c r="R76" t="s">
        <v>297</v>
      </c>
      <c r="S76" t="s">
        <v>109</v>
      </c>
      <c r="T76" t="n">
        <v>0.625</v>
      </c>
    </row>
    <row r="77">
      <c r="A77" t="s">
        <v>30</v>
      </c>
      <c r="B77" t="n">
        <v>1</v>
      </c>
      <c r="C77" t="n">
        <v>0.8</v>
      </c>
      <c r="D77" t="n">
        <v>1</v>
      </c>
      <c r="E77" t="n">
        <v>-3.75</v>
      </c>
      <c r="F77" t="n">
        <v>-0.5</v>
      </c>
      <c r="G77" t="n">
        <v>11</v>
      </c>
      <c r="H77" t="n">
        <v>12</v>
      </c>
      <c r="I77" t="s">
        <v>297</v>
      </c>
      <c r="J77" t="n">
        <v>0</v>
      </c>
      <c r="K77" t="n">
        <v>0</v>
      </c>
      <c r="L77" t="n">
        <v>0</v>
      </c>
      <c r="M77" t="n">
        <v>12</v>
      </c>
      <c r="N77" t="n">
        <v>1</v>
      </c>
      <c r="O77" t="n">
        <v>-0.25</v>
      </c>
      <c r="P77" t="n">
        <v>143</v>
      </c>
      <c r="Q77" t="n">
        <v>12</v>
      </c>
      <c r="R77" t="s">
        <v>297</v>
      </c>
      <c r="S77" t="s">
        <v>296</v>
      </c>
      <c r="T77" t="n">
        <v>0.875</v>
      </c>
    </row>
    <row r="78">
      <c r="A78" t="s">
        <v>30</v>
      </c>
      <c r="B78" t="n">
        <v>1.25</v>
      </c>
      <c r="C78" t="n">
        <v>1.25</v>
      </c>
      <c r="D78" t="n">
        <v>1.6</v>
      </c>
      <c r="E78" t="n">
        <v>-5.75</v>
      </c>
      <c r="F78" t="n">
        <v>-0.5</v>
      </c>
      <c r="G78" t="n">
        <v>41</v>
      </c>
      <c r="H78" t="n">
        <v>12</v>
      </c>
      <c r="I78" t="s">
        <v>298</v>
      </c>
      <c r="J78" t="n">
        <v>0</v>
      </c>
      <c r="K78" t="n">
        <v>0</v>
      </c>
      <c r="L78" t="n">
        <v>0</v>
      </c>
      <c r="M78" t="n">
        <v>12</v>
      </c>
      <c r="N78" t="n">
        <v>-0.25</v>
      </c>
      <c r="O78" t="n">
        <v>0</v>
      </c>
      <c r="P78" t="n">
        <v>82</v>
      </c>
      <c r="Q78" t="n">
        <v>12</v>
      </c>
      <c r="R78" t="s">
        <v>299</v>
      </c>
      <c r="S78" t="s">
        <v>298</v>
      </c>
      <c r="T78" t="n">
        <v>-0.25</v>
      </c>
    </row>
    <row r="79">
      <c r="A79" t="s">
        <v>30</v>
      </c>
      <c r="B79" t="n">
        <v>1</v>
      </c>
      <c r="C79" t="n">
        <v>1</v>
      </c>
      <c r="D79" t="n">
        <v>1</v>
      </c>
      <c r="E79" t="n">
        <v>-5.5</v>
      </c>
      <c r="F79" t="n">
        <v>-0.75</v>
      </c>
      <c r="G79" t="n">
        <v>100</v>
      </c>
      <c r="H79" t="n">
        <v>12</v>
      </c>
      <c r="I79" t="s">
        <v>297</v>
      </c>
      <c r="J79" t="n">
        <v>0</v>
      </c>
      <c r="K79" t="n">
        <v>0</v>
      </c>
      <c r="L79" t="n">
        <v>0</v>
      </c>
      <c r="M79" t="n">
        <v>12</v>
      </c>
      <c r="N79" t="n">
        <v>0.5</v>
      </c>
      <c r="O79" t="n">
        <v>0</v>
      </c>
      <c r="P79" t="n">
        <v>166</v>
      </c>
      <c r="Q79" t="n">
        <v>12</v>
      </c>
      <c r="R79" t="s">
        <v>297</v>
      </c>
      <c r="S79" t="s">
        <v>297</v>
      </c>
      <c r="T79" t="n">
        <v>0.5</v>
      </c>
    </row>
    <row r="80">
      <c r="A80" t="s">
        <v>30</v>
      </c>
      <c r="B80" t="n">
        <v>1</v>
      </c>
      <c r="C80" t="n">
        <v>1</v>
      </c>
      <c r="D80" t="n">
        <v>1</v>
      </c>
      <c r="E80" t="n">
        <v>-5.5</v>
      </c>
      <c r="F80" t="n">
        <v>-0.5</v>
      </c>
      <c r="G80" t="n">
        <v>96</v>
      </c>
      <c r="H80" t="n">
        <v>12</v>
      </c>
      <c r="I80" t="s">
        <v>297</v>
      </c>
      <c r="J80" t="n">
        <v>0</v>
      </c>
      <c r="K80" t="n">
        <v>0</v>
      </c>
      <c r="L80" t="n">
        <v>0</v>
      </c>
      <c r="M80" t="n">
        <v>12</v>
      </c>
      <c r="N80" t="n">
        <v>0.25</v>
      </c>
      <c r="O80" t="n">
        <v>0</v>
      </c>
      <c r="P80" t="n">
        <v>6</v>
      </c>
      <c r="Q80" t="n">
        <v>12</v>
      </c>
      <c r="R80" t="s">
        <v>297</v>
      </c>
      <c r="S80" t="s">
        <v>297</v>
      </c>
      <c r="T80" t="n">
        <v>0.25</v>
      </c>
    </row>
    <row r="81">
      <c r="A81" t="s">
        <v>30</v>
      </c>
      <c r="B81" t="n">
        <v>0.8</v>
      </c>
      <c r="C81" t="n">
        <v>0.63</v>
      </c>
      <c r="D81" t="n">
        <v>0.63</v>
      </c>
      <c r="E81" t="n">
        <v>0</v>
      </c>
      <c r="F81" t="n">
        <v>-0.75</v>
      </c>
      <c r="G81" t="n">
        <v>31</v>
      </c>
      <c r="H81" t="n">
        <v>12</v>
      </c>
      <c r="I81" t="s">
        <v>296</v>
      </c>
      <c r="J81" t="n">
        <v>0</v>
      </c>
      <c r="K81" t="n">
        <v>0</v>
      </c>
      <c r="L81" t="n">
        <v>0</v>
      </c>
      <c r="M81" t="n">
        <v>12</v>
      </c>
      <c r="N81" t="n">
        <v>0</v>
      </c>
      <c r="O81" t="n">
        <v>0</v>
      </c>
      <c r="P81" t="n">
        <v>166</v>
      </c>
      <c r="Q81" t="n">
        <v>12</v>
      </c>
      <c r="R81" t="s">
        <v>301</v>
      </c>
      <c r="S81" t="s">
        <v>301</v>
      </c>
      <c r="T81" t="n">
        <v>0</v>
      </c>
    </row>
    <row r="82">
      <c r="A82" t="s">
        <v>30</v>
      </c>
      <c r="B82" t="n">
        <v>0.8</v>
      </c>
      <c r="C82" t="n">
        <v>0.8</v>
      </c>
      <c r="D82" t="n">
        <v>0.8</v>
      </c>
      <c r="E82" t="n">
        <v>-2</v>
      </c>
      <c r="F82" t="n">
        <v>-0.25</v>
      </c>
      <c r="G82" t="n">
        <v>156</v>
      </c>
      <c r="H82" t="n">
        <v>12</v>
      </c>
      <c r="I82" t="s">
        <v>296</v>
      </c>
      <c r="J82" t="n">
        <v>0</v>
      </c>
      <c r="K82" t="n">
        <v>0</v>
      </c>
      <c r="L82" t="n">
        <v>0</v>
      </c>
      <c r="M82" t="n">
        <v>12</v>
      </c>
      <c r="N82" t="n">
        <v>0.25</v>
      </c>
      <c r="O82" t="n">
        <v>-0.25</v>
      </c>
      <c r="P82" t="n">
        <v>180</v>
      </c>
      <c r="Q82" t="n">
        <v>12</v>
      </c>
      <c r="R82" t="s">
        <v>296</v>
      </c>
      <c r="S82" t="s">
        <v>296</v>
      </c>
      <c r="T82" t="n">
        <v>0.125</v>
      </c>
    </row>
    <row r="83">
      <c r="A83" t="s">
        <v>30</v>
      </c>
      <c r="B83" t="n">
        <v>1</v>
      </c>
      <c r="C83" t="n">
        <v>1.25</v>
      </c>
      <c r="D83" t="n">
        <v>1.25</v>
      </c>
      <c r="E83" t="n">
        <v>-0.25</v>
      </c>
      <c r="F83" t="n">
        <v>-2</v>
      </c>
      <c r="G83" t="n">
        <v>23</v>
      </c>
      <c r="H83" t="n">
        <v>12</v>
      </c>
      <c r="I83" t="s">
        <v>297</v>
      </c>
      <c r="J83" t="n">
        <v>0</v>
      </c>
      <c r="K83" t="n">
        <v>0</v>
      </c>
      <c r="L83" t="n">
        <v>0</v>
      </c>
      <c r="M83" t="n">
        <v>12</v>
      </c>
      <c r="N83" t="n">
        <v>1</v>
      </c>
      <c r="O83" t="n">
        <v>-0.75</v>
      </c>
      <c r="P83" t="n">
        <v>42</v>
      </c>
      <c r="Q83" t="n">
        <v>12</v>
      </c>
      <c r="R83" t="s">
        <v>298</v>
      </c>
      <c r="S83" t="s">
        <v>298</v>
      </c>
      <c r="T83" t="n">
        <v>0.625</v>
      </c>
    </row>
    <row r="84">
      <c r="A84" t="s">
        <v>30</v>
      </c>
      <c r="B84" t="n">
        <v>1.25</v>
      </c>
      <c r="C84" t="n">
        <v>1.25</v>
      </c>
      <c r="D84" t="n">
        <v>1.25</v>
      </c>
      <c r="E84" t="n">
        <v>-1.5</v>
      </c>
      <c r="F84" t="n">
        <v>-0.5</v>
      </c>
      <c r="G84" t="n">
        <v>140</v>
      </c>
      <c r="H84" t="n">
        <v>12</v>
      </c>
      <c r="I84" t="s">
        <v>298</v>
      </c>
      <c r="J84" t="n">
        <v>0</v>
      </c>
      <c r="K84" t="n">
        <v>0</v>
      </c>
      <c r="L84" t="n">
        <v>0</v>
      </c>
      <c r="M84" t="n">
        <v>12</v>
      </c>
      <c r="N84" t="n">
        <v>-0.25</v>
      </c>
      <c r="O84" t="n">
        <v>-0.25</v>
      </c>
      <c r="P84" t="n">
        <v>77</v>
      </c>
      <c r="Q84" t="n">
        <v>12</v>
      </c>
      <c r="R84" t="s">
        <v>298</v>
      </c>
      <c r="S84" t="s">
        <v>298</v>
      </c>
      <c r="T84" t="n">
        <v>-0.375</v>
      </c>
    </row>
    <row r="85">
      <c r="A85" t="s">
        <v>30</v>
      </c>
      <c r="B85" t="n">
        <v>1.25</v>
      </c>
      <c r="C85" t="n">
        <v>1.25</v>
      </c>
      <c r="D85" t="n">
        <v>1.25</v>
      </c>
      <c r="E85" t="n">
        <v>-1</v>
      </c>
      <c r="F85" t="n">
        <v>-0.25</v>
      </c>
      <c r="G85" t="n">
        <v>42</v>
      </c>
      <c r="H85" t="n">
        <v>12</v>
      </c>
      <c r="I85" t="s">
        <v>298</v>
      </c>
      <c r="J85" t="n">
        <v>0</v>
      </c>
      <c r="K85" t="n">
        <v>0</v>
      </c>
      <c r="L85" t="n">
        <v>0</v>
      </c>
      <c r="M85" t="n">
        <v>12</v>
      </c>
      <c r="N85" t="n">
        <v>0</v>
      </c>
      <c r="O85" t="n">
        <v>-0.25</v>
      </c>
      <c r="P85" t="n">
        <v>92</v>
      </c>
      <c r="Q85" t="n">
        <v>12</v>
      </c>
      <c r="R85" t="s">
        <v>298</v>
      </c>
      <c r="S85" t="s">
        <v>298</v>
      </c>
      <c r="T85" t="n">
        <v>-0.125</v>
      </c>
    </row>
    <row r="86">
      <c r="A86" t="s">
        <v>30</v>
      </c>
      <c r="B86" t="n">
        <v>1.6</v>
      </c>
      <c r="C86" t="n">
        <v>1.25</v>
      </c>
      <c r="D86" t="n">
        <v>1.6</v>
      </c>
      <c r="E86" t="n">
        <v>-1</v>
      </c>
      <c r="F86" t="n">
        <v>-0.75</v>
      </c>
      <c r="G86" t="n">
        <v>4</v>
      </c>
      <c r="H86" t="n">
        <v>12</v>
      </c>
      <c r="I86" t="s">
        <v>299</v>
      </c>
      <c r="J86" t="n">
        <v>0</v>
      </c>
      <c r="K86" t="n">
        <v>0</v>
      </c>
      <c r="L86" t="n">
        <v>0</v>
      </c>
      <c r="M86" t="n">
        <v>12</v>
      </c>
      <c r="N86" t="n">
        <v>-0.5</v>
      </c>
      <c r="O86" t="n">
        <v>0</v>
      </c>
      <c r="P86" t="n">
        <v>130</v>
      </c>
      <c r="Q86" t="n">
        <v>12</v>
      </c>
      <c r="R86" t="s">
        <v>299</v>
      </c>
      <c r="S86" t="s">
        <v>298</v>
      </c>
      <c r="T86" t="n">
        <v>-0.5</v>
      </c>
    </row>
    <row r="87">
      <c r="A87" t="s">
        <v>30</v>
      </c>
      <c r="B87" t="n">
        <v>1</v>
      </c>
      <c r="C87" t="n">
        <v>1.25</v>
      </c>
      <c r="D87" t="n">
        <v>1.25</v>
      </c>
      <c r="E87" t="n">
        <v>-2.75</v>
      </c>
      <c r="F87" t="n">
        <v>-0.5</v>
      </c>
      <c r="G87" t="n">
        <v>107</v>
      </c>
      <c r="H87" t="n">
        <v>12</v>
      </c>
      <c r="I87" t="s">
        <v>297</v>
      </c>
      <c r="J87" t="n">
        <v>0</v>
      </c>
      <c r="K87" t="n">
        <v>0</v>
      </c>
      <c r="L87" t="n">
        <v>0</v>
      </c>
      <c r="M87" t="n">
        <v>12</v>
      </c>
      <c r="N87" t="n">
        <v>-0.25</v>
      </c>
      <c r="O87" t="n">
        <v>0</v>
      </c>
      <c r="P87" t="n">
        <v>71</v>
      </c>
      <c r="Q87" t="n">
        <v>12</v>
      </c>
      <c r="R87" t="s">
        <v>298</v>
      </c>
      <c r="S87" t="s">
        <v>298</v>
      </c>
      <c r="T87" t="n">
        <v>-0.25</v>
      </c>
    </row>
    <row r="88">
      <c r="A88" t="s">
        <v>30</v>
      </c>
      <c r="B88" t="n">
        <v>1.25</v>
      </c>
      <c r="C88" t="n">
        <v>1.6</v>
      </c>
      <c r="D88" t="n">
        <v>1.6</v>
      </c>
      <c r="E88" t="n">
        <v>-1.75</v>
      </c>
      <c r="F88" t="n">
        <v>-0.25</v>
      </c>
      <c r="G88" t="n">
        <v>170</v>
      </c>
      <c r="H88" t="n">
        <v>12</v>
      </c>
      <c r="I88" t="s">
        <v>298</v>
      </c>
      <c r="J88" t="n">
        <v>0</v>
      </c>
      <c r="K88" t="n">
        <v>0</v>
      </c>
      <c r="L88" t="n">
        <v>0</v>
      </c>
      <c r="M88" t="n">
        <v>12</v>
      </c>
      <c r="N88" t="n">
        <v>-0.25</v>
      </c>
      <c r="O88" t="n">
        <v>-0.25</v>
      </c>
      <c r="P88" t="n">
        <v>24</v>
      </c>
      <c r="Q88" t="n">
        <v>12</v>
      </c>
      <c r="R88" t="s">
        <v>299</v>
      </c>
      <c r="S88" t="s">
        <v>299</v>
      </c>
      <c r="T88" t="n">
        <v>-0.375</v>
      </c>
    </row>
    <row r="89">
      <c r="A89" t="s">
        <v>30</v>
      </c>
      <c r="B89" t="n">
        <v>1.25</v>
      </c>
      <c r="C89" t="n">
        <v>1.6</v>
      </c>
      <c r="D89" t="n">
        <v>1.6</v>
      </c>
      <c r="E89" t="n">
        <v>-0.75</v>
      </c>
      <c r="F89" t="n">
        <v>-0.25</v>
      </c>
      <c r="G89" t="n">
        <v>179</v>
      </c>
      <c r="H89" t="n">
        <v>12</v>
      </c>
      <c r="I89" t="s">
        <v>298</v>
      </c>
      <c r="J89" t="n">
        <v>0</v>
      </c>
      <c r="K89" t="n">
        <v>0</v>
      </c>
      <c r="L89" t="n">
        <v>0</v>
      </c>
      <c r="M89" t="n">
        <v>12</v>
      </c>
      <c r="N89" t="n">
        <v>0</v>
      </c>
      <c r="O89" t="n">
        <v>-0.25</v>
      </c>
      <c r="P89" t="n">
        <v>21</v>
      </c>
      <c r="Q89" t="n">
        <v>12</v>
      </c>
      <c r="R89" t="s">
        <v>299</v>
      </c>
      <c r="S89" t="s">
        <v>299</v>
      </c>
      <c r="T89" t="n">
        <v>-0.125</v>
      </c>
    </row>
    <row r="90">
      <c r="A90" t="s">
        <v>30</v>
      </c>
      <c r="B90" t="n">
        <v>1</v>
      </c>
      <c r="C90" t="n">
        <v>1</v>
      </c>
      <c r="D90" t="n">
        <v>1</v>
      </c>
      <c r="E90" t="n">
        <v>-4.75</v>
      </c>
      <c r="F90" t="n">
        <v>-2</v>
      </c>
      <c r="G90" t="n">
        <v>36</v>
      </c>
      <c r="H90" t="n">
        <v>12</v>
      </c>
      <c r="I90" t="s">
        <v>297</v>
      </c>
      <c r="J90" t="n">
        <v>0</v>
      </c>
      <c r="K90" t="n">
        <v>0</v>
      </c>
      <c r="L90" t="n">
        <v>0</v>
      </c>
      <c r="M90" t="n">
        <v>12</v>
      </c>
      <c r="N90" t="n">
        <v>-0.25</v>
      </c>
      <c r="O90" t="n">
        <v>-0.25</v>
      </c>
      <c r="P90" t="n">
        <v>80</v>
      </c>
      <c r="Q90" t="n">
        <v>12</v>
      </c>
      <c r="R90" t="s">
        <v>297</v>
      </c>
      <c r="S90" t="s">
        <v>297</v>
      </c>
      <c r="T90" t="n">
        <v>-0.375</v>
      </c>
    </row>
    <row r="91">
      <c r="A91" t="s">
        <v>30</v>
      </c>
      <c r="B91" t="n">
        <v>1</v>
      </c>
      <c r="C91" t="n">
        <v>1</v>
      </c>
      <c r="D91" t="n">
        <v>1</v>
      </c>
      <c r="E91" t="n">
        <v>-3.75</v>
      </c>
      <c r="F91" t="n">
        <v>-0.75</v>
      </c>
      <c r="G91" t="n">
        <v>35</v>
      </c>
      <c r="H91" t="n">
        <v>12</v>
      </c>
      <c r="I91" t="s">
        <v>297</v>
      </c>
      <c r="J91" t="n">
        <v>0</v>
      </c>
      <c r="K91" t="n">
        <v>0</v>
      </c>
      <c r="L91" t="n">
        <v>0</v>
      </c>
      <c r="M91" t="n">
        <v>12</v>
      </c>
      <c r="N91" t="n">
        <v>0.75</v>
      </c>
      <c r="O91" t="n">
        <v>-0.25</v>
      </c>
      <c r="P91" t="n">
        <v>7</v>
      </c>
      <c r="Q91" t="n">
        <v>12</v>
      </c>
      <c r="R91" t="s">
        <v>297</v>
      </c>
      <c r="S91" t="s">
        <v>297</v>
      </c>
      <c r="T91" t="n">
        <v>0.625</v>
      </c>
    </row>
    <row r="92">
      <c r="A92" t="s">
        <v>30</v>
      </c>
      <c r="B92" t="n">
        <v>1</v>
      </c>
      <c r="C92" t="n">
        <v>1</v>
      </c>
      <c r="D92" t="n">
        <v>1</v>
      </c>
      <c r="E92" t="n">
        <v>-3.75</v>
      </c>
      <c r="F92" t="n">
        <v>-0.5</v>
      </c>
      <c r="G92" t="n">
        <v>143</v>
      </c>
      <c r="H92" t="n">
        <v>12</v>
      </c>
      <c r="I92" t="s">
        <v>297</v>
      </c>
      <c r="J92" t="n">
        <v>0</v>
      </c>
      <c r="K92" t="n">
        <v>0</v>
      </c>
      <c r="L92" t="n">
        <v>0</v>
      </c>
      <c r="M92" t="n">
        <v>12</v>
      </c>
      <c r="N92" t="n">
        <v>0.25</v>
      </c>
      <c r="O92" t="n">
        <v>-0.25</v>
      </c>
      <c r="P92" t="n">
        <v>33</v>
      </c>
      <c r="Q92" t="n">
        <v>12</v>
      </c>
      <c r="R92" t="s">
        <v>297</v>
      </c>
      <c r="S92" t="s">
        <v>297</v>
      </c>
      <c r="T92" t="n">
        <v>0.125</v>
      </c>
    </row>
    <row r="93">
      <c r="A93" t="s">
        <v>30</v>
      </c>
      <c r="B93" t="n">
        <v>1</v>
      </c>
      <c r="C93" t="n">
        <v>1.25</v>
      </c>
      <c r="D93" t="n">
        <v>1.25</v>
      </c>
      <c r="E93" t="n">
        <v>-0.25</v>
      </c>
      <c r="F93" t="n">
        <v>-0.5</v>
      </c>
      <c r="G93" t="n">
        <v>68</v>
      </c>
      <c r="H93" t="n">
        <v>12</v>
      </c>
      <c r="I93" t="s">
        <v>297</v>
      </c>
      <c r="J93" t="n">
        <v>0</v>
      </c>
      <c r="K93" t="n">
        <v>0</v>
      </c>
      <c r="L93" t="n">
        <v>0</v>
      </c>
      <c r="M93" t="n">
        <v>12</v>
      </c>
      <c r="N93" t="n">
        <v>-0.25</v>
      </c>
      <c r="O93" t="n">
        <v>-0.25</v>
      </c>
      <c r="P93" t="n">
        <v>126</v>
      </c>
      <c r="Q93" t="n">
        <v>12</v>
      </c>
      <c r="R93" t="s">
        <v>298</v>
      </c>
      <c r="S93" t="s">
        <v>298</v>
      </c>
      <c r="T93" t="n">
        <v>-0.375</v>
      </c>
    </row>
    <row r="94">
      <c r="A94" t="s">
        <v>30</v>
      </c>
      <c r="B94" t="n">
        <v>0.8</v>
      </c>
      <c r="C94"/>
      <c r="D94"/>
      <c r="E94" t="n">
        <v>-4</v>
      </c>
      <c r="F94" t="n">
        <v>-1.25</v>
      </c>
      <c r="G94" t="n">
        <v>118</v>
      </c>
      <c r="H94" t="n">
        <v>12</v>
      </c>
      <c r="I94" t="s">
        <v>296</v>
      </c>
      <c r="J94" t="n">
        <v>0</v>
      </c>
      <c r="K94" t="n">
        <v>0</v>
      </c>
      <c r="L94" t="n">
        <v>0</v>
      </c>
      <c r="M94" t="n">
        <v>12</v>
      </c>
      <c r="N94"/>
      <c r="O94"/>
      <c r="P94"/>
      <c r="Q94" t="n">
        <v>12</v>
      </c>
      <c r="R94" t="s">
        <v>109</v>
      </c>
      <c r="S94" t="s">
        <v>109</v>
      </c>
      <c r="T94"/>
    </row>
    <row r="95">
      <c r="A95" t="s">
        <v>30</v>
      </c>
      <c r="B95" t="n">
        <v>1</v>
      </c>
      <c r="C95"/>
      <c r="D95"/>
      <c r="E95" t="n">
        <v>-3.25</v>
      </c>
      <c r="F95" t="n">
        <v>-0.75</v>
      </c>
      <c r="G95" t="n">
        <v>45</v>
      </c>
      <c r="H95" t="n">
        <v>12</v>
      </c>
      <c r="I95" t="s">
        <v>297</v>
      </c>
      <c r="J95" t="n">
        <v>0</v>
      </c>
      <c r="K95" t="n">
        <v>0</v>
      </c>
      <c r="L95" t="n">
        <v>0</v>
      </c>
      <c r="M95" t="n">
        <v>12</v>
      </c>
      <c r="N95"/>
      <c r="O95"/>
      <c r="P95"/>
      <c r="Q95" t="n">
        <v>12</v>
      </c>
      <c r="R95" t="s">
        <v>109</v>
      </c>
      <c r="S95" t="s">
        <v>109</v>
      </c>
      <c r="T95"/>
    </row>
    <row r="96">
      <c r="A96" t="s">
        <v>30</v>
      </c>
      <c r="B96" t="n">
        <v>1.25</v>
      </c>
      <c r="C96" t="n">
        <v>1.25</v>
      </c>
      <c r="D96" t="n">
        <v>1.25</v>
      </c>
      <c r="E96" t="n">
        <v>-2.5</v>
      </c>
      <c r="F96" t="n">
        <v>-1.25</v>
      </c>
      <c r="G96" t="n">
        <v>79</v>
      </c>
      <c r="H96" t="n">
        <v>12</v>
      </c>
      <c r="I96" t="s">
        <v>298</v>
      </c>
      <c r="J96" t="n">
        <v>0</v>
      </c>
      <c r="K96" t="n">
        <v>0</v>
      </c>
      <c r="L96" t="n">
        <v>0</v>
      </c>
      <c r="M96" t="n">
        <v>12</v>
      </c>
      <c r="N96" t="n">
        <v>0.5</v>
      </c>
      <c r="O96" t="n">
        <v>-0.5</v>
      </c>
      <c r="P96" t="n">
        <v>40</v>
      </c>
      <c r="Q96" t="n">
        <v>12</v>
      </c>
      <c r="R96" t="s">
        <v>298</v>
      </c>
      <c r="S96" t="s">
        <v>298</v>
      </c>
      <c r="T96" t="n">
        <v>0.25</v>
      </c>
    </row>
    <row r="97">
      <c r="A97" t="s">
        <v>30</v>
      </c>
      <c r="B97" t="n">
        <v>1.25</v>
      </c>
      <c r="C97" t="n">
        <v>1.6</v>
      </c>
      <c r="D97" t="n">
        <v>1.6</v>
      </c>
      <c r="E97" t="n">
        <v>-5.5</v>
      </c>
      <c r="F97" t="n">
        <v>-0.75</v>
      </c>
      <c r="G97" t="n">
        <v>81</v>
      </c>
      <c r="H97" t="n">
        <v>12</v>
      </c>
      <c r="I97" t="s">
        <v>298</v>
      </c>
      <c r="J97" t="n">
        <v>0</v>
      </c>
      <c r="K97" t="n">
        <v>0</v>
      </c>
      <c r="L97" t="n">
        <v>0</v>
      </c>
      <c r="M97" t="n">
        <v>12</v>
      </c>
      <c r="N97" t="n">
        <v>0.5</v>
      </c>
      <c r="O97" t="n">
        <v>-0.25</v>
      </c>
      <c r="P97" t="n">
        <v>130</v>
      </c>
      <c r="Q97" t="n">
        <v>12</v>
      </c>
      <c r="R97" t="s">
        <v>299</v>
      </c>
      <c r="S97" t="s">
        <v>299</v>
      </c>
      <c r="T97" t="n">
        <v>0.375</v>
      </c>
    </row>
    <row r="98">
      <c r="A98" t="s">
        <v>30</v>
      </c>
      <c r="B98" t="n">
        <v>1.25</v>
      </c>
      <c r="C98" t="n">
        <v>1.6</v>
      </c>
      <c r="D98" t="n">
        <v>1.6</v>
      </c>
      <c r="E98" t="n">
        <v>-4.25</v>
      </c>
      <c r="F98" t="n">
        <v>-0.75</v>
      </c>
      <c r="G98" t="n">
        <v>93</v>
      </c>
      <c r="H98" t="n">
        <v>12</v>
      </c>
      <c r="I98" t="s">
        <v>298</v>
      </c>
      <c r="J98" t="n">
        <v>0</v>
      </c>
      <c r="K98" t="n">
        <v>0</v>
      </c>
      <c r="L98" t="n">
        <v>0</v>
      </c>
      <c r="M98" t="n">
        <v>12</v>
      </c>
      <c r="N98" t="n">
        <v>0.75</v>
      </c>
      <c r="O98" t="n">
        <v>0</v>
      </c>
      <c r="P98" t="n">
        <v>102</v>
      </c>
      <c r="Q98" t="n">
        <v>12</v>
      </c>
      <c r="R98" t="s">
        <v>299</v>
      </c>
      <c r="S98" t="s">
        <v>299</v>
      </c>
      <c r="T98" t="n">
        <v>0.75</v>
      </c>
    </row>
    <row r="99">
      <c r="A99" t="s">
        <v>30</v>
      </c>
      <c r="B99" t="n">
        <v>1</v>
      </c>
      <c r="C99" t="n">
        <v>1</v>
      </c>
      <c r="D99" t="n">
        <v>1</v>
      </c>
      <c r="E99" t="n">
        <v>-3.25</v>
      </c>
      <c r="F99" t="n">
        <v>-0.25</v>
      </c>
      <c r="G99" t="n">
        <v>13</v>
      </c>
      <c r="H99" t="n">
        <v>12</v>
      </c>
      <c r="I99" t="s">
        <v>297</v>
      </c>
      <c r="J99" t="n">
        <v>0</v>
      </c>
      <c r="K99" t="n">
        <v>0</v>
      </c>
      <c r="L99" t="n">
        <v>0</v>
      </c>
      <c r="M99" t="n">
        <v>12</v>
      </c>
      <c r="N99" t="n">
        <v>0.5</v>
      </c>
      <c r="O99" t="n">
        <v>0</v>
      </c>
      <c r="P99" t="n">
        <v>58</v>
      </c>
      <c r="Q99" t="n">
        <v>12</v>
      </c>
      <c r="R99" t="s">
        <v>297</v>
      </c>
      <c r="S99" t="s">
        <v>297</v>
      </c>
      <c r="T99" t="n">
        <v>0.5</v>
      </c>
    </row>
    <row r="100">
      <c r="A100" t="s">
        <v>30</v>
      </c>
      <c r="B100" t="n">
        <v>1</v>
      </c>
      <c r="C100" t="n">
        <v>1</v>
      </c>
      <c r="D100" t="n">
        <v>1</v>
      </c>
      <c r="E100" t="n">
        <v>-3.5</v>
      </c>
      <c r="F100" t="n">
        <v>-1</v>
      </c>
      <c r="G100" t="n">
        <v>180</v>
      </c>
      <c r="H100" t="n">
        <v>12</v>
      </c>
      <c r="I100" t="s">
        <v>297</v>
      </c>
      <c r="J100" t="n">
        <v>0</v>
      </c>
      <c r="K100" t="n">
        <v>0</v>
      </c>
      <c r="L100" t="n">
        <v>0</v>
      </c>
      <c r="M100" t="n">
        <v>12</v>
      </c>
      <c r="N100" t="n">
        <v>0.5</v>
      </c>
      <c r="O100" t="n">
        <v>-0.25</v>
      </c>
      <c r="P100" t="n">
        <v>135</v>
      </c>
      <c r="Q100" t="n">
        <v>12</v>
      </c>
      <c r="R100" t="s">
        <v>297</v>
      </c>
      <c r="S100" t="s">
        <v>297</v>
      </c>
      <c r="T100" t="n">
        <v>0.375</v>
      </c>
    </row>
    <row r="101">
      <c r="A101" t="s">
        <v>30</v>
      </c>
      <c r="B101" t="n">
        <v>1.25</v>
      </c>
      <c r="C101" t="n">
        <v>1.25</v>
      </c>
      <c r="D101" t="n">
        <v>1.25</v>
      </c>
      <c r="E101" t="n">
        <v>-4.5</v>
      </c>
      <c r="F101" t="n">
        <v>-1</v>
      </c>
      <c r="G101" t="n">
        <v>4</v>
      </c>
      <c r="H101" t="n">
        <v>12</v>
      </c>
      <c r="I101" t="s">
        <v>298</v>
      </c>
      <c r="J101" t="n">
        <v>0</v>
      </c>
      <c r="K101" t="n">
        <v>0</v>
      </c>
      <c r="L101" t="n">
        <v>0</v>
      </c>
      <c r="M101" t="n">
        <v>12</v>
      </c>
      <c r="N101" t="n">
        <v>0.5</v>
      </c>
      <c r="O101" t="n">
        <v>-0.5</v>
      </c>
      <c r="P101" t="n">
        <v>17</v>
      </c>
      <c r="Q101" t="n">
        <v>12</v>
      </c>
      <c r="R101" t="s">
        <v>298</v>
      </c>
      <c r="S101" t="s">
        <v>298</v>
      </c>
      <c r="T101" t="n">
        <v>0.25</v>
      </c>
    </row>
    <row r="102">
      <c r="A102" t="s">
        <v>30</v>
      </c>
      <c r="B102" t="n">
        <v>1.25</v>
      </c>
      <c r="C102" t="n">
        <v>1</v>
      </c>
      <c r="D102" t="n">
        <v>1</v>
      </c>
      <c r="E102" t="n">
        <v>-2.25</v>
      </c>
      <c r="F102" t="n">
        <v>-0.75</v>
      </c>
      <c r="G102" t="n">
        <v>8</v>
      </c>
      <c r="H102" t="n">
        <v>12</v>
      </c>
      <c r="I102" t="s">
        <v>298</v>
      </c>
      <c r="J102" t="n">
        <v>0</v>
      </c>
      <c r="K102" t="n">
        <v>0</v>
      </c>
      <c r="L102" t="n">
        <v>0</v>
      </c>
      <c r="M102" t="n">
        <v>12</v>
      </c>
      <c r="N102" t="n">
        <v>0.25</v>
      </c>
      <c r="O102" t="n">
        <v>-0.25</v>
      </c>
      <c r="P102" t="n">
        <v>8</v>
      </c>
      <c r="Q102" t="n">
        <v>12</v>
      </c>
      <c r="R102" t="s">
        <v>297</v>
      </c>
      <c r="S102" t="s">
        <v>297</v>
      </c>
      <c r="T102" t="n">
        <v>0.125</v>
      </c>
    </row>
    <row r="103">
      <c r="A103" t="s">
        <v>30</v>
      </c>
      <c r="B103" t="n">
        <v>1</v>
      </c>
      <c r="C103" t="n">
        <v>1</v>
      </c>
      <c r="D103" t="n">
        <v>1</v>
      </c>
      <c r="E103" t="n">
        <v>-2.75</v>
      </c>
      <c r="F103" t="n">
        <v>-1.75</v>
      </c>
      <c r="G103" t="n">
        <v>168</v>
      </c>
      <c r="H103" t="n">
        <v>12</v>
      </c>
      <c r="I103" t="s">
        <v>297</v>
      </c>
      <c r="J103" t="n">
        <v>0</v>
      </c>
      <c r="K103" t="n">
        <v>0</v>
      </c>
      <c r="L103" t="n">
        <v>0</v>
      </c>
      <c r="M103" t="n">
        <v>12</v>
      </c>
      <c r="N103" t="n">
        <v>0.75</v>
      </c>
      <c r="O103" t="n">
        <v>-0.5</v>
      </c>
      <c r="P103" t="n">
        <v>7</v>
      </c>
      <c r="Q103" t="n">
        <v>12</v>
      </c>
      <c r="R103" t="s">
        <v>297</v>
      </c>
      <c r="S103" t="s">
        <v>297</v>
      </c>
      <c r="T103" t="n">
        <v>0.5</v>
      </c>
    </row>
    <row r="104">
      <c r="A104" t="s">
        <v>30</v>
      </c>
      <c r="B104" t="n">
        <v>1</v>
      </c>
      <c r="C104" t="n">
        <v>0.8</v>
      </c>
      <c r="D104" t="n">
        <v>1</v>
      </c>
      <c r="E104" t="n">
        <v>-2.25</v>
      </c>
      <c r="F104" t="n">
        <v>-1.25</v>
      </c>
      <c r="G104" t="n">
        <v>13</v>
      </c>
      <c r="H104" t="n">
        <v>12</v>
      </c>
      <c r="I104" t="s">
        <v>297</v>
      </c>
      <c r="J104" t="n">
        <v>0</v>
      </c>
      <c r="K104" t="n">
        <v>0</v>
      </c>
      <c r="L104" t="n">
        <v>0</v>
      </c>
      <c r="M104" t="n">
        <v>12</v>
      </c>
      <c r="N104" t="n">
        <v>-0.25</v>
      </c>
      <c r="O104" t="n">
        <v>-0.5</v>
      </c>
      <c r="P104" t="n">
        <v>153</v>
      </c>
      <c r="Q104" t="n">
        <v>12</v>
      </c>
      <c r="R104" t="s">
        <v>297</v>
      </c>
      <c r="S104" t="s">
        <v>296</v>
      </c>
      <c r="T104" t="n">
        <v>-0.5</v>
      </c>
    </row>
    <row r="105">
      <c r="A105" t="s">
        <v>30</v>
      </c>
      <c r="B105" t="n">
        <v>1</v>
      </c>
      <c r="C105" t="n">
        <v>0.8</v>
      </c>
      <c r="D105" t="n">
        <v>0.8</v>
      </c>
      <c r="E105" t="n">
        <v>0</v>
      </c>
      <c r="F105" t="n">
        <v>-0.75</v>
      </c>
      <c r="G105" t="n">
        <v>2</v>
      </c>
      <c r="H105" t="n">
        <v>12</v>
      </c>
      <c r="I105" t="s">
        <v>297</v>
      </c>
      <c r="J105" t="n">
        <v>0</v>
      </c>
      <c r="K105" t="n">
        <v>0</v>
      </c>
      <c r="L105" t="n">
        <v>0</v>
      </c>
      <c r="M105" t="n">
        <v>12</v>
      </c>
      <c r="N105" t="n">
        <v>0.75</v>
      </c>
      <c r="O105" t="n">
        <v>-0.25</v>
      </c>
      <c r="P105" t="n">
        <v>1</v>
      </c>
      <c r="Q105" t="n">
        <v>12</v>
      </c>
      <c r="R105" t="s">
        <v>296</v>
      </c>
      <c r="S105" t="s">
        <v>296</v>
      </c>
      <c r="T105" t="n">
        <v>0.625</v>
      </c>
    </row>
    <row r="106">
      <c r="A106" t="s">
        <v>30</v>
      </c>
      <c r="B106" t="n">
        <v>1</v>
      </c>
      <c r="C106" t="n">
        <v>1</v>
      </c>
      <c r="D106" t="n">
        <v>1</v>
      </c>
      <c r="E106" t="n">
        <v>-0.75</v>
      </c>
      <c r="F106" t="n">
        <v>-0.75</v>
      </c>
      <c r="G106" t="n">
        <v>180</v>
      </c>
      <c r="H106" t="n">
        <v>12</v>
      </c>
      <c r="I106" t="s">
        <v>297</v>
      </c>
      <c r="J106" t="n">
        <v>0</v>
      </c>
      <c r="K106" t="n">
        <v>0</v>
      </c>
      <c r="L106" t="n">
        <v>0</v>
      </c>
      <c r="M106" t="n">
        <v>12</v>
      </c>
      <c r="N106" t="n">
        <v>0.25</v>
      </c>
      <c r="O106" t="n">
        <v>-0.25</v>
      </c>
      <c r="P106" t="n">
        <v>173</v>
      </c>
      <c r="Q106" t="n">
        <v>12</v>
      </c>
      <c r="R106" t="s">
        <v>297</v>
      </c>
      <c r="S106" t="s">
        <v>297</v>
      </c>
      <c r="T106" t="n">
        <v>0.125</v>
      </c>
    </row>
    <row r="107">
      <c r="A107" t="s">
        <v>30</v>
      </c>
      <c r="B107" t="n">
        <v>1.25</v>
      </c>
      <c r="C107" t="n">
        <v>1.6</v>
      </c>
      <c r="D107" t="n">
        <v>1.6</v>
      </c>
      <c r="E107" t="n">
        <v>-1.75</v>
      </c>
      <c r="F107" t="n">
        <v>-0.5</v>
      </c>
      <c r="G107" t="n">
        <v>44</v>
      </c>
      <c r="H107" t="n">
        <v>12</v>
      </c>
      <c r="I107" t="s">
        <v>298</v>
      </c>
      <c r="J107" t="n">
        <v>0</v>
      </c>
      <c r="K107" t="n">
        <v>0</v>
      </c>
      <c r="L107" t="n">
        <v>0</v>
      </c>
      <c r="M107" t="n">
        <v>12</v>
      </c>
      <c r="N107" t="n">
        <v>0.25</v>
      </c>
      <c r="O107" t="n">
        <v>-0.25</v>
      </c>
      <c r="P107" t="n">
        <v>21</v>
      </c>
      <c r="Q107" t="n">
        <v>12</v>
      </c>
      <c r="R107" t="s">
        <v>299</v>
      </c>
      <c r="S107" t="s">
        <v>299</v>
      </c>
      <c r="T107" t="n">
        <v>0.125</v>
      </c>
    </row>
    <row r="108">
      <c r="A108" t="s">
        <v>30</v>
      </c>
      <c r="B108" t="n">
        <v>1</v>
      </c>
      <c r="C108" t="n">
        <v>1.25</v>
      </c>
      <c r="D108" t="n">
        <v>1.6</v>
      </c>
      <c r="E108" t="n">
        <v>-4.25</v>
      </c>
      <c r="F108" t="n">
        <v>-0.5</v>
      </c>
      <c r="G108" t="n">
        <v>125</v>
      </c>
      <c r="H108" t="n">
        <v>12</v>
      </c>
      <c r="I108" t="s">
        <v>297</v>
      </c>
      <c r="J108" t="n">
        <v>0</v>
      </c>
      <c r="K108" t="n">
        <v>0</v>
      </c>
      <c r="L108" t="n">
        <v>0</v>
      </c>
      <c r="M108" t="n">
        <v>12</v>
      </c>
      <c r="N108" t="n">
        <v>-0.5</v>
      </c>
      <c r="O108" t="n">
        <v>-0.5</v>
      </c>
      <c r="P108" t="n">
        <v>158</v>
      </c>
      <c r="Q108" t="n">
        <v>12</v>
      </c>
      <c r="R108" t="s">
        <v>299</v>
      </c>
      <c r="S108" t="s">
        <v>298</v>
      </c>
      <c r="T108" t="n">
        <v>-0.75</v>
      </c>
    </row>
    <row r="109">
      <c r="A109" t="s">
        <v>30</v>
      </c>
      <c r="B109" t="n">
        <v>1</v>
      </c>
      <c r="C109" t="n">
        <v>0.8</v>
      </c>
      <c r="D109" t="n">
        <v>1</v>
      </c>
      <c r="E109" t="n">
        <v>-2.5</v>
      </c>
      <c r="F109" t="n">
        <v>-1.25</v>
      </c>
      <c r="G109" t="n">
        <v>16</v>
      </c>
      <c r="H109" t="n">
        <v>12</v>
      </c>
      <c r="I109" t="s">
        <v>297</v>
      </c>
      <c r="J109" t="n">
        <v>0</v>
      </c>
      <c r="K109" t="n">
        <v>0</v>
      </c>
      <c r="L109" t="n">
        <v>0</v>
      </c>
      <c r="M109" t="n">
        <v>12</v>
      </c>
      <c r="N109" t="n">
        <v>0.25</v>
      </c>
      <c r="O109" t="n">
        <v>-0.5</v>
      </c>
      <c r="P109" t="n">
        <v>29</v>
      </c>
      <c r="Q109" t="n">
        <v>12</v>
      </c>
      <c r="R109" t="s">
        <v>297</v>
      </c>
      <c r="S109" t="s">
        <v>296</v>
      </c>
      <c r="T109" t="n">
        <v>0</v>
      </c>
    </row>
    <row r="110">
      <c r="A110" t="s">
        <v>30</v>
      </c>
      <c r="B110" t="n">
        <v>1</v>
      </c>
      <c r="C110" t="n">
        <v>1</v>
      </c>
      <c r="D110" t="n">
        <v>1</v>
      </c>
      <c r="E110" t="n">
        <v>-4.75</v>
      </c>
      <c r="F110" t="n">
        <v>-1.5</v>
      </c>
      <c r="G110" t="n">
        <v>166</v>
      </c>
      <c r="H110" t="n">
        <v>12</v>
      </c>
      <c r="I110" t="s">
        <v>297</v>
      </c>
      <c r="J110" t="n">
        <v>0</v>
      </c>
      <c r="K110" t="n">
        <v>0</v>
      </c>
      <c r="L110" t="n">
        <v>0</v>
      </c>
      <c r="M110" t="n">
        <v>12</v>
      </c>
      <c r="N110" t="n">
        <v>0.25</v>
      </c>
      <c r="O110" t="n">
        <v>-0.5</v>
      </c>
      <c r="P110" t="n">
        <v>162</v>
      </c>
      <c r="Q110" t="n">
        <v>12</v>
      </c>
      <c r="R110" t="s">
        <v>297</v>
      </c>
      <c r="S110" t="s">
        <v>297</v>
      </c>
      <c r="T110" t="n">
        <v>0</v>
      </c>
    </row>
    <row r="111">
      <c r="A111" t="s">
        <v>30</v>
      </c>
      <c r="B111" t="n">
        <v>1</v>
      </c>
      <c r="C111" t="n">
        <v>1</v>
      </c>
      <c r="D111" t="n">
        <v>1</v>
      </c>
      <c r="E111" t="n">
        <v>-3.75</v>
      </c>
      <c r="F111" t="n">
        <v>-0.75</v>
      </c>
      <c r="G111" t="n">
        <v>7</v>
      </c>
      <c r="H111" t="n">
        <v>12</v>
      </c>
      <c r="I111" t="s">
        <v>297</v>
      </c>
      <c r="J111" t="n">
        <v>0</v>
      </c>
      <c r="K111" t="n">
        <v>0</v>
      </c>
      <c r="L111" t="n">
        <v>0</v>
      </c>
      <c r="M111" t="n">
        <v>12</v>
      </c>
      <c r="N111" t="n">
        <v>-0.25</v>
      </c>
      <c r="O111" t="n">
        <v>0</v>
      </c>
      <c r="P111" t="n">
        <v>139</v>
      </c>
      <c r="Q111" t="n">
        <v>12</v>
      </c>
      <c r="R111" t="s">
        <v>297</v>
      </c>
      <c r="S111" t="s">
        <v>297</v>
      </c>
      <c r="T111" t="n">
        <v>-0.25</v>
      </c>
    </row>
    <row r="112">
      <c r="A112" t="s">
        <v>30</v>
      </c>
      <c r="B112" t="n">
        <v>1</v>
      </c>
      <c r="C112" t="n">
        <v>1.25</v>
      </c>
      <c r="D112" t="n">
        <v>1.25</v>
      </c>
      <c r="E112" t="n">
        <v>-2.5</v>
      </c>
      <c r="F112" t="n">
        <v>-0.75</v>
      </c>
      <c r="G112" t="n">
        <v>89</v>
      </c>
      <c r="H112" t="n">
        <v>12</v>
      </c>
      <c r="I112" t="s">
        <v>297</v>
      </c>
      <c r="J112" t="n">
        <v>0</v>
      </c>
      <c r="K112" t="n">
        <v>0</v>
      </c>
      <c r="L112" t="n">
        <v>0</v>
      </c>
      <c r="M112" t="n">
        <v>12</v>
      </c>
      <c r="N112" t="n">
        <v>1</v>
      </c>
      <c r="O112" t="n">
        <v>-0.25</v>
      </c>
      <c r="P112" t="n">
        <v>80</v>
      </c>
      <c r="Q112" t="n">
        <v>12</v>
      </c>
      <c r="R112" t="s">
        <v>298</v>
      </c>
      <c r="S112" t="s">
        <v>298</v>
      </c>
      <c r="T112" t="n">
        <v>0.875</v>
      </c>
    </row>
    <row r="113">
      <c r="A113" t="s">
        <v>30</v>
      </c>
      <c r="B113" t="n">
        <v>1.25</v>
      </c>
      <c r="C113" t="n">
        <v>1.25</v>
      </c>
      <c r="D113" t="n">
        <v>1.25</v>
      </c>
      <c r="E113" t="n">
        <v>-2.25</v>
      </c>
      <c r="F113" t="n">
        <v>-0.5</v>
      </c>
      <c r="G113" t="n">
        <v>165</v>
      </c>
      <c r="H113" t="n">
        <v>12</v>
      </c>
      <c r="I113" t="s">
        <v>298</v>
      </c>
      <c r="J113" t="n">
        <v>0</v>
      </c>
      <c r="K113" t="n">
        <v>0</v>
      </c>
      <c r="L113" t="n">
        <v>0</v>
      </c>
      <c r="M113" t="n">
        <v>12</v>
      </c>
      <c r="N113" t="n">
        <v>0</v>
      </c>
      <c r="O113" t="n">
        <v>-0.25</v>
      </c>
      <c r="P113" t="n">
        <v>170</v>
      </c>
      <c r="Q113" t="n">
        <v>12</v>
      </c>
      <c r="R113" t="s">
        <v>298</v>
      </c>
      <c r="S113" t="s">
        <v>298</v>
      </c>
      <c r="T113" t="n">
        <v>-0.125</v>
      </c>
    </row>
    <row r="114">
      <c r="A114" t="s">
        <v>30</v>
      </c>
      <c r="B114" t="n">
        <v>1</v>
      </c>
      <c r="C114" t="n">
        <v>1.25</v>
      </c>
      <c r="D114" t="n">
        <v>1.25</v>
      </c>
      <c r="E114" t="n">
        <v>-4</v>
      </c>
      <c r="F114" t="n">
        <v>-1</v>
      </c>
      <c r="G114" t="n">
        <v>167</v>
      </c>
      <c r="H114" t="n">
        <v>12</v>
      </c>
      <c r="I114" t="s">
        <v>297</v>
      </c>
      <c r="J114" t="n">
        <v>0</v>
      </c>
      <c r="K114" t="n">
        <v>0</v>
      </c>
      <c r="L114" t="n">
        <v>0</v>
      </c>
      <c r="M114" t="n">
        <v>12</v>
      </c>
      <c r="N114" t="n">
        <v>-0.5</v>
      </c>
      <c r="O114" t="n">
        <v>0</v>
      </c>
      <c r="P114" t="n">
        <v>20</v>
      </c>
      <c r="Q114" t="n">
        <v>12</v>
      </c>
      <c r="R114" t="s">
        <v>298</v>
      </c>
      <c r="S114" t="s">
        <v>298</v>
      </c>
      <c r="T114" t="n">
        <v>-0.5</v>
      </c>
    </row>
    <row r="115">
      <c r="A115" t="s">
        <v>30</v>
      </c>
      <c r="B115" t="n">
        <v>1</v>
      </c>
      <c r="C115" t="n">
        <v>1.25</v>
      </c>
      <c r="D115" t="n">
        <v>1.25</v>
      </c>
      <c r="E115" t="n">
        <v>-3</v>
      </c>
      <c r="F115" t="n">
        <v>-0.5</v>
      </c>
      <c r="G115" t="n">
        <v>10</v>
      </c>
      <c r="H115" t="n">
        <v>12</v>
      </c>
      <c r="I115" t="s">
        <v>297</v>
      </c>
      <c r="J115" t="n">
        <v>0</v>
      </c>
      <c r="K115" t="n">
        <v>0</v>
      </c>
      <c r="L115" t="n">
        <v>0</v>
      </c>
      <c r="M115" t="n">
        <v>12</v>
      </c>
      <c r="N115" t="n">
        <v>0.25</v>
      </c>
      <c r="O115" t="n">
        <v>0</v>
      </c>
      <c r="P115" t="n">
        <v>82</v>
      </c>
      <c r="Q115" t="n">
        <v>12</v>
      </c>
      <c r="R115" t="s">
        <v>298</v>
      </c>
      <c r="S115" t="s">
        <v>298</v>
      </c>
      <c r="T115" t="n">
        <v>0.25</v>
      </c>
    </row>
    <row r="116">
      <c r="A116" t="s">
        <v>30</v>
      </c>
      <c r="B116" t="n">
        <v>1.25</v>
      </c>
      <c r="C116" t="n">
        <v>0.8</v>
      </c>
      <c r="D116" t="n">
        <v>1.25</v>
      </c>
      <c r="E116" t="n">
        <v>0</v>
      </c>
      <c r="F116" t="n">
        <v>-0.75</v>
      </c>
      <c r="G116" t="n">
        <v>145</v>
      </c>
      <c r="H116" t="n">
        <v>12</v>
      </c>
      <c r="I116" t="s">
        <v>298</v>
      </c>
      <c r="J116" t="n">
        <v>0</v>
      </c>
      <c r="K116" t="n">
        <v>0</v>
      </c>
      <c r="L116" t="n">
        <v>0</v>
      </c>
      <c r="M116" t="n">
        <v>12</v>
      </c>
      <c r="N116" t="n">
        <v>-0.75</v>
      </c>
      <c r="O116" t="n">
        <v>-0.25</v>
      </c>
      <c r="P116" t="n">
        <v>155</v>
      </c>
      <c r="Q116" t="n">
        <v>12</v>
      </c>
      <c r="R116" t="s">
        <v>298</v>
      </c>
      <c r="S116" t="s">
        <v>296</v>
      </c>
      <c r="T116" t="n">
        <v>-0.875</v>
      </c>
    </row>
    <row r="117">
      <c r="A117" t="s">
        <v>30</v>
      </c>
      <c r="B117" t="n">
        <v>1</v>
      </c>
      <c r="C117" t="n">
        <v>0.5</v>
      </c>
      <c r="D117" t="n">
        <v>1</v>
      </c>
      <c r="E117" t="n">
        <v>-0.25</v>
      </c>
      <c r="F117" t="n">
        <v>-1.25</v>
      </c>
      <c r="G117" t="n">
        <v>31</v>
      </c>
      <c r="H117" t="n">
        <v>12</v>
      </c>
      <c r="I117" t="s">
        <v>297</v>
      </c>
      <c r="J117" t="n">
        <v>0</v>
      </c>
      <c r="K117" t="n">
        <v>0</v>
      </c>
      <c r="L117" t="n">
        <v>0</v>
      </c>
      <c r="M117" t="n">
        <v>12</v>
      </c>
      <c r="N117" t="n">
        <v>-1</v>
      </c>
      <c r="O117" t="n">
        <v>-0.5</v>
      </c>
      <c r="P117" t="n">
        <v>20</v>
      </c>
      <c r="Q117" t="n">
        <v>12</v>
      </c>
      <c r="R117" t="s">
        <v>297</v>
      </c>
      <c r="S117" t="s">
        <v>300</v>
      </c>
      <c r="T117" t="n">
        <v>-1.25</v>
      </c>
    </row>
    <row r="118">
      <c r="A118" t="s">
        <v>30</v>
      </c>
      <c r="B118" t="n">
        <v>1</v>
      </c>
      <c r="C118" t="n">
        <v>1</v>
      </c>
      <c r="D118" t="n">
        <v>1</v>
      </c>
      <c r="E118" t="n">
        <v>-1</v>
      </c>
      <c r="F118" t="n">
        <v>-0.5</v>
      </c>
      <c r="G118" t="n">
        <v>166</v>
      </c>
      <c r="H118" t="n">
        <v>12</v>
      </c>
      <c r="I118" t="s">
        <v>297</v>
      </c>
      <c r="J118" t="n">
        <v>0</v>
      </c>
      <c r="K118" t="n">
        <v>0</v>
      </c>
      <c r="L118" t="n">
        <v>0</v>
      </c>
      <c r="M118" t="n">
        <v>12</v>
      </c>
      <c r="N118" t="n">
        <v>0.75</v>
      </c>
      <c r="O118" t="n">
        <v>-0.25</v>
      </c>
      <c r="P118" t="n">
        <v>149</v>
      </c>
      <c r="Q118" t="n">
        <v>12</v>
      </c>
      <c r="R118" t="s">
        <v>297</v>
      </c>
      <c r="S118" t="s">
        <v>297</v>
      </c>
      <c r="T118" t="n">
        <v>0.625</v>
      </c>
    </row>
    <row r="119">
      <c r="A119" t="s">
        <v>30</v>
      </c>
      <c r="B119" t="n">
        <v>1</v>
      </c>
      <c r="C119" t="n">
        <v>1</v>
      </c>
      <c r="D119" t="n">
        <v>1</v>
      </c>
      <c r="E119" t="n">
        <v>-1.75</v>
      </c>
      <c r="F119" t="n">
        <v>-0.25</v>
      </c>
      <c r="G119" t="n">
        <v>12</v>
      </c>
      <c r="H119" t="n">
        <v>12</v>
      </c>
      <c r="I119" t="s">
        <v>297</v>
      </c>
      <c r="J119" t="n">
        <v>0</v>
      </c>
      <c r="K119" t="n">
        <v>0</v>
      </c>
      <c r="L119" t="n">
        <v>0</v>
      </c>
      <c r="M119" t="n">
        <v>12</v>
      </c>
      <c r="N119" t="n">
        <v>0.5</v>
      </c>
      <c r="O119" t="n">
        <v>-0.25</v>
      </c>
      <c r="P119" t="n">
        <v>28</v>
      </c>
      <c r="Q119" t="n">
        <v>12</v>
      </c>
      <c r="R119" t="s">
        <v>297</v>
      </c>
      <c r="S119" t="s">
        <v>297</v>
      </c>
      <c r="T119" t="n">
        <v>0.375</v>
      </c>
    </row>
    <row r="120">
      <c r="A120" t="s">
        <v>30</v>
      </c>
      <c r="B120" t="n">
        <v>1</v>
      </c>
      <c r="C120"/>
      <c r="D120"/>
      <c r="E120" t="n">
        <v>-2.75</v>
      </c>
      <c r="F120" t="n">
        <v>-0.5</v>
      </c>
      <c r="G120" t="n">
        <v>160</v>
      </c>
      <c r="H120" t="n">
        <v>12</v>
      </c>
      <c r="I120" t="s">
        <v>297</v>
      </c>
      <c r="J120" t="n">
        <v>0</v>
      </c>
      <c r="K120" t="n">
        <v>0</v>
      </c>
      <c r="L120" t="n">
        <v>0</v>
      </c>
      <c r="M120" t="n">
        <v>12</v>
      </c>
      <c r="N120"/>
      <c r="O120"/>
      <c r="P120"/>
      <c r="Q120" t="n">
        <v>12</v>
      </c>
      <c r="R120" t="s">
        <v>109</v>
      </c>
      <c r="S120" t="s">
        <v>109</v>
      </c>
      <c r="T120"/>
    </row>
    <row r="121">
      <c r="A121" t="s">
        <v>30</v>
      </c>
      <c r="B121" t="n">
        <v>1</v>
      </c>
      <c r="C121"/>
      <c r="D121"/>
      <c r="E121" t="n">
        <v>-3.25</v>
      </c>
      <c r="F121" t="n">
        <v>-0.5</v>
      </c>
      <c r="G121" t="n">
        <v>23</v>
      </c>
      <c r="H121" t="n">
        <v>12</v>
      </c>
      <c r="I121" t="s">
        <v>297</v>
      </c>
      <c r="J121" t="n">
        <v>0</v>
      </c>
      <c r="K121" t="n">
        <v>0</v>
      </c>
      <c r="L121" t="n">
        <v>0</v>
      </c>
      <c r="M121" t="n">
        <v>12</v>
      </c>
      <c r="N121"/>
      <c r="O121"/>
      <c r="P121"/>
      <c r="Q121" t="n">
        <v>12</v>
      </c>
      <c r="R121" t="s">
        <v>109</v>
      </c>
      <c r="S121" t="s">
        <v>109</v>
      </c>
      <c r="T121"/>
    </row>
    <row r="122">
      <c r="A122" t="s">
        <v>30</v>
      </c>
      <c r="B122" t="n">
        <v>1.25</v>
      </c>
      <c r="C122" t="n">
        <v>1.25</v>
      </c>
      <c r="D122" t="n">
        <v>1.25</v>
      </c>
      <c r="E122" t="n">
        <v>-2</v>
      </c>
      <c r="F122" t="n">
        <v>-0.25</v>
      </c>
      <c r="G122" t="n">
        <v>35</v>
      </c>
      <c r="H122" t="n">
        <v>12</v>
      </c>
      <c r="I122" t="s">
        <v>298</v>
      </c>
      <c r="J122" t="n">
        <v>0</v>
      </c>
      <c r="K122" t="n">
        <v>0</v>
      </c>
      <c r="L122" t="n">
        <v>0</v>
      </c>
      <c r="M122" t="n">
        <v>12</v>
      </c>
      <c r="N122" t="n">
        <v>0.25</v>
      </c>
      <c r="O122" t="n">
        <v>0</v>
      </c>
      <c r="P122" t="n">
        <v>20</v>
      </c>
      <c r="Q122" t="n">
        <v>12</v>
      </c>
      <c r="R122" t="s">
        <v>298</v>
      </c>
      <c r="S122" t="s">
        <v>298</v>
      </c>
      <c r="T122" t="n">
        <v>0.25</v>
      </c>
    </row>
    <row r="123">
      <c r="A123" t="s">
        <v>30</v>
      </c>
      <c r="B123" t="n">
        <v>1.6</v>
      </c>
      <c r="C123" t="n">
        <v>1.25</v>
      </c>
      <c r="D123" t="n">
        <v>1.25</v>
      </c>
      <c r="E123" t="n">
        <v>-2.25</v>
      </c>
      <c r="F123" t="n">
        <v>-0.25</v>
      </c>
      <c r="G123" t="n">
        <v>147</v>
      </c>
      <c r="H123" t="n">
        <v>12</v>
      </c>
      <c r="I123" t="s">
        <v>299</v>
      </c>
      <c r="J123" t="n">
        <v>0</v>
      </c>
      <c r="K123" t="n">
        <v>0</v>
      </c>
      <c r="L123" t="n">
        <v>0</v>
      </c>
      <c r="M123" t="n">
        <v>12</v>
      </c>
      <c r="N123" t="n">
        <v>0.25</v>
      </c>
      <c r="O123" t="n">
        <v>0</v>
      </c>
      <c r="P123" t="n">
        <v>29</v>
      </c>
      <c r="Q123" t="n">
        <v>12</v>
      </c>
      <c r="R123" t="s">
        <v>298</v>
      </c>
      <c r="S123" t="s">
        <v>298</v>
      </c>
      <c r="T123" t="n">
        <v>0.25</v>
      </c>
    </row>
    <row r="124">
      <c r="A124" t="s">
        <v>30</v>
      </c>
      <c r="B124" t="n">
        <v>1</v>
      </c>
      <c r="C124" t="n">
        <v>0.63</v>
      </c>
      <c r="D124" t="n">
        <v>0.63</v>
      </c>
      <c r="E124" t="n">
        <v>-1.75</v>
      </c>
      <c r="F124" t="n">
        <v>-0.25</v>
      </c>
      <c r="G124" t="n">
        <v>97</v>
      </c>
      <c r="H124" t="n">
        <v>12</v>
      </c>
      <c r="I124" t="s">
        <v>297</v>
      </c>
      <c r="J124" t="n">
        <v>0</v>
      </c>
      <c r="K124" t="n">
        <v>0</v>
      </c>
      <c r="L124" t="n">
        <v>0</v>
      </c>
      <c r="M124" t="n">
        <v>12</v>
      </c>
      <c r="N124" t="n">
        <v>0.75</v>
      </c>
      <c r="O124" t="n">
        <v>0</v>
      </c>
      <c r="P124" t="n">
        <v>141</v>
      </c>
      <c r="Q124" t="n">
        <v>12</v>
      </c>
      <c r="R124" t="s">
        <v>301</v>
      </c>
      <c r="S124" t="s">
        <v>301</v>
      </c>
      <c r="T124" t="n">
        <v>0.75</v>
      </c>
    </row>
    <row r="125">
      <c r="A125" t="s">
        <v>30</v>
      </c>
      <c r="B125" t="n">
        <v>1.25</v>
      </c>
      <c r="C125" t="n">
        <v>1</v>
      </c>
      <c r="D125" t="n">
        <v>1</v>
      </c>
      <c r="E125" t="n">
        <v>-1.75</v>
      </c>
      <c r="F125" t="n">
        <v>-0.75</v>
      </c>
      <c r="G125" t="n">
        <v>93</v>
      </c>
      <c r="H125" t="n">
        <v>12</v>
      </c>
      <c r="I125" t="s">
        <v>298</v>
      </c>
      <c r="J125" t="n">
        <v>-1</v>
      </c>
      <c r="K125" t="n">
        <v>0</v>
      </c>
      <c r="L125" t="n">
        <v>0</v>
      </c>
      <c r="M125" t="n">
        <v>12</v>
      </c>
      <c r="N125" t="n">
        <v>-0.25</v>
      </c>
      <c r="O125" t="n">
        <v>-0.25</v>
      </c>
      <c r="P125" t="n">
        <v>155</v>
      </c>
      <c r="Q125" t="n">
        <v>12</v>
      </c>
      <c r="R125" t="s">
        <v>297</v>
      </c>
      <c r="S125" t="s">
        <v>297</v>
      </c>
      <c r="T125" t="n">
        <v>-0.375</v>
      </c>
    </row>
    <row r="126">
      <c r="A126" t="s">
        <v>30</v>
      </c>
      <c r="B126" t="n">
        <v>1</v>
      </c>
      <c r="C126" t="n">
        <v>1</v>
      </c>
      <c r="D126" t="n">
        <v>1</v>
      </c>
      <c r="E126" t="n">
        <v>-0.75</v>
      </c>
      <c r="F126" t="n">
        <v>-0.75</v>
      </c>
      <c r="G126" t="n">
        <v>166</v>
      </c>
      <c r="H126" t="n">
        <v>12</v>
      </c>
      <c r="I126" t="s">
        <v>297</v>
      </c>
      <c r="J126" t="n">
        <v>0</v>
      </c>
      <c r="K126" t="n">
        <v>0</v>
      </c>
      <c r="L126" t="n">
        <v>0</v>
      </c>
      <c r="M126" t="n">
        <v>12</v>
      </c>
      <c r="N126" t="n">
        <v>0.75</v>
      </c>
      <c r="O126" t="n">
        <v>-0.25</v>
      </c>
      <c r="P126" t="n">
        <v>110</v>
      </c>
      <c r="Q126" t="n">
        <v>12</v>
      </c>
      <c r="R126" t="s">
        <v>297</v>
      </c>
      <c r="S126" t="s">
        <v>297</v>
      </c>
      <c r="T126" t="n">
        <v>0.625</v>
      </c>
    </row>
    <row r="127">
      <c r="A127" t="s">
        <v>30</v>
      </c>
      <c r="B127" t="n">
        <v>1</v>
      </c>
      <c r="C127" t="n">
        <v>1</v>
      </c>
      <c r="D127" t="n">
        <v>1</v>
      </c>
      <c r="E127" t="n">
        <v>0</v>
      </c>
      <c r="F127" t="n">
        <v>-1</v>
      </c>
      <c r="G127" t="n">
        <v>180</v>
      </c>
      <c r="H127" t="n">
        <v>12</v>
      </c>
      <c r="I127" t="s">
        <v>297</v>
      </c>
      <c r="J127" t="n">
        <v>0</v>
      </c>
      <c r="K127" t="n">
        <v>0</v>
      </c>
      <c r="L127" t="n">
        <v>0</v>
      </c>
      <c r="M127" t="n">
        <v>12</v>
      </c>
      <c r="N127" t="n">
        <v>0.25</v>
      </c>
      <c r="O127" t="n">
        <v>-0.25</v>
      </c>
      <c r="P127" t="n">
        <v>69</v>
      </c>
      <c r="Q127" t="n">
        <v>12</v>
      </c>
      <c r="R127" t="s">
        <v>297</v>
      </c>
      <c r="S127" t="s">
        <v>297</v>
      </c>
      <c r="T127" t="n">
        <v>0.125</v>
      </c>
    </row>
    <row r="128">
      <c r="A128" t="s">
        <v>30</v>
      </c>
      <c r="B128" t="n">
        <v>1</v>
      </c>
      <c r="C128" t="n">
        <v>0.8</v>
      </c>
      <c r="D128" t="n">
        <v>1</v>
      </c>
      <c r="E128" t="n">
        <v>-4.25</v>
      </c>
      <c r="F128" t="n">
        <v>-1.75</v>
      </c>
      <c r="G128" t="n">
        <v>61</v>
      </c>
      <c r="H128" t="n">
        <v>12</v>
      </c>
      <c r="I128" t="s">
        <v>297</v>
      </c>
      <c r="J128" t="n">
        <v>0</v>
      </c>
      <c r="K128" t="n">
        <v>0</v>
      </c>
      <c r="L128" t="n">
        <v>0</v>
      </c>
      <c r="M128" t="n">
        <v>12</v>
      </c>
      <c r="N128" t="n">
        <v>-0.25</v>
      </c>
      <c r="O128" t="n">
        <v>-0.25</v>
      </c>
      <c r="P128" t="n">
        <v>6</v>
      </c>
      <c r="Q128" t="n">
        <v>12</v>
      </c>
      <c r="R128" t="s">
        <v>297</v>
      </c>
      <c r="S128" t="s">
        <v>296</v>
      </c>
      <c r="T128" t="n">
        <v>-0.375</v>
      </c>
    </row>
    <row r="129">
      <c r="A129" t="s">
        <v>30</v>
      </c>
      <c r="B129" t="n">
        <v>1</v>
      </c>
      <c r="C129" t="n">
        <v>1</v>
      </c>
      <c r="D129" t="n">
        <v>1</v>
      </c>
      <c r="E129" t="n">
        <v>-3.5</v>
      </c>
      <c r="F129" t="n">
        <v>-2</v>
      </c>
      <c r="G129" t="n">
        <v>134</v>
      </c>
      <c r="H129" t="n">
        <v>12</v>
      </c>
      <c r="I129" t="s">
        <v>297</v>
      </c>
      <c r="J129" t="n">
        <v>0</v>
      </c>
      <c r="K129" t="n">
        <v>0</v>
      </c>
      <c r="L129" t="n">
        <v>0</v>
      </c>
      <c r="M129" t="n">
        <v>12</v>
      </c>
      <c r="N129" t="n">
        <v>0</v>
      </c>
      <c r="O129" t="n">
        <v>-0.25</v>
      </c>
      <c r="P129" t="n">
        <v>79</v>
      </c>
      <c r="Q129" t="n">
        <v>12</v>
      </c>
      <c r="R129" t="s">
        <v>297</v>
      </c>
      <c r="S129" t="s">
        <v>297</v>
      </c>
      <c r="T129" t="n">
        <v>-0.125</v>
      </c>
    </row>
    <row r="130">
      <c r="A130" t="s">
        <v>30</v>
      </c>
      <c r="B130" t="n">
        <v>1.25</v>
      </c>
      <c r="C130" t="n">
        <v>1.6</v>
      </c>
      <c r="D130" t="n">
        <v>1.6</v>
      </c>
      <c r="E130" t="n">
        <v>-5.5</v>
      </c>
      <c r="F130" t="n">
        <v>-1</v>
      </c>
      <c r="G130" t="n">
        <v>15</v>
      </c>
      <c r="H130" t="n">
        <v>12</v>
      </c>
      <c r="I130" t="s">
        <v>298</v>
      </c>
      <c r="J130" t="n">
        <v>0</v>
      </c>
      <c r="K130" t="n">
        <v>0</v>
      </c>
      <c r="L130" t="n">
        <v>0</v>
      </c>
      <c r="M130" t="n">
        <v>12</v>
      </c>
      <c r="N130" t="n">
        <v>0.25</v>
      </c>
      <c r="O130" t="n">
        <v>-0.25</v>
      </c>
      <c r="P130" t="n">
        <v>177</v>
      </c>
      <c r="Q130" t="n">
        <v>12</v>
      </c>
      <c r="R130" t="s">
        <v>299</v>
      </c>
      <c r="S130" t="s">
        <v>299</v>
      </c>
      <c r="T130" t="n">
        <v>0.125</v>
      </c>
    </row>
    <row r="131">
      <c r="A131" t="s">
        <v>30</v>
      </c>
      <c r="B131" t="n">
        <v>1</v>
      </c>
      <c r="C131"/>
      <c r="D131"/>
      <c r="E131" t="n">
        <v>-5.5</v>
      </c>
      <c r="F131" t="n">
        <v>-0.25</v>
      </c>
      <c r="G131" t="n">
        <v>7</v>
      </c>
      <c r="H131" t="n">
        <v>12</v>
      </c>
      <c r="I131" t="s">
        <v>297</v>
      </c>
      <c r="J131" t="n">
        <v>0</v>
      </c>
      <c r="K131" t="n">
        <v>0</v>
      </c>
      <c r="L131" t="n">
        <v>0</v>
      </c>
      <c r="M131" t="n">
        <v>12</v>
      </c>
      <c r="N131"/>
      <c r="O131"/>
      <c r="P131"/>
      <c r="Q131" t="n">
        <v>12</v>
      </c>
      <c r="R131" t="s">
        <v>109</v>
      </c>
      <c r="S131" t="s">
        <v>109</v>
      </c>
      <c r="T131"/>
    </row>
    <row r="132">
      <c r="A132" t="s">
        <v>30</v>
      </c>
      <c r="B132" t="n">
        <v>1</v>
      </c>
      <c r="C132"/>
      <c r="D132"/>
      <c r="E132" t="n">
        <v>-4.5</v>
      </c>
      <c r="F132" t="n">
        <v>-0.25</v>
      </c>
      <c r="G132" t="n">
        <v>169</v>
      </c>
      <c r="H132" t="n">
        <v>12</v>
      </c>
      <c r="I132" t="s">
        <v>297</v>
      </c>
      <c r="J132" t="n">
        <v>0</v>
      </c>
      <c r="K132" t="n">
        <v>0</v>
      </c>
      <c r="L132" t="n">
        <v>0</v>
      </c>
      <c r="M132" t="n">
        <v>12</v>
      </c>
      <c r="N132"/>
      <c r="O132"/>
      <c r="P132"/>
      <c r="Q132" t="n">
        <v>12</v>
      </c>
      <c r="R132" t="s">
        <v>109</v>
      </c>
      <c r="S132" t="s">
        <v>109</v>
      </c>
      <c r="T132"/>
    </row>
    <row r="133">
      <c r="A133" t="s">
        <v>30</v>
      </c>
      <c r="B133" t="n">
        <v>1.25</v>
      </c>
      <c r="C133" t="n">
        <v>1</v>
      </c>
      <c r="D133" t="n">
        <v>1.25</v>
      </c>
      <c r="E133" t="n">
        <v>-1</v>
      </c>
      <c r="F133" t="n">
        <v>-2.75</v>
      </c>
      <c r="G133" t="n">
        <v>154</v>
      </c>
      <c r="H133" t="n">
        <v>12</v>
      </c>
      <c r="I133" t="s">
        <v>298</v>
      </c>
      <c r="J133" t="n">
        <v>0</v>
      </c>
      <c r="K133" t="n">
        <v>0</v>
      </c>
      <c r="L133" t="n">
        <v>0</v>
      </c>
      <c r="M133" t="n">
        <v>12</v>
      </c>
      <c r="N133" t="n">
        <v>0.75</v>
      </c>
      <c r="O133" t="n">
        <v>-1</v>
      </c>
      <c r="P133" t="n">
        <v>122</v>
      </c>
      <c r="Q133" t="n">
        <v>12</v>
      </c>
      <c r="R133" t="s">
        <v>298</v>
      </c>
      <c r="S133" t="s">
        <v>297</v>
      </c>
      <c r="T133" t="n">
        <v>0.25</v>
      </c>
    </row>
    <row r="134">
      <c r="A134" t="s">
        <v>30</v>
      </c>
      <c r="B134" t="n">
        <v>1</v>
      </c>
      <c r="C134" t="n">
        <v>1</v>
      </c>
      <c r="D134" t="n">
        <v>1</v>
      </c>
      <c r="E134" t="n">
        <v>0</v>
      </c>
      <c r="F134" t="n">
        <v>-0.75</v>
      </c>
      <c r="G134" t="n">
        <v>14</v>
      </c>
      <c r="H134" t="n">
        <v>12</v>
      </c>
      <c r="I134" t="s">
        <v>297</v>
      </c>
      <c r="J134" t="n">
        <v>0</v>
      </c>
      <c r="K134" t="n">
        <v>0</v>
      </c>
      <c r="L134" t="n">
        <v>0</v>
      </c>
      <c r="M134" t="n">
        <v>12</v>
      </c>
      <c r="N134" t="n">
        <v>0.25</v>
      </c>
      <c r="O134" t="n">
        <v>0</v>
      </c>
      <c r="P134" t="n">
        <v>14</v>
      </c>
      <c r="Q134" t="n">
        <v>12</v>
      </c>
      <c r="R134" t="s">
        <v>297</v>
      </c>
      <c r="S134" t="s">
        <v>297</v>
      </c>
      <c r="T134" t="n">
        <v>0.25</v>
      </c>
    </row>
    <row r="135">
      <c r="A135" t="s">
        <v>30</v>
      </c>
      <c r="B135" t="n">
        <v>1.25</v>
      </c>
      <c r="C135" t="n">
        <v>1.6</v>
      </c>
      <c r="D135" t="n">
        <v>1.6</v>
      </c>
      <c r="E135" t="n">
        <v>-2.75</v>
      </c>
      <c r="F135" t="n">
        <v>-1.25</v>
      </c>
      <c r="G135" t="n">
        <v>16</v>
      </c>
      <c r="H135" t="n">
        <v>12</v>
      </c>
      <c r="I135" t="s">
        <v>298</v>
      </c>
      <c r="J135" t="n">
        <v>0</v>
      </c>
      <c r="K135" t="n">
        <v>0</v>
      </c>
      <c r="L135" t="n">
        <v>0</v>
      </c>
      <c r="M135" t="n">
        <v>12</v>
      </c>
      <c r="N135" t="n">
        <v>0.25</v>
      </c>
      <c r="O135" t="n">
        <v>-0.5</v>
      </c>
      <c r="P135" t="n">
        <v>174</v>
      </c>
      <c r="Q135" t="n">
        <v>12</v>
      </c>
      <c r="R135" t="s">
        <v>299</v>
      </c>
      <c r="S135" t="s">
        <v>299</v>
      </c>
      <c r="T135" t="n">
        <v>0</v>
      </c>
    </row>
    <row r="136">
      <c r="A136" t="s">
        <v>30</v>
      </c>
      <c r="B136" t="n">
        <v>1.25</v>
      </c>
      <c r="C136" t="n">
        <v>1.25</v>
      </c>
      <c r="D136" t="n">
        <v>1.6</v>
      </c>
      <c r="E136" t="n">
        <v>-3.5</v>
      </c>
      <c r="F136" t="n">
        <v>-1.5</v>
      </c>
      <c r="G136" t="n">
        <v>156</v>
      </c>
      <c r="H136" t="n">
        <v>12</v>
      </c>
      <c r="I136" t="s">
        <v>298</v>
      </c>
      <c r="J136" t="n">
        <v>0</v>
      </c>
      <c r="K136" t="n">
        <v>0</v>
      </c>
      <c r="L136" t="n">
        <v>0</v>
      </c>
      <c r="M136" t="n">
        <v>12</v>
      </c>
      <c r="N136" t="n">
        <v>0.75</v>
      </c>
      <c r="O136" t="n">
        <v>-0.75</v>
      </c>
      <c r="P136" t="n">
        <v>1</v>
      </c>
      <c r="Q136" t="n">
        <v>12</v>
      </c>
      <c r="R136" t="s">
        <v>299</v>
      </c>
      <c r="S136" t="s">
        <v>298</v>
      </c>
      <c r="T136" t="n">
        <v>0.375</v>
      </c>
    </row>
    <row r="137">
      <c r="A137" t="s">
        <v>30</v>
      </c>
      <c r="B137" t="n">
        <v>0.8</v>
      </c>
      <c r="C137" t="n">
        <v>1</v>
      </c>
      <c r="D137" t="n">
        <v>1.25</v>
      </c>
      <c r="E137" t="n">
        <v>-4.5</v>
      </c>
      <c r="F137" t="n">
        <v>-1.25</v>
      </c>
      <c r="G137" t="n">
        <v>4</v>
      </c>
      <c r="H137" t="n">
        <v>12</v>
      </c>
      <c r="I137" t="s">
        <v>296</v>
      </c>
      <c r="J137" t="n">
        <v>0</v>
      </c>
      <c r="K137" t="n">
        <v>0</v>
      </c>
      <c r="L137" t="n">
        <v>0</v>
      </c>
      <c r="M137" t="n">
        <v>12</v>
      </c>
      <c r="N137" t="n">
        <v>0</v>
      </c>
      <c r="O137" t="n">
        <v>-0.5</v>
      </c>
      <c r="P137" t="n">
        <v>161</v>
      </c>
      <c r="Q137" t="n">
        <v>12</v>
      </c>
      <c r="R137" t="s">
        <v>298</v>
      </c>
      <c r="S137" t="s">
        <v>297</v>
      </c>
      <c r="T137" t="n">
        <v>-0.25</v>
      </c>
    </row>
    <row r="138">
      <c r="A138" t="s">
        <v>30</v>
      </c>
      <c r="B138" t="n">
        <v>1.25</v>
      </c>
      <c r="C138" t="n">
        <v>0.8</v>
      </c>
      <c r="D138" t="n">
        <v>1.25</v>
      </c>
      <c r="E138" t="n">
        <v>-0.75</v>
      </c>
      <c r="F138" t="n">
        <v>-3</v>
      </c>
      <c r="G138" t="n">
        <v>8</v>
      </c>
      <c r="H138" t="n">
        <v>12</v>
      </c>
      <c r="I138" t="s">
        <v>298</v>
      </c>
      <c r="J138" t="n">
        <v>0</v>
      </c>
      <c r="K138" t="n">
        <v>0</v>
      </c>
      <c r="L138" t="n">
        <v>0</v>
      </c>
      <c r="M138" t="n">
        <v>12</v>
      </c>
      <c r="N138" t="n">
        <v>1.5</v>
      </c>
      <c r="O138" t="n">
        <v>-1.5</v>
      </c>
      <c r="P138" t="n">
        <v>55</v>
      </c>
      <c r="Q138" t="n">
        <v>12</v>
      </c>
      <c r="R138" t="s">
        <v>298</v>
      </c>
      <c r="S138" t="s">
        <v>296</v>
      </c>
      <c r="T138" t="n">
        <v>0.75</v>
      </c>
    </row>
    <row r="139">
      <c r="A139" t="s">
        <v>30</v>
      </c>
      <c r="B139" t="n">
        <v>1.25</v>
      </c>
      <c r="C139" t="n">
        <v>0.8</v>
      </c>
      <c r="D139" t="n">
        <v>1</v>
      </c>
      <c r="E139" t="n">
        <v>-0.75</v>
      </c>
      <c r="F139" t="n">
        <v>-2.25</v>
      </c>
      <c r="G139" t="n">
        <v>10</v>
      </c>
      <c r="H139" t="n">
        <v>12</v>
      </c>
      <c r="I139" t="s">
        <v>298</v>
      </c>
      <c r="J139" t="n">
        <v>0</v>
      </c>
      <c r="K139" t="n">
        <v>0</v>
      </c>
      <c r="L139" t="n">
        <v>0</v>
      </c>
      <c r="M139" t="n">
        <v>12</v>
      </c>
      <c r="N139" t="n">
        <v>0.5</v>
      </c>
      <c r="O139" t="n">
        <v>-0.5</v>
      </c>
      <c r="P139" t="n">
        <v>77</v>
      </c>
      <c r="Q139" t="n">
        <v>12</v>
      </c>
      <c r="R139" t="s">
        <v>297</v>
      </c>
      <c r="S139" t="s">
        <v>296</v>
      </c>
      <c r="T139" t="n">
        <v>0.25</v>
      </c>
    </row>
    <row r="140">
      <c r="A140" t="s">
        <v>30</v>
      </c>
      <c r="B140" t="n">
        <v>0.8</v>
      </c>
      <c r="C140" t="n">
        <v>0.5</v>
      </c>
      <c r="D140" t="n">
        <v>0.8</v>
      </c>
      <c r="E140" t="n">
        <v>-0.25</v>
      </c>
      <c r="F140" t="n">
        <v>-2.25</v>
      </c>
      <c r="G140" t="n">
        <v>79</v>
      </c>
      <c r="H140" t="n">
        <v>12</v>
      </c>
      <c r="I140" t="s">
        <v>296</v>
      </c>
      <c r="J140" t="n">
        <v>0</v>
      </c>
      <c r="K140" t="n">
        <v>0</v>
      </c>
      <c r="L140" t="n">
        <v>0</v>
      </c>
      <c r="M140" t="n">
        <v>12</v>
      </c>
      <c r="N140" t="n">
        <v>0</v>
      </c>
      <c r="O140" t="n">
        <v>-0.75</v>
      </c>
      <c r="P140" t="n">
        <v>60</v>
      </c>
      <c r="Q140" t="n">
        <v>12</v>
      </c>
      <c r="R140" t="s">
        <v>296</v>
      </c>
      <c r="S140" t="s">
        <v>300</v>
      </c>
      <c r="T140" t="n">
        <v>-0.375</v>
      </c>
    </row>
    <row r="141">
      <c r="A141" t="s">
        <v>30</v>
      </c>
      <c r="B141" t="n">
        <v>1</v>
      </c>
      <c r="C141" t="n">
        <v>1</v>
      </c>
      <c r="D141" t="n">
        <v>1</v>
      </c>
      <c r="E141" t="n">
        <v>0.5</v>
      </c>
      <c r="F141" t="n">
        <v>-1.75</v>
      </c>
      <c r="G141" t="n">
        <v>91</v>
      </c>
      <c r="H141" t="n">
        <v>12</v>
      </c>
      <c r="I141" t="s">
        <v>297</v>
      </c>
      <c r="J141" t="n">
        <v>0</v>
      </c>
      <c r="K141" t="n">
        <v>0</v>
      </c>
      <c r="L141" t="n">
        <v>0</v>
      </c>
      <c r="M141" t="n">
        <v>12</v>
      </c>
      <c r="N141" t="n">
        <v>0.75</v>
      </c>
      <c r="O141" t="n">
        <v>-0.25</v>
      </c>
      <c r="P141" t="n">
        <v>78</v>
      </c>
      <c r="Q141" t="n">
        <v>12</v>
      </c>
      <c r="R141" t="s">
        <v>297</v>
      </c>
      <c r="S141" t="s">
        <v>297</v>
      </c>
      <c r="T141" t="n">
        <v>0.625</v>
      </c>
    </row>
    <row r="142">
      <c r="A142" t="s">
        <v>30</v>
      </c>
      <c r="B142" t="n">
        <v>1</v>
      </c>
      <c r="C142" t="n">
        <v>1.25</v>
      </c>
      <c r="D142" t="n">
        <v>1.25</v>
      </c>
      <c r="E142" t="n">
        <v>-4.5</v>
      </c>
      <c r="F142" t="n">
        <v>-0.5</v>
      </c>
      <c r="G142" t="n">
        <v>91</v>
      </c>
      <c r="H142" t="n">
        <v>12</v>
      </c>
      <c r="I142" t="s">
        <v>297</v>
      </c>
      <c r="J142" t="n">
        <v>0</v>
      </c>
      <c r="K142" t="n">
        <v>0</v>
      </c>
      <c r="L142" t="n">
        <v>0</v>
      </c>
      <c r="M142" t="n">
        <v>12</v>
      </c>
      <c r="N142" t="n">
        <v>0.5</v>
      </c>
      <c r="O142" t="n">
        <v>-0.25</v>
      </c>
      <c r="P142" t="n">
        <v>76</v>
      </c>
      <c r="Q142" t="n">
        <v>12</v>
      </c>
      <c r="R142" t="s">
        <v>298</v>
      </c>
      <c r="S142" t="s">
        <v>298</v>
      </c>
      <c r="T142" t="n">
        <v>0.375</v>
      </c>
    </row>
    <row r="143">
      <c r="A143" t="s">
        <v>30</v>
      </c>
      <c r="B143" t="n">
        <v>1</v>
      </c>
      <c r="C143" t="n">
        <v>1</v>
      </c>
      <c r="D143" t="n">
        <v>1</v>
      </c>
      <c r="E143" t="n">
        <v>-5.25</v>
      </c>
      <c r="F143" t="n">
        <v>-0.75</v>
      </c>
      <c r="G143" t="n">
        <v>168</v>
      </c>
      <c r="H143" t="n">
        <v>12</v>
      </c>
      <c r="I143" t="s">
        <v>297</v>
      </c>
      <c r="J143" t="n">
        <v>0</v>
      </c>
      <c r="K143" t="n">
        <v>0</v>
      </c>
      <c r="L143" t="n">
        <v>0</v>
      </c>
      <c r="M143" t="n">
        <v>12</v>
      </c>
      <c r="N143" t="n">
        <v>0</v>
      </c>
      <c r="O143" t="n">
        <v>0</v>
      </c>
      <c r="P143" t="n">
        <v>137</v>
      </c>
      <c r="Q143" t="n">
        <v>12</v>
      </c>
      <c r="R143" t="s">
        <v>297</v>
      </c>
      <c r="S143" t="s">
        <v>297</v>
      </c>
      <c r="T143" t="n">
        <v>0</v>
      </c>
    </row>
    <row r="144">
      <c r="A144" t="s">
        <v>30</v>
      </c>
      <c r="B144" t="n">
        <v>1</v>
      </c>
      <c r="C144" t="n">
        <v>0.8</v>
      </c>
      <c r="D144" t="n">
        <v>1</v>
      </c>
      <c r="E144" t="n">
        <v>-4.25</v>
      </c>
      <c r="F144" t="n">
        <v>-0.75</v>
      </c>
      <c r="G144" t="n">
        <v>17</v>
      </c>
      <c r="H144" t="n">
        <v>12</v>
      </c>
      <c r="I144" t="s">
        <v>297</v>
      </c>
      <c r="J144" t="n">
        <v>0</v>
      </c>
      <c r="K144" t="n">
        <v>0</v>
      </c>
      <c r="L144" t="n">
        <v>0</v>
      </c>
      <c r="M144" t="n">
        <v>12</v>
      </c>
      <c r="N144" t="n">
        <v>-0.5</v>
      </c>
      <c r="O144" t="n">
        <v>0</v>
      </c>
      <c r="P144" t="n">
        <v>31</v>
      </c>
      <c r="Q144" t="n">
        <v>12</v>
      </c>
      <c r="R144" t="s">
        <v>297</v>
      </c>
      <c r="S144" t="s">
        <v>296</v>
      </c>
      <c r="T144" t="n">
        <v>-0.5</v>
      </c>
    </row>
    <row r="145">
      <c r="A145" t="s">
        <v>30</v>
      </c>
      <c r="B145" t="n">
        <v>1.25</v>
      </c>
      <c r="C145" t="n">
        <v>1.25</v>
      </c>
      <c r="D145" t="n">
        <v>1.25</v>
      </c>
      <c r="E145" t="n">
        <v>-3.75</v>
      </c>
      <c r="F145" t="n">
        <v>-1</v>
      </c>
      <c r="G145" t="n">
        <v>180</v>
      </c>
      <c r="H145" t="n">
        <v>12</v>
      </c>
      <c r="I145" t="s">
        <v>298</v>
      </c>
      <c r="J145" t="n">
        <v>0</v>
      </c>
      <c r="K145" t="n">
        <v>0</v>
      </c>
      <c r="L145" t="n">
        <v>0</v>
      </c>
      <c r="M145" t="n">
        <v>12</v>
      </c>
      <c r="N145" t="n">
        <v>0.5</v>
      </c>
      <c r="O145" t="n">
        <v>-0.5</v>
      </c>
      <c r="P145" t="n">
        <v>159</v>
      </c>
      <c r="Q145" t="n">
        <v>12</v>
      </c>
      <c r="R145" t="s">
        <v>298</v>
      </c>
      <c r="S145" t="s">
        <v>298</v>
      </c>
      <c r="T145" t="n">
        <v>0.25</v>
      </c>
    </row>
    <row r="146">
      <c r="A146" t="s">
        <v>30</v>
      </c>
      <c r="B146" t="n">
        <v>1.25</v>
      </c>
      <c r="C146" t="n">
        <v>1.25</v>
      </c>
      <c r="D146" t="n">
        <v>1.25</v>
      </c>
      <c r="E146" t="n">
        <v>-4.5</v>
      </c>
      <c r="F146" t="n">
        <v>-0.75</v>
      </c>
      <c r="G146" t="n">
        <v>176</v>
      </c>
      <c r="H146" t="n">
        <v>12</v>
      </c>
      <c r="I146" t="s">
        <v>298</v>
      </c>
      <c r="J146" t="n">
        <v>0</v>
      </c>
      <c r="K146" t="n">
        <v>0</v>
      </c>
      <c r="L146" t="n">
        <v>0</v>
      </c>
      <c r="M146" t="n">
        <v>12</v>
      </c>
      <c r="N146" t="n">
        <v>-0.25</v>
      </c>
      <c r="O146" t="n">
        <v>-0.25</v>
      </c>
      <c r="P146" t="n">
        <v>160</v>
      </c>
      <c r="Q146" t="n">
        <v>12</v>
      </c>
      <c r="R146" t="s">
        <v>298</v>
      </c>
      <c r="S146" t="s">
        <v>298</v>
      </c>
      <c r="T146" t="n">
        <v>-0.375</v>
      </c>
    </row>
    <row r="147">
      <c r="A147" t="s">
        <v>30</v>
      </c>
      <c r="B147" t="n">
        <v>0.8</v>
      </c>
      <c r="C147" t="n">
        <v>1</v>
      </c>
      <c r="D147" t="n">
        <v>1</v>
      </c>
      <c r="E147" t="n">
        <v>-4.75</v>
      </c>
      <c r="F147" t="n">
        <v>-0.25</v>
      </c>
      <c r="G147" t="n">
        <v>129</v>
      </c>
      <c r="H147" t="n">
        <v>12</v>
      </c>
      <c r="I147" t="s">
        <v>296</v>
      </c>
      <c r="J147" t="n">
        <v>0</v>
      </c>
      <c r="K147" t="n">
        <v>0</v>
      </c>
      <c r="L147" t="n">
        <v>0</v>
      </c>
      <c r="M147" t="n">
        <v>12</v>
      </c>
      <c r="N147" t="n">
        <v>0.5</v>
      </c>
      <c r="O147" t="n">
        <v>-0.25</v>
      </c>
      <c r="P147" t="n">
        <v>122</v>
      </c>
      <c r="Q147" t="n">
        <v>12</v>
      </c>
      <c r="R147" t="s">
        <v>297</v>
      </c>
      <c r="S147" t="s">
        <v>297</v>
      </c>
      <c r="T147" t="n">
        <v>0.375</v>
      </c>
    </row>
    <row r="148">
      <c r="A148" t="s">
        <v>30</v>
      </c>
      <c r="B148" t="n">
        <v>0.8</v>
      </c>
      <c r="C148" t="n">
        <v>0.8</v>
      </c>
      <c r="D148" t="n">
        <v>0.8</v>
      </c>
      <c r="E148" t="n">
        <v>-4.5</v>
      </c>
      <c r="F148" t="n">
        <v>-0.5</v>
      </c>
      <c r="G148" t="n">
        <v>60</v>
      </c>
      <c r="H148" t="n">
        <v>12</v>
      </c>
      <c r="I148" t="s">
        <v>296</v>
      </c>
      <c r="J148" t="n">
        <v>0</v>
      </c>
      <c r="K148" t="n">
        <v>0</v>
      </c>
      <c r="L148" t="n">
        <v>0</v>
      </c>
      <c r="M148" t="n">
        <v>12</v>
      </c>
      <c r="N148" t="n">
        <v>0.5</v>
      </c>
      <c r="O148" t="n">
        <v>-0.25</v>
      </c>
      <c r="P148" t="n">
        <v>78</v>
      </c>
      <c r="Q148" t="n">
        <v>12</v>
      </c>
      <c r="R148" t="s">
        <v>296</v>
      </c>
      <c r="S148" t="s">
        <v>296</v>
      </c>
      <c r="T148" t="n">
        <v>0.375</v>
      </c>
    </row>
    <row r="149">
      <c r="A149" t="s">
        <v>30</v>
      </c>
      <c r="B149" t="n">
        <v>1.25</v>
      </c>
      <c r="C149" t="n">
        <v>1</v>
      </c>
      <c r="D149" t="n">
        <v>1.25</v>
      </c>
      <c r="E149" t="n">
        <v>-0.75</v>
      </c>
      <c r="F149" t="n">
        <v>-0.75</v>
      </c>
      <c r="G149" t="n">
        <v>167</v>
      </c>
      <c r="H149" t="n">
        <v>12</v>
      </c>
      <c r="I149" t="s">
        <v>298</v>
      </c>
      <c r="J149" t="n">
        <v>0</v>
      </c>
      <c r="K149" t="n">
        <v>0</v>
      </c>
      <c r="L149" t="n">
        <v>0</v>
      </c>
      <c r="M149" t="n">
        <v>12</v>
      </c>
      <c r="N149" t="n">
        <v>0.75</v>
      </c>
      <c r="O149" t="n">
        <v>-0.5</v>
      </c>
      <c r="P149" t="n">
        <v>39</v>
      </c>
      <c r="Q149" t="n">
        <v>12</v>
      </c>
      <c r="R149" t="s">
        <v>298</v>
      </c>
      <c r="S149" t="s">
        <v>297</v>
      </c>
      <c r="T149" t="n">
        <v>0.5</v>
      </c>
    </row>
    <row r="150">
      <c r="A150" t="s">
        <v>30</v>
      </c>
      <c r="B150" t="n">
        <v>0.8</v>
      </c>
      <c r="C150" t="n">
        <v>0.63</v>
      </c>
      <c r="D150" t="n">
        <v>0.8</v>
      </c>
      <c r="E150" t="n">
        <v>-3.25</v>
      </c>
      <c r="F150" t="n">
        <v>-1.5</v>
      </c>
      <c r="G150" t="n">
        <v>8</v>
      </c>
      <c r="H150" t="n">
        <v>12</v>
      </c>
      <c r="I150" t="s">
        <v>296</v>
      </c>
      <c r="J150" t="n">
        <v>0</v>
      </c>
      <c r="K150" t="n">
        <v>0</v>
      </c>
      <c r="L150" t="n">
        <v>0</v>
      </c>
      <c r="M150" t="n">
        <v>12</v>
      </c>
      <c r="N150" t="n">
        <v>-0.25</v>
      </c>
      <c r="O150" t="n">
        <v>-0.25</v>
      </c>
      <c r="P150" t="n">
        <v>34</v>
      </c>
      <c r="Q150" t="n">
        <v>12</v>
      </c>
      <c r="R150" t="s">
        <v>296</v>
      </c>
      <c r="S150" t="s">
        <v>301</v>
      </c>
      <c r="T150" t="n">
        <v>-0.375</v>
      </c>
    </row>
    <row r="151">
      <c r="A151" t="s">
        <v>30</v>
      </c>
      <c r="B151" t="n">
        <v>1</v>
      </c>
      <c r="C151" t="n">
        <v>1</v>
      </c>
      <c r="D151" t="n">
        <v>1</v>
      </c>
      <c r="E151" t="n">
        <v>-4.25</v>
      </c>
      <c r="F151" t="n">
        <v>-0.75</v>
      </c>
      <c r="G151" t="n">
        <v>171</v>
      </c>
      <c r="H151" t="n">
        <v>12</v>
      </c>
      <c r="I151" t="s">
        <v>297</v>
      </c>
      <c r="J151" t="n">
        <v>0</v>
      </c>
      <c r="K151" t="n">
        <v>0</v>
      </c>
      <c r="L151" t="n">
        <v>0</v>
      </c>
      <c r="M151" t="n">
        <v>12</v>
      </c>
      <c r="N151" t="n">
        <v>0.25</v>
      </c>
      <c r="O151" t="n">
        <v>0</v>
      </c>
      <c r="P151" t="n">
        <v>138</v>
      </c>
      <c r="Q151" t="n">
        <v>12</v>
      </c>
      <c r="R151" t="s">
        <v>297</v>
      </c>
      <c r="S151" t="s">
        <v>297</v>
      </c>
      <c r="T151" t="n">
        <v>0.25</v>
      </c>
    </row>
    <row r="152">
      <c r="A152" t="s">
        <v>30</v>
      </c>
      <c r="B152" t="n">
        <v>0.8</v>
      </c>
      <c r="C152" t="n">
        <v>1</v>
      </c>
      <c r="D152" t="n">
        <v>1</v>
      </c>
      <c r="E152" t="n">
        <v>-4.75</v>
      </c>
      <c r="F152" t="n">
        <v>-0.5</v>
      </c>
      <c r="G152" t="n">
        <v>6</v>
      </c>
      <c r="H152" t="n">
        <v>12</v>
      </c>
      <c r="I152" t="s">
        <v>296</v>
      </c>
      <c r="J152" t="n">
        <v>0</v>
      </c>
      <c r="K152" t="n">
        <v>0</v>
      </c>
      <c r="L152" t="n">
        <v>0</v>
      </c>
      <c r="M152" t="n">
        <v>12</v>
      </c>
      <c r="N152" t="n">
        <v>0.5</v>
      </c>
      <c r="O152" t="n">
        <v>-0.25</v>
      </c>
      <c r="P152" t="n">
        <v>31</v>
      </c>
      <c r="Q152" t="n">
        <v>12</v>
      </c>
      <c r="R152" t="s">
        <v>297</v>
      </c>
      <c r="S152" t="s">
        <v>297</v>
      </c>
      <c r="T152" t="n">
        <v>0.375</v>
      </c>
    </row>
    <row r="153">
      <c r="A153" t="s">
        <v>30</v>
      </c>
      <c r="B153" t="n">
        <v>1</v>
      </c>
      <c r="C153" t="n">
        <v>1.6</v>
      </c>
      <c r="D153" t="n">
        <v>1.6</v>
      </c>
      <c r="E153" t="n">
        <v>-5</v>
      </c>
      <c r="F153" t="n">
        <v>-0.75</v>
      </c>
      <c r="G153" t="n">
        <v>179</v>
      </c>
      <c r="H153" t="n">
        <v>12</v>
      </c>
      <c r="I153" t="s">
        <v>297</v>
      </c>
      <c r="J153" t="n">
        <v>0</v>
      </c>
      <c r="K153" t="n">
        <v>0</v>
      </c>
      <c r="L153" t="n">
        <v>0</v>
      </c>
      <c r="M153" t="n">
        <v>12</v>
      </c>
      <c r="N153" t="n">
        <v>0</v>
      </c>
      <c r="O153" t="n">
        <v>-0.25</v>
      </c>
      <c r="P153" t="n">
        <v>138</v>
      </c>
      <c r="Q153" t="n">
        <v>12</v>
      </c>
      <c r="R153" t="s">
        <v>299</v>
      </c>
      <c r="S153" t="s">
        <v>299</v>
      </c>
      <c r="T153" t="n">
        <v>-0.125</v>
      </c>
    </row>
    <row r="154">
      <c r="A154" t="s">
        <v>30</v>
      </c>
      <c r="B154" t="n">
        <v>1.25</v>
      </c>
      <c r="C154" t="n">
        <v>1</v>
      </c>
      <c r="D154" t="n">
        <v>1.25</v>
      </c>
      <c r="E154" t="n">
        <v>0.25</v>
      </c>
      <c r="F154" t="n">
        <v>-1.5</v>
      </c>
      <c r="G154" t="n">
        <v>7</v>
      </c>
      <c r="H154" t="n">
        <v>12</v>
      </c>
      <c r="I154" t="s">
        <v>298</v>
      </c>
      <c r="J154" t="n">
        <v>0</v>
      </c>
      <c r="K154" t="n">
        <v>0</v>
      </c>
      <c r="L154" t="n">
        <v>0</v>
      </c>
      <c r="M154" t="n">
        <v>12</v>
      </c>
      <c r="N154" t="n">
        <v>0</v>
      </c>
      <c r="O154" t="n">
        <v>-0.25</v>
      </c>
      <c r="P154" t="n">
        <v>123</v>
      </c>
      <c r="Q154" t="n">
        <v>12</v>
      </c>
      <c r="R154" t="s">
        <v>298</v>
      </c>
      <c r="S154" t="s">
        <v>297</v>
      </c>
      <c r="T154" t="n">
        <v>-0.125</v>
      </c>
    </row>
    <row r="155">
      <c r="A155" t="s">
        <v>30</v>
      </c>
      <c r="B155" t="n">
        <v>1.25</v>
      </c>
      <c r="C155" t="n">
        <v>1.25</v>
      </c>
      <c r="D155" t="n">
        <v>1.25</v>
      </c>
      <c r="E155" t="n">
        <v>-0.5</v>
      </c>
      <c r="F155" t="n">
        <v>-1</v>
      </c>
      <c r="G155" t="n">
        <v>4</v>
      </c>
      <c r="H155" t="n">
        <v>12</v>
      </c>
      <c r="I155" t="s">
        <v>298</v>
      </c>
      <c r="J155" t="n">
        <v>0</v>
      </c>
      <c r="K155" t="n">
        <v>0</v>
      </c>
      <c r="L155" t="n">
        <v>0</v>
      </c>
      <c r="M155" t="n">
        <v>12</v>
      </c>
      <c r="N155" t="n">
        <v>0</v>
      </c>
      <c r="O155" t="n">
        <v>0</v>
      </c>
      <c r="P155" t="n">
        <v>71</v>
      </c>
      <c r="Q155" t="n">
        <v>12</v>
      </c>
      <c r="R155" t="s">
        <v>298</v>
      </c>
      <c r="S155" t="s">
        <v>298</v>
      </c>
      <c r="T155" t="n">
        <v>0</v>
      </c>
    </row>
    <row r="156">
      <c r="A156" t="s">
        <v>30</v>
      </c>
      <c r="B156" t="n">
        <v>1.25</v>
      </c>
      <c r="C156" t="n">
        <v>1.25</v>
      </c>
      <c r="D156" t="n">
        <v>1.25</v>
      </c>
      <c r="E156" t="n">
        <v>0</v>
      </c>
      <c r="F156" t="n">
        <v>-0.75</v>
      </c>
      <c r="G156" t="n">
        <v>152</v>
      </c>
      <c r="H156" t="n">
        <v>12</v>
      </c>
      <c r="I156" t="s">
        <v>298</v>
      </c>
      <c r="J156" t="n">
        <v>0</v>
      </c>
      <c r="K156" t="n">
        <v>0</v>
      </c>
      <c r="L156" t="n">
        <v>0</v>
      </c>
      <c r="M156" t="n">
        <v>12</v>
      </c>
      <c r="N156" t="n">
        <v>0.25</v>
      </c>
      <c r="O156" t="n">
        <v>-0.25</v>
      </c>
      <c r="P156" t="n">
        <v>13</v>
      </c>
      <c r="Q156" t="n">
        <v>12</v>
      </c>
      <c r="R156" t="s">
        <v>298</v>
      </c>
      <c r="S156" t="s">
        <v>298</v>
      </c>
      <c r="T156" t="n">
        <v>0.125</v>
      </c>
    </row>
    <row r="157">
      <c r="A157" t="s">
        <v>30</v>
      </c>
      <c r="B157" t="n">
        <v>1.25</v>
      </c>
      <c r="C157" t="n">
        <v>1.25</v>
      </c>
      <c r="D157" t="n">
        <v>1.25</v>
      </c>
      <c r="E157" t="n">
        <v>-1.25</v>
      </c>
      <c r="F157" t="n">
        <v>-1</v>
      </c>
      <c r="G157" t="n">
        <v>29</v>
      </c>
      <c r="H157" t="n">
        <v>12</v>
      </c>
      <c r="I157" t="s">
        <v>298</v>
      </c>
      <c r="J157" t="n">
        <v>0</v>
      </c>
      <c r="K157" t="n">
        <v>0</v>
      </c>
      <c r="L157" t="n">
        <v>0</v>
      </c>
      <c r="M157" t="n">
        <v>12</v>
      </c>
      <c r="N157" t="n">
        <v>0.5</v>
      </c>
      <c r="O157" t="n">
        <v>-0.25</v>
      </c>
      <c r="P157" t="n">
        <v>47</v>
      </c>
      <c r="Q157" t="n">
        <v>12</v>
      </c>
      <c r="R157" t="s">
        <v>298</v>
      </c>
      <c r="S157" t="s">
        <v>298</v>
      </c>
      <c r="T157" t="n">
        <v>0.375</v>
      </c>
    </row>
    <row r="158">
      <c r="A158" t="s">
        <v>30</v>
      </c>
      <c r="B158" t="n">
        <v>1.25</v>
      </c>
      <c r="C158"/>
      <c r="D158"/>
      <c r="E158" t="n">
        <v>-2</v>
      </c>
      <c r="F158" t="n">
        <v>-1.75</v>
      </c>
      <c r="G158" t="n">
        <v>71</v>
      </c>
      <c r="H158" t="n">
        <v>12</v>
      </c>
      <c r="I158" t="s">
        <v>298</v>
      </c>
      <c r="J158" t="n">
        <v>0</v>
      </c>
      <c r="K158" t="n">
        <v>0</v>
      </c>
      <c r="L158" t="n">
        <v>0</v>
      </c>
      <c r="M158" t="n">
        <v>12</v>
      </c>
      <c r="N158"/>
      <c r="O158"/>
      <c r="P158"/>
      <c r="Q158" t="n">
        <v>12</v>
      </c>
      <c r="R158" t="s">
        <v>109</v>
      </c>
      <c r="S158" t="s">
        <v>109</v>
      </c>
      <c r="T158"/>
    </row>
    <row r="159">
      <c r="A159" t="s">
        <v>30</v>
      </c>
      <c r="B159" t="n">
        <v>1</v>
      </c>
      <c r="C159"/>
      <c r="D159"/>
      <c r="E159" t="n">
        <v>-3.25</v>
      </c>
      <c r="F159" t="n">
        <v>-0.75</v>
      </c>
      <c r="G159" t="n">
        <v>116</v>
      </c>
      <c r="H159" t="n">
        <v>12</v>
      </c>
      <c r="I159" t="s">
        <v>297</v>
      </c>
      <c r="J159" t="n">
        <v>0</v>
      </c>
      <c r="K159" t="n">
        <v>0</v>
      </c>
      <c r="L159" t="n">
        <v>0</v>
      </c>
      <c r="M159" t="n">
        <v>12</v>
      </c>
      <c r="N159"/>
      <c r="O159"/>
      <c r="P159"/>
      <c r="Q159" t="n">
        <v>12</v>
      </c>
      <c r="R159" t="s">
        <v>109</v>
      </c>
      <c r="S159" t="s">
        <v>109</v>
      </c>
      <c r="T159"/>
    </row>
    <row r="160">
      <c r="A160" t="s">
        <v>30</v>
      </c>
      <c r="B160" t="n">
        <v>1.25</v>
      </c>
      <c r="C160"/>
      <c r="D160"/>
      <c r="E160" t="n">
        <v>-2.25</v>
      </c>
      <c r="F160" t="n">
        <v>-2.25</v>
      </c>
      <c r="G160" t="n">
        <v>6</v>
      </c>
      <c r="H160" t="n">
        <v>12</v>
      </c>
      <c r="I160" t="s">
        <v>298</v>
      </c>
      <c r="J160" t="n">
        <v>0</v>
      </c>
      <c r="K160" t="n">
        <v>0</v>
      </c>
      <c r="L160" t="n">
        <v>0</v>
      </c>
      <c r="M160" t="n">
        <v>12</v>
      </c>
      <c r="N160"/>
      <c r="O160"/>
      <c r="P160"/>
      <c r="Q160" t="n">
        <v>12</v>
      </c>
      <c r="R160" t="s">
        <v>109</v>
      </c>
      <c r="S160" t="s">
        <v>109</v>
      </c>
      <c r="T160"/>
    </row>
    <row r="161">
      <c r="A161" t="s">
        <v>30</v>
      </c>
      <c r="B161" t="n">
        <v>1</v>
      </c>
      <c r="C161" t="n">
        <v>1</v>
      </c>
      <c r="D161" t="n">
        <v>1</v>
      </c>
      <c r="E161" t="n">
        <v>-5.5</v>
      </c>
      <c r="F161" t="n">
        <v>-0.25</v>
      </c>
      <c r="G161" t="n">
        <v>175</v>
      </c>
      <c r="H161" t="n">
        <v>12</v>
      </c>
      <c r="I161" t="s">
        <v>297</v>
      </c>
      <c r="J161" t="n">
        <v>0</v>
      </c>
      <c r="K161" t="n">
        <v>0</v>
      </c>
      <c r="L161" t="n">
        <v>0</v>
      </c>
      <c r="M161" t="n">
        <v>12</v>
      </c>
      <c r="N161" t="n">
        <v>-0.25</v>
      </c>
      <c r="O161" t="n">
        <v>0</v>
      </c>
      <c r="P161" t="n">
        <v>132</v>
      </c>
      <c r="Q161" t="n">
        <v>12</v>
      </c>
      <c r="R161" t="s">
        <v>297</v>
      </c>
      <c r="S161" t="s">
        <v>297</v>
      </c>
      <c r="T161" t="n">
        <v>-0.25</v>
      </c>
    </row>
    <row r="162">
      <c r="A162" t="s">
        <v>30</v>
      </c>
      <c r="B162" t="n">
        <v>1.25</v>
      </c>
      <c r="C162" t="n">
        <v>1.25</v>
      </c>
      <c r="D162" t="n">
        <v>1.25</v>
      </c>
      <c r="E162" t="n">
        <v>-5.75</v>
      </c>
      <c r="F162" t="n">
        <v>-0.25</v>
      </c>
      <c r="G162" t="n">
        <v>1</v>
      </c>
      <c r="H162" t="n">
        <v>12</v>
      </c>
      <c r="I162" t="s">
        <v>298</v>
      </c>
      <c r="J162" t="n">
        <v>0</v>
      </c>
      <c r="K162" t="n">
        <v>0</v>
      </c>
      <c r="L162" t="n">
        <v>0</v>
      </c>
      <c r="M162" t="n">
        <v>12</v>
      </c>
      <c r="N162" t="n">
        <v>-0.25</v>
      </c>
      <c r="O162" t="n">
        <v>0</v>
      </c>
      <c r="P162" t="n">
        <v>1</v>
      </c>
      <c r="Q162" t="n">
        <v>12</v>
      </c>
      <c r="R162" t="s">
        <v>298</v>
      </c>
      <c r="S162" t="s">
        <v>298</v>
      </c>
      <c r="T162" t="n">
        <v>-0.25</v>
      </c>
    </row>
    <row r="163">
      <c r="A163" t="s">
        <v>30</v>
      </c>
      <c r="B163" t="n">
        <v>1</v>
      </c>
      <c r="C163" t="n">
        <v>1</v>
      </c>
      <c r="D163" t="n">
        <v>1</v>
      </c>
      <c r="E163" t="n">
        <v>-4.75</v>
      </c>
      <c r="F163" t="n">
        <v>0</v>
      </c>
      <c r="G163" t="n">
        <v>64</v>
      </c>
      <c r="H163" t="n">
        <v>12</v>
      </c>
      <c r="I163" t="s">
        <v>297</v>
      </c>
      <c r="J163" t="n">
        <v>0</v>
      </c>
      <c r="K163" t="n">
        <v>0</v>
      </c>
      <c r="L163" t="n">
        <v>0</v>
      </c>
      <c r="M163" t="n">
        <v>12</v>
      </c>
      <c r="N163" t="n">
        <v>0.5</v>
      </c>
      <c r="O163" t="n">
        <v>-0.25</v>
      </c>
      <c r="P163" t="n">
        <v>145</v>
      </c>
      <c r="Q163" t="n">
        <v>12</v>
      </c>
      <c r="R163" t="s">
        <v>297</v>
      </c>
      <c r="S163" t="s">
        <v>297</v>
      </c>
      <c r="T163" t="n">
        <v>0.375</v>
      </c>
    </row>
    <row r="164">
      <c r="A164" t="s">
        <v>30</v>
      </c>
      <c r="B164" t="n">
        <v>0.8</v>
      </c>
      <c r="C164" t="n">
        <v>0.63</v>
      </c>
      <c r="D164" t="n">
        <v>0.63</v>
      </c>
      <c r="E164" t="n">
        <v>-3.5</v>
      </c>
      <c r="F164" t="n">
        <v>-1</v>
      </c>
      <c r="G164" t="n">
        <v>88</v>
      </c>
      <c r="H164" t="n">
        <v>12</v>
      </c>
      <c r="I164" t="s">
        <v>296</v>
      </c>
      <c r="J164" t="n">
        <v>0</v>
      </c>
      <c r="K164" t="n">
        <v>0</v>
      </c>
      <c r="L164" t="n">
        <v>0</v>
      </c>
      <c r="M164" t="n">
        <v>12</v>
      </c>
      <c r="N164" t="n">
        <v>0</v>
      </c>
      <c r="O164" t="n">
        <v>-0.25</v>
      </c>
      <c r="P164" t="n">
        <v>132</v>
      </c>
      <c r="Q164" t="n">
        <v>12</v>
      </c>
      <c r="R164" t="s">
        <v>301</v>
      </c>
      <c r="S164" t="s">
        <v>301</v>
      </c>
      <c r="T164" t="n">
        <v>-0.125</v>
      </c>
    </row>
    <row r="165">
      <c r="A165" t="s">
        <v>30</v>
      </c>
      <c r="B165" t="n">
        <v>1</v>
      </c>
      <c r="C165"/>
      <c r="D165" t="n">
        <v>1.6</v>
      </c>
      <c r="E165" t="n">
        <v>-5</v>
      </c>
      <c r="F165" t="n">
        <v>-0.5</v>
      </c>
      <c r="G165" t="n">
        <v>163</v>
      </c>
      <c r="H165" t="n">
        <v>12</v>
      </c>
      <c r="I165" t="s">
        <v>297</v>
      </c>
      <c r="J165" t="n">
        <v>0</v>
      </c>
      <c r="K165" t="n">
        <v>0</v>
      </c>
      <c r="L165" t="n">
        <v>0</v>
      </c>
      <c r="M165" t="n">
        <v>12</v>
      </c>
      <c r="N165" t="n">
        <v>0.25</v>
      </c>
      <c r="O165" t="n">
        <v>-0.5</v>
      </c>
      <c r="P165" t="n">
        <v>127</v>
      </c>
      <c r="Q165" t="n">
        <v>12</v>
      </c>
      <c r="R165" t="s">
        <v>299</v>
      </c>
      <c r="S165" t="s">
        <v>109</v>
      </c>
      <c r="T165" t="n">
        <v>0</v>
      </c>
    </row>
    <row r="166">
      <c r="A166" t="s">
        <v>30</v>
      </c>
      <c r="B166" t="n">
        <v>1.25</v>
      </c>
      <c r="C166" t="n">
        <v>1.6</v>
      </c>
      <c r="D166" t="n">
        <v>1.6</v>
      </c>
      <c r="E166" t="n">
        <v>-1.75</v>
      </c>
      <c r="F166" t="n">
        <v>-0.75</v>
      </c>
      <c r="G166" t="n">
        <v>26</v>
      </c>
      <c r="H166" t="n">
        <v>12</v>
      </c>
      <c r="I166" t="s">
        <v>298</v>
      </c>
      <c r="J166" t="n">
        <v>0</v>
      </c>
      <c r="K166" t="n">
        <v>0</v>
      </c>
      <c r="L166" t="n">
        <v>0</v>
      </c>
      <c r="M166" t="n">
        <v>12</v>
      </c>
      <c r="N166" t="n">
        <v>0.25</v>
      </c>
      <c r="O166" t="n">
        <v>0</v>
      </c>
      <c r="P166" t="n">
        <v>66</v>
      </c>
      <c r="Q166" t="n">
        <v>12</v>
      </c>
      <c r="R166" t="s">
        <v>299</v>
      </c>
      <c r="S166" t="s">
        <v>299</v>
      </c>
      <c r="T166" t="n">
        <v>0.25</v>
      </c>
    </row>
    <row r="167">
      <c r="A167" t="s">
        <v>30</v>
      </c>
      <c r="B167" t="n">
        <v>1.25</v>
      </c>
      <c r="C167" t="n">
        <v>1.25</v>
      </c>
      <c r="D167" t="n">
        <v>1.25</v>
      </c>
      <c r="E167" t="n">
        <v>-2</v>
      </c>
      <c r="F167" t="n">
        <v>-1.75</v>
      </c>
      <c r="G167" t="n">
        <v>148</v>
      </c>
      <c r="H167" t="n">
        <v>12</v>
      </c>
      <c r="I167" t="s">
        <v>298</v>
      </c>
      <c r="J167" t="n">
        <v>0</v>
      </c>
      <c r="K167" t="n">
        <v>0</v>
      </c>
      <c r="L167" t="n">
        <v>0</v>
      </c>
      <c r="M167" t="n">
        <v>12</v>
      </c>
      <c r="N167" t="n">
        <v>0.25</v>
      </c>
      <c r="O167" t="n">
        <v>-0.25</v>
      </c>
      <c r="P167" t="n">
        <v>112</v>
      </c>
      <c r="Q167" t="n">
        <v>12</v>
      </c>
      <c r="R167" t="s">
        <v>298</v>
      </c>
      <c r="S167" t="s">
        <v>298</v>
      </c>
      <c r="T167" t="n">
        <v>0.125</v>
      </c>
    </row>
    <row r="168">
      <c r="A168" t="s">
        <v>30</v>
      </c>
      <c r="B168" t="n">
        <v>1</v>
      </c>
      <c r="C168" t="n">
        <v>1</v>
      </c>
      <c r="D168" t="n">
        <v>1</v>
      </c>
      <c r="E168" t="n">
        <v>-6.75</v>
      </c>
      <c r="F168" t="n">
        <v>-0.75</v>
      </c>
      <c r="G168" t="n">
        <v>38</v>
      </c>
      <c r="H168" t="n">
        <v>12</v>
      </c>
      <c r="I168" t="s">
        <v>297</v>
      </c>
      <c r="J168" t="n">
        <v>0</v>
      </c>
      <c r="K168" t="n">
        <v>0</v>
      </c>
      <c r="L168" t="n">
        <v>0</v>
      </c>
      <c r="M168" t="n">
        <v>12</v>
      </c>
      <c r="N168" t="n">
        <v>0</v>
      </c>
      <c r="O168" t="n">
        <v>-0.25</v>
      </c>
      <c r="P168" t="n">
        <v>156</v>
      </c>
      <c r="Q168" t="n">
        <v>12</v>
      </c>
      <c r="R168" t="s">
        <v>297</v>
      </c>
      <c r="S168" t="s">
        <v>297</v>
      </c>
      <c r="T168" t="n">
        <v>-0.125</v>
      </c>
    </row>
    <row r="169">
      <c r="A169" t="s">
        <v>30</v>
      </c>
      <c r="B169" t="n">
        <v>1.25</v>
      </c>
      <c r="C169" t="n">
        <v>1.6</v>
      </c>
      <c r="D169" t="n">
        <v>1.6</v>
      </c>
      <c r="E169" t="n">
        <v>-6.25</v>
      </c>
      <c r="F169" t="n">
        <v>-0.25</v>
      </c>
      <c r="G169" t="n">
        <v>97</v>
      </c>
      <c r="H169" t="n">
        <v>12</v>
      </c>
      <c r="I169" t="s">
        <v>298</v>
      </c>
      <c r="J169" t="n">
        <v>0</v>
      </c>
      <c r="K169" t="n">
        <v>0</v>
      </c>
      <c r="L169" t="n">
        <v>0</v>
      </c>
      <c r="M169" t="n">
        <v>12</v>
      </c>
      <c r="N169" t="n">
        <v>-0.25</v>
      </c>
      <c r="O169" t="n">
        <v>0</v>
      </c>
      <c r="P169" t="n">
        <v>166</v>
      </c>
      <c r="Q169" t="n">
        <v>12</v>
      </c>
      <c r="R169" t="s">
        <v>299</v>
      </c>
      <c r="S169" t="s">
        <v>299</v>
      </c>
      <c r="T169" t="n">
        <v>-0.25</v>
      </c>
    </row>
    <row r="170">
      <c r="A170" t="s">
        <v>30</v>
      </c>
      <c r="B170" t="n">
        <v>1</v>
      </c>
      <c r="C170" t="n">
        <v>1</v>
      </c>
      <c r="D170" t="n">
        <v>1</v>
      </c>
      <c r="E170" t="n">
        <v>-2.75</v>
      </c>
      <c r="F170" t="n">
        <v>-1.25</v>
      </c>
      <c r="G170" t="n">
        <v>3</v>
      </c>
      <c r="H170" t="n">
        <v>12</v>
      </c>
      <c r="I170" t="s">
        <v>297</v>
      </c>
      <c r="J170" t="n">
        <v>0</v>
      </c>
      <c r="K170" t="n">
        <v>0</v>
      </c>
      <c r="L170" t="n">
        <v>0</v>
      </c>
      <c r="M170" t="n">
        <v>12</v>
      </c>
      <c r="N170" t="n">
        <v>0.25</v>
      </c>
      <c r="O170" t="n">
        <v>-0.5</v>
      </c>
      <c r="P170" t="n">
        <v>168</v>
      </c>
      <c r="Q170" t="n">
        <v>12</v>
      </c>
      <c r="R170" t="s">
        <v>297</v>
      </c>
      <c r="S170" t="s">
        <v>297</v>
      </c>
      <c r="T170" t="n">
        <v>0</v>
      </c>
    </row>
    <row r="171">
      <c r="A171" t="s">
        <v>30</v>
      </c>
      <c r="B171" t="n">
        <v>1</v>
      </c>
      <c r="C171" t="n">
        <v>1</v>
      </c>
      <c r="D171" t="n">
        <v>1</v>
      </c>
      <c r="E171" t="n">
        <v>-3.5</v>
      </c>
      <c r="F171" t="n">
        <v>-1.5</v>
      </c>
      <c r="G171" t="n">
        <v>16</v>
      </c>
      <c r="H171" t="n">
        <v>12</v>
      </c>
      <c r="I171" t="s">
        <v>297</v>
      </c>
      <c r="J171" t="n">
        <v>0</v>
      </c>
      <c r="K171" t="n">
        <v>0</v>
      </c>
      <c r="L171" t="n">
        <v>0</v>
      </c>
      <c r="M171" t="n">
        <v>12</v>
      </c>
      <c r="N171" t="n">
        <v>0.25</v>
      </c>
      <c r="O171" t="n">
        <v>-0.5</v>
      </c>
      <c r="P171" t="n">
        <v>40</v>
      </c>
      <c r="Q171" t="n">
        <v>12</v>
      </c>
      <c r="R171" t="s">
        <v>297</v>
      </c>
      <c r="S171" t="s">
        <v>297</v>
      </c>
      <c r="T171" t="n">
        <v>0</v>
      </c>
    </row>
    <row r="172">
      <c r="A172" t="s">
        <v>30</v>
      </c>
      <c r="B172" t="n">
        <v>1.25</v>
      </c>
      <c r="C172" t="n">
        <v>1.25</v>
      </c>
      <c r="D172" t="n">
        <v>1.25</v>
      </c>
      <c r="E172" t="n">
        <v>-3.5</v>
      </c>
      <c r="F172" t="n">
        <v>-0.5</v>
      </c>
      <c r="G172" t="n">
        <v>42</v>
      </c>
      <c r="H172" t="n">
        <v>12</v>
      </c>
      <c r="I172" t="s">
        <v>298</v>
      </c>
      <c r="J172" t="n">
        <v>0</v>
      </c>
      <c r="K172" t="n">
        <v>0</v>
      </c>
      <c r="L172" t="n">
        <v>0</v>
      </c>
      <c r="M172" t="n">
        <v>12</v>
      </c>
      <c r="N172" t="n">
        <v>0</v>
      </c>
      <c r="O172" t="n">
        <v>-0.5</v>
      </c>
      <c r="P172" t="n">
        <v>91</v>
      </c>
      <c r="Q172" t="n">
        <v>12</v>
      </c>
      <c r="R172" t="s">
        <v>298</v>
      </c>
      <c r="S172" t="s">
        <v>298</v>
      </c>
      <c r="T172" t="n">
        <v>-0.25</v>
      </c>
    </row>
    <row r="173">
      <c r="A173" t="s">
        <v>30</v>
      </c>
      <c r="B173" t="n">
        <v>1.25</v>
      </c>
      <c r="C173" t="n">
        <v>1.25</v>
      </c>
      <c r="D173" t="n">
        <v>1.25</v>
      </c>
      <c r="E173" t="n">
        <v>-3</v>
      </c>
      <c r="F173" t="n">
        <v>-0.75</v>
      </c>
      <c r="G173" t="n">
        <v>139</v>
      </c>
      <c r="H173" t="n">
        <v>12</v>
      </c>
      <c r="I173" t="s">
        <v>298</v>
      </c>
      <c r="J173" t="n">
        <v>0</v>
      </c>
      <c r="K173" t="n">
        <v>0</v>
      </c>
      <c r="L173" t="n">
        <v>0</v>
      </c>
      <c r="M173" t="n">
        <v>12</v>
      </c>
      <c r="N173" t="n">
        <v>-0.25</v>
      </c>
      <c r="O173" t="n">
        <v>-0.25</v>
      </c>
      <c r="P173" t="n">
        <v>87</v>
      </c>
      <c r="Q173" t="n">
        <v>12</v>
      </c>
      <c r="R173" t="s">
        <v>298</v>
      </c>
      <c r="S173" t="s">
        <v>298</v>
      </c>
      <c r="T173" t="n">
        <v>-0.375</v>
      </c>
    </row>
    <row r="174">
      <c r="A174" t="s">
        <v>30</v>
      </c>
      <c r="B174" t="n">
        <v>1.25</v>
      </c>
      <c r="C174"/>
      <c r="D174"/>
      <c r="E174" t="n">
        <v>-4.5</v>
      </c>
      <c r="F174" t="n">
        <v>-1</v>
      </c>
      <c r="G174" t="n">
        <v>129</v>
      </c>
      <c r="H174" t="n">
        <v>12</v>
      </c>
      <c r="I174" t="s">
        <v>298</v>
      </c>
      <c r="J174" t="n">
        <v>0</v>
      </c>
      <c r="K174" t="n">
        <v>0</v>
      </c>
      <c r="L174" t="n">
        <v>0</v>
      </c>
      <c r="M174" t="n">
        <v>12</v>
      </c>
      <c r="N174"/>
      <c r="O174"/>
      <c r="P174"/>
      <c r="Q174" t="n">
        <v>12</v>
      </c>
      <c r="R174" t="s">
        <v>109</v>
      </c>
      <c r="S174" t="s">
        <v>109</v>
      </c>
      <c r="T174"/>
    </row>
    <row r="175">
      <c r="A175" t="s">
        <v>30</v>
      </c>
      <c r="B175" t="n">
        <v>1.25</v>
      </c>
      <c r="C175"/>
      <c r="D175"/>
      <c r="E175" t="n">
        <v>-3.75</v>
      </c>
      <c r="F175" t="n">
        <v>-0.75</v>
      </c>
      <c r="G175" t="n">
        <v>54</v>
      </c>
      <c r="H175" t="n">
        <v>12</v>
      </c>
      <c r="I175" t="s">
        <v>298</v>
      </c>
      <c r="J175" t="n">
        <v>0</v>
      </c>
      <c r="K175" t="n">
        <v>0</v>
      </c>
      <c r="L175" t="n">
        <v>0</v>
      </c>
      <c r="M175" t="n">
        <v>12</v>
      </c>
      <c r="N175"/>
      <c r="O175"/>
      <c r="P175"/>
      <c r="Q175" t="n">
        <v>12</v>
      </c>
      <c r="R175" t="s">
        <v>109</v>
      </c>
      <c r="S175" t="s">
        <v>109</v>
      </c>
      <c r="T175"/>
    </row>
    <row r="176">
      <c r="A176" t="s">
        <v>30</v>
      </c>
      <c r="B176" t="n">
        <v>1.6</v>
      </c>
      <c r="C176" t="n">
        <v>1.6</v>
      </c>
      <c r="D176" t="n">
        <v>1.6</v>
      </c>
      <c r="E176" t="n">
        <v>0</v>
      </c>
      <c r="F176" t="n">
        <v>-1.25</v>
      </c>
      <c r="G176" t="n">
        <v>180</v>
      </c>
      <c r="H176" t="n">
        <v>12</v>
      </c>
      <c r="I176" t="s">
        <v>299</v>
      </c>
      <c r="J176" t="n">
        <v>0</v>
      </c>
      <c r="K176" t="n">
        <v>0</v>
      </c>
      <c r="L176" t="n">
        <v>0</v>
      </c>
      <c r="M176" t="n">
        <v>12</v>
      </c>
      <c r="N176" t="n">
        <v>0.5</v>
      </c>
      <c r="O176" t="n">
        <v>-0.75</v>
      </c>
      <c r="P176" t="n">
        <v>152</v>
      </c>
      <c r="Q176" t="n">
        <v>12</v>
      </c>
      <c r="R176" t="s">
        <v>299</v>
      </c>
      <c r="S176" t="s">
        <v>299</v>
      </c>
      <c r="T176" t="n">
        <v>0.125</v>
      </c>
    </row>
    <row r="177">
      <c r="A177" t="s">
        <v>30</v>
      </c>
      <c r="B177" t="n">
        <v>1.6</v>
      </c>
      <c r="C177" t="n">
        <v>1.25</v>
      </c>
      <c r="D177" t="n">
        <v>1.6</v>
      </c>
      <c r="E177" t="n">
        <v>-0.25</v>
      </c>
      <c r="F177" t="n">
        <v>-1.25</v>
      </c>
      <c r="G177" t="n">
        <v>171</v>
      </c>
      <c r="H177" t="n">
        <v>12</v>
      </c>
      <c r="I177" t="s">
        <v>299</v>
      </c>
      <c r="J177" t="n">
        <v>0</v>
      </c>
      <c r="K177" t="n">
        <v>0</v>
      </c>
      <c r="L177" t="n">
        <v>0</v>
      </c>
      <c r="M177" t="n">
        <v>12</v>
      </c>
      <c r="N177" t="n">
        <v>0.25</v>
      </c>
      <c r="O177" t="n">
        <v>-0.75</v>
      </c>
      <c r="P177" t="n">
        <v>26</v>
      </c>
      <c r="Q177" t="n">
        <v>12</v>
      </c>
      <c r="R177" t="s">
        <v>299</v>
      </c>
      <c r="S177" t="s">
        <v>298</v>
      </c>
      <c r="T177" t="n">
        <v>-0.125</v>
      </c>
    </row>
    <row r="178">
      <c r="A178" t="s">
        <v>30</v>
      </c>
      <c r="B178" t="n">
        <v>1</v>
      </c>
      <c r="C178" t="n">
        <v>1</v>
      </c>
      <c r="D178" t="n">
        <v>1</v>
      </c>
      <c r="E178" t="n">
        <v>-3.5</v>
      </c>
      <c r="F178" t="n">
        <v>-1</v>
      </c>
      <c r="G178" t="n">
        <v>18</v>
      </c>
      <c r="H178" t="n">
        <v>12</v>
      </c>
      <c r="I178" t="s">
        <v>297</v>
      </c>
      <c r="J178" t="n">
        <v>0</v>
      </c>
      <c r="K178" t="n">
        <v>0</v>
      </c>
      <c r="L178" t="n">
        <v>0</v>
      </c>
      <c r="M178" t="n">
        <v>12</v>
      </c>
      <c r="N178" t="n">
        <v>0.25</v>
      </c>
      <c r="O178" t="n">
        <v>-0.25</v>
      </c>
      <c r="P178" t="n">
        <v>48</v>
      </c>
      <c r="Q178" t="n">
        <v>12</v>
      </c>
      <c r="R178" t="s">
        <v>297</v>
      </c>
      <c r="S178" t="s">
        <v>297</v>
      </c>
      <c r="T178" t="n">
        <v>0.125</v>
      </c>
    </row>
    <row r="179">
      <c r="A179" t="s">
        <v>30</v>
      </c>
      <c r="B179" t="n">
        <v>1</v>
      </c>
      <c r="C179" t="n">
        <v>1.25</v>
      </c>
      <c r="D179" t="n">
        <v>1.25</v>
      </c>
      <c r="E179" t="n">
        <v>-3.25</v>
      </c>
      <c r="F179" t="n">
        <v>-1.5</v>
      </c>
      <c r="G179" t="n">
        <v>157</v>
      </c>
      <c r="H179" t="n">
        <v>12</v>
      </c>
      <c r="I179" t="s">
        <v>297</v>
      </c>
      <c r="J179" t="n">
        <v>0</v>
      </c>
      <c r="K179" t="n">
        <v>0</v>
      </c>
      <c r="L179" t="n">
        <v>0</v>
      </c>
      <c r="M179" t="n">
        <v>12</v>
      </c>
      <c r="N179" t="n">
        <v>0.5</v>
      </c>
      <c r="O179" t="n">
        <v>-0.5</v>
      </c>
      <c r="P179" t="n">
        <v>177</v>
      </c>
      <c r="Q179" t="n">
        <v>12</v>
      </c>
      <c r="R179" t="s">
        <v>298</v>
      </c>
      <c r="S179" t="s">
        <v>298</v>
      </c>
      <c r="T179" t="n">
        <v>0.25</v>
      </c>
    </row>
    <row r="180">
      <c r="A180" t="s">
        <v>30</v>
      </c>
      <c r="B180" t="n">
        <v>1</v>
      </c>
      <c r="C180" t="n">
        <v>1</v>
      </c>
      <c r="D180" t="n">
        <v>1</v>
      </c>
      <c r="E180" t="n">
        <v>0.25</v>
      </c>
      <c r="F180" t="n">
        <v>-1.5</v>
      </c>
      <c r="G180" t="n">
        <v>165</v>
      </c>
      <c r="H180" t="n">
        <v>12</v>
      </c>
      <c r="I180" t="s">
        <v>297</v>
      </c>
      <c r="J180" t="n">
        <v>0</v>
      </c>
      <c r="K180" t="n">
        <v>0</v>
      </c>
      <c r="L180" t="n">
        <v>0</v>
      </c>
      <c r="M180" t="n">
        <v>12</v>
      </c>
      <c r="N180" t="n">
        <v>0.25</v>
      </c>
      <c r="O180" t="n">
        <v>-0.25</v>
      </c>
      <c r="P180" t="n">
        <v>157</v>
      </c>
      <c r="Q180" t="n">
        <v>12</v>
      </c>
      <c r="R180" t="s">
        <v>297</v>
      </c>
      <c r="S180" t="s">
        <v>297</v>
      </c>
      <c r="T180" t="n">
        <v>0.125</v>
      </c>
    </row>
    <row r="181">
      <c r="A181" t="s">
        <v>30</v>
      </c>
      <c r="B181" t="n">
        <v>1</v>
      </c>
      <c r="C181" t="n">
        <v>1</v>
      </c>
      <c r="D181" t="n">
        <v>1.25</v>
      </c>
      <c r="E181" t="n">
        <v>0</v>
      </c>
      <c r="F181" t="n">
        <v>-0.75</v>
      </c>
      <c r="G181" t="n">
        <v>15</v>
      </c>
      <c r="H181" t="n">
        <v>12</v>
      </c>
      <c r="I181" t="s">
        <v>297</v>
      </c>
      <c r="J181" t="n">
        <v>-0.75</v>
      </c>
      <c r="K181" t="n">
        <v>0</v>
      </c>
      <c r="L181" t="n">
        <v>0</v>
      </c>
      <c r="M181" t="n">
        <v>12</v>
      </c>
      <c r="N181" t="n">
        <v>-0.5</v>
      </c>
      <c r="O181" t="n">
        <v>0</v>
      </c>
      <c r="P181" t="n">
        <v>110</v>
      </c>
      <c r="Q181" t="n">
        <v>12</v>
      </c>
      <c r="R181" t="s">
        <v>298</v>
      </c>
      <c r="S181" t="s">
        <v>297</v>
      </c>
      <c r="T181" t="n">
        <v>-0.5</v>
      </c>
    </row>
    <row r="182">
      <c r="A182" t="s">
        <v>30</v>
      </c>
      <c r="B182" t="n">
        <v>1</v>
      </c>
      <c r="C182" t="n">
        <v>1.25</v>
      </c>
      <c r="D182" t="n">
        <v>1.25</v>
      </c>
      <c r="E182" t="n">
        <v>-3.25</v>
      </c>
      <c r="F182" t="n">
        <v>-0.5</v>
      </c>
      <c r="G182" t="n">
        <v>84</v>
      </c>
      <c r="H182" t="n">
        <v>12</v>
      </c>
      <c r="I182" t="s">
        <v>297</v>
      </c>
      <c r="J182" t="n">
        <v>0</v>
      </c>
      <c r="K182" t="n">
        <v>0</v>
      </c>
      <c r="L182" t="n">
        <v>0</v>
      </c>
      <c r="M182" t="n">
        <v>12</v>
      </c>
      <c r="N182" t="n">
        <v>0</v>
      </c>
      <c r="O182" t="n">
        <v>-0.25</v>
      </c>
      <c r="P182" t="n">
        <v>54</v>
      </c>
      <c r="Q182" t="n">
        <v>12</v>
      </c>
      <c r="R182" t="s">
        <v>298</v>
      </c>
      <c r="S182" t="s">
        <v>298</v>
      </c>
      <c r="T182" t="n">
        <v>-0.125</v>
      </c>
    </row>
    <row r="183">
      <c r="A183" t="s">
        <v>30</v>
      </c>
      <c r="B183" t="n">
        <v>1</v>
      </c>
      <c r="C183" t="n">
        <v>1</v>
      </c>
      <c r="D183" t="n">
        <v>1</v>
      </c>
      <c r="E183" t="n">
        <v>-4.5</v>
      </c>
      <c r="F183" t="n">
        <v>-0.25</v>
      </c>
      <c r="G183" t="n">
        <v>83</v>
      </c>
      <c r="H183" t="n">
        <v>12</v>
      </c>
      <c r="I183" t="s">
        <v>297</v>
      </c>
      <c r="J183" t="n">
        <v>0</v>
      </c>
      <c r="K183" t="n">
        <v>0</v>
      </c>
      <c r="L183" t="n">
        <v>0</v>
      </c>
      <c r="M183" t="n">
        <v>12</v>
      </c>
      <c r="N183" t="n">
        <v>0.25</v>
      </c>
      <c r="O183" t="n">
        <v>-0.25</v>
      </c>
      <c r="P183" t="n">
        <v>154</v>
      </c>
      <c r="Q183" t="n">
        <v>12</v>
      </c>
      <c r="R183" t="s">
        <v>297</v>
      </c>
      <c r="S183" t="s">
        <v>297</v>
      </c>
      <c r="T183" t="n">
        <v>0.125</v>
      </c>
    </row>
    <row r="184">
      <c r="A184" t="s">
        <v>30</v>
      </c>
      <c r="B184" t="n">
        <v>1.25</v>
      </c>
      <c r="C184" t="n">
        <v>1.25</v>
      </c>
      <c r="D184" t="n">
        <v>1.25</v>
      </c>
      <c r="E184" t="n">
        <v>-1.75</v>
      </c>
      <c r="F184" t="n">
        <v>-0.75</v>
      </c>
      <c r="G184" t="n">
        <v>10</v>
      </c>
      <c r="H184" t="n">
        <v>12</v>
      </c>
      <c r="I184" t="s">
        <v>298</v>
      </c>
      <c r="J184" t="n">
        <v>0</v>
      </c>
      <c r="K184" t="n">
        <v>0</v>
      </c>
      <c r="L184" t="n">
        <v>0</v>
      </c>
      <c r="M184" t="n">
        <v>12</v>
      </c>
      <c r="N184" t="n">
        <v>0.25</v>
      </c>
      <c r="O184" t="n">
        <v>-0.25</v>
      </c>
      <c r="P184" t="n">
        <v>68</v>
      </c>
      <c r="Q184" t="n">
        <v>12</v>
      </c>
      <c r="R184" t="s">
        <v>298</v>
      </c>
      <c r="S184" t="s">
        <v>298</v>
      </c>
      <c r="T184" t="n">
        <v>0.125</v>
      </c>
    </row>
    <row r="185">
      <c r="A185" t="s">
        <v>30</v>
      </c>
      <c r="B185" t="n">
        <v>1.25</v>
      </c>
      <c r="C185" t="n">
        <v>1.25</v>
      </c>
      <c r="D185" t="n">
        <v>1.25</v>
      </c>
      <c r="E185" t="n">
        <v>-0.5</v>
      </c>
      <c r="F185" t="n">
        <v>-1.25</v>
      </c>
      <c r="G185" t="n">
        <v>171</v>
      </c>
      <c r="H185" t="n">
        <v>12</v>
      </c>
      <c r="I185" t="s">
        <v>298</v>
      </c>
      <c r="J185" t="n">
        <v>0</v>
      </c>
      <c r="K185" t="n">
        <v>0</v>
      </c>
      <c r="L185" t="n">
        <v>0</v>
      </c>
      <c r="M185" t="n">
        <v>12</v>
      </c>
      <c r="N185" t="n">
        <v>0.25</v>
      </c>
      <c r="O185" t="n">
        <v>-0.25</v>
      </c>
      <c r="P185" t="n">
        <v>41</v>
      </c>
      <c r="Q185" t="n">
        <v>12</v>
      </c>
      <c r="R185" t="s">
        <v>298</v>
      </c>
      <c r="S185" t="s">
        <v>298</v>
      </c>
      <c r="T185" t="n">
        <v>0.125</v>
      </c>
    </row>
    <row r="186">
      <c r="A186" t="s">
        <v>30</v>
      </c>
      <c r="B186" t="n">
        <v>1.25</v>
      </c>
      <c r="C186" t="n">
        <v>1.25</v>
      </c>
      <c r="D186" t="n">
        <v>1.25</v>
      </c>
      <c r="E186" t="n">
        <v>-4.25</v>
      </c>
      <c r="F186" t="n">
        <v>-0.25</v>
      </c>
      <c r="G186" t="n">
        <v>165</v>
      </c>
      <c r="H186" t="n">
        <v>12</v>
      </c>
      <c r="I186" t="s">
        <v>298</v>
      </c>
      <c r="J186" t="n">
        <v>0</v>
      </c>
      <c r="K186" t="n">
        <v>0</v>
      </c>
      <c r="L186" t="n">
        <v>0</v>
      </c>
      <c r="M186" t="n">
        <v>12</v>
      </c>
      <c r="N186" t="n">
        <v>0.5</v>
      </c>
      <c r="O186" t="n">
        <v>-0.25</v>
      </c>
      <c r="P186" t="n">
        <v>117</v>
      </c>
      <c r="Q186" t="n">
        <v>12</v>
      </c>
      <c r="R186" t="s">
        <v>298</v>
      </c>
      <c r="S186" t="s">
        <v>298</v>
      </c>
      <c r="T186" t="n">
        <v>0.375</v>
      </c>
    </row>
    <row r="187">
      <c r="A187" t="s">
        <v>30</v>
      </c>
      <c r="B187" t="n">
        <v>1</v>
      </c>
      <c r="C187" t="n">
        <v>0.8</v>
      </c>
      <c r="D187" t="n">
        <v>1.6</v>
      </c>
      <c r="E187" t="n">
        <v>-5</v>
      </c>
      <c r="F187" t="n">
        <v>-0.5</v>
      </c>
      <c r="G187" t="n">
        <v>157</v>
      </c>
      <c r="H187" t="n">
        <v>12</v>
      </c>
      <c r="I187" t="s">
        <v>297</v>
      </c>
      <c r="J187" t="n">
        <v>0</v>
      </c>
      <c r="K187" t="n">
        <v>0</v>
      </c>
      <c r="L187" t="n">
        <v>0</v>
      </c>
      <c r="M187" t="n">
        <v>12</v>
      </c>
      <c r="N187" t="n">
        <v>-1</v>
      </c>
      <c r="O187" t="n">
        <v>0</v>
      </c>
      <c r="P187" t="n">
        <v>108</v>
      </c>
      <c r="Q187" t="n">
        <v>12</v>
      </c>
      <c r="R187" t="s">
        <v>299</v>
      </c>
      <c r="S187" t="s">
        <v>296</v>
      </c>
      <c r="T187" t="n">
        <v>-1</v>
      </c>
    </row>
    <row r="188">
      <c r="A188" t="s">
        <v>30</v>
      </c>
      <c r="B188" t="n">
        <v>1</v>
      </c>
      <c r="C188" t="n">
        <v>1</v>
      </c>
      <c r="D188" t="n">
        <v>1.6</v>
      </c>
      <c r="E188" t="n">
        <v>-4.5</v>
      </c>
      <c r="F188" t="n">
        <v>-0.75</v>
      </c>
      <c r="G188" t="n">
        <v>28</v>
      </c>
      <c r="H188" t="n">
        <v>12</v>
      </c>
      <c r="I188" t="s">
        <v>297</v>
      </c>
      <c r="J188" t="n">
        <v>0</v>
      </c>
      <c r="K188" t="n">
        <v>0</v>
      </c>
      <c r="L188" t="n">
        <v>0</v>
      </c>
      <c r="M188" t="n">
        <v>12</v>
      </c>
      <c r="N188" t="n">
        <v>-1</v>
      </c>
      <c r="O188" t="n">
        <v>0</v>
      </c>
      <c r="P188" t="n">
        <v>97</v>
      </c>
      <c r="Q188" t="n">
        <v>12</v>
      </c>
      <c r="R188" t="s">
        <v>299</v>
      </c>
      <c r="S188" t="s">
        <v>297</v>
      </c>
      <c r="T188" t="n">
        <v>-1</v>
      </c>
    </row>
    <row r="189">
      <c r="A189" t="s">
        <v>30</v>
      </c>
      <c r="B189" t="n">
        <v>1</v>
      </c>
      <c r="C189" t="n">
        <v>1.25</v>
      </c>
      <c r="D189" t="n">
        <v>1.25</v>
      </c>
      <c r="E189" t="n">
        <v>-5</v>
      </c>
      <c r="F189" t="n">
        <v>-0.5</v>
      </c>
      <c r="G189" t="n">
        <v>53</v>
      </c>
      <c r="H189" t="n">
        <v>12</v>
      </c>
      <c r="I189" t="s">
        <v>297</v>
      </c>
      <c r="J189" t="n">
        <v>0</v>
      </c>
      <c r="K189" t="n">
        <v>0</v>
      </c>
      <c r="L189" t="n">
        <v>0</v>
      </c>
      <c r="M189" t="n">
        <v>12</v>
      </c>
      <c r="N189" t="n">
        <v>0.25</v>
      </c>
      <c r="O189" t="n">
        <v>-0.25</v>
      </c>
      <c r="P189" t="n">
        <v>72</v>
      </c>
      <c r="Q189" t="n">
        <v>12</v>
      </c>
      <c r="R189" t="s">
        <v>298</v>
      </c>
      <c r="S189" t="s">
        <v>298</v>
      </c>
      <c r="T189" t="n">
        <v>0.125</v>
      </c>
    </row>
    <row r="190">
      <c r="A190" t="s">
        <v>30</v>
      </c>
      <c r="B190" t="n">
        <v>1.25</v>
      </c>
      <c r="C190" t="n">
        <v>1.6</v>
      </c>
      <c r="D190" t="n">
        <v>1.6</v>
      </c>
      <c r="E190" t="n">
        <v>-4</v>
      </c>
      <c r="F190" t="n">
        <v>-0.25</v>
      </c>
      <c r="G190" t="n">
        <v>130</v>
      </c>
      <c r="H190" t="n">
        <v>12</v>
      </c>
      <c r="I190" t="s">
        <v>298</v>
      </c>
      <c r="J190" t="n">
        <v>0</v>
      </c>
      <c r="K190" t="n">
        <v>0</v>
      </c>
      <c r="L190" t="n">
        <v>0</v>
      </c>
      <c r="M190" t="n">
        <v>12</v>
      </c>
      <c r="N190" t="n">
        <v>0</v>
      </c>
      <c r="O190" t="n">
        <v>0</v>
      </c>
      <c r="P190" t="n">
        <v>132</v>
      </c>
      <c r="Q190" t="n">
        <v>12</v>
      </c>
      <c r="R190" t="s">
        <v>299</v>
      </c>
      <c r="S190" t="s">
        <v>299</v>
      </c>
      <c r="T190" t="n">
        <v>0</v>
      </c>
    </row>
    <row r="191">
      <c r="A191" t="s">
        <v>30</v>
      </c>
      <c r="B191" t="n">
        <v>0.8</v>
      </c>
      <c r="C191"/>
      <c r="D191"/>
      <c r="E191" t="n">
        <v>-5.75</v>
      </c>
      <c r="F191" t="n">
        <v>-0.5</v>
      </c>
      <c r="G191" t="n">
        <v>126</v>
      </c>
      <c r="H191" t="n">
        <v>12</v>
      </c>
      <c r="I191" t="s">
        <v>296</v>
      </c>
      <c r="J191" t="n">
        <v>0</v>
      </c>
      <c r="K191" t="n">
        <v>0</v>
      </c>
      <c r="L191" t="n">
        <v>0</v>
      </c>
      <c r="M191" t="n">
        <v>12</v>
      </c>
      <c r="N191"/>
      <c r="O191"/>
      <c r="P191"/>
      <c r="Q191" t="n">
        <v>12</v>
      </c>
      <c r="R191" t="s">
        <v>109</v>
      </c>
      <c r="S191" t="s">
        <v>109</v>
      </c>
      <c r="T191"/>
    </row>
    <row r="192">
      <c r="A192" t="s">
        <v>30</v>
      </c>
      <c r="B192" t="n">
        <v>1</v>
      </c>
      <c r="C192" t="n">
        <v>0.8</v>
      </c>
      <c r="D192" t="n">
        <v>1</v>
      </c>
      <c r="E192" t="n">
        <v>-3.75</v>
      </c>
      <c r="F192" t="n">
        <v>-0.25</v>
      </c>
      <c r="G192" t="n">
        <v>9</v>
      </c>
      <c r="H192" t="n">
        <v>12</v>
      </c>
      <c r="I192" t="s">
        <v>297</v>
      </c>
      <c r="J192" t="n">
        <v>0</v>
      </c>
      <c r="K192" t="n">
        <v>0</v>
      </c>
      <c r="L192" t="n">
        <v>0</v>
      </c>
      <c r="M192" t="n">
        <v>12</v>
      </c>
      <c r="N192" t="n">
        <v>0</v>
      </c>
      <c r="O192" t="n">
        <v>0</v>
      </c>
      <c r="P192" t="n">
        <v>142</v>
      </c>
      <c r="Q192" t="n">
        <v>12</v>
      </c>
      <c r="R192" t="s">
        <v>297</v>
      </c>
      <c r="S192" t="s">
        <v>296</v>
      </c>
      <c r="T192" t="n">
        <v>0</v>
      </c>
    </row>
    <row r="193">
      <c r="A193" t="s">
        <v>30</v>
      </c>
      <c r="B193" t="n">
        <v>1</v>
      </c>
      <c r="C193" t="n">
        <v>0.63</v>
      </c>
      <c r="D193" t="n">
        <v>0.8</v>
      </c>
      <c r="E193" t="n">
        <v>-4</v>
      </c>
      <c r="F193" t="n">
        <v>-0.5</v>
      </c>
      <c r="G193" t="n">
        <v>165</v>
      </c>
      <c r="H193" t="n">
        <v>12</v>
      </c>
      <c r="I193" t="s">
        <v>297</v>
      </c>
      <c r="J193" t="n">
        <v>0</v>
      </c>
      <c r="K193" t="n">
        <v>0</v>
      </c>
      <c r="L193" t="n">
        <v>0</v>
      </c>
      <c r="M193" t="n">
        <v>12</v>
      </c>
      <c r="N193" t="n">
        <v>-0.25</v>
      </c>
      <c r="O193" t="n">
        <v>-0.25</v>
      </c>
      <c r="P193" t="n">
        <v>138</v>
      </c>
      <c r="Q193" t="n">
        <v>12</v>
      </c>
      <c r="R193" t="s">
        <v>296</v>
      </c>
      <c r="S193" t="s">
        <v>301</v>
      </c>
      <c r="T193" t="n">
        <v>-0.375</v>
      </c>
    </row>
    <row r="194">
      <c r="A194" t="s">
        <v>30</v>
      </c>
      <c r="B194" t="n">
        <v>0.8</v>
      </c>
      <c r="C194" t="n">
        <v>0.63</v>
      </c>
      <c r="D194" t="n">
        <v>0.8</v>
      </c>
      <c r="E194" t="n">
        <v>-5</v>
      </c>
      <c r="F194" t="n">
        <v>-0.5</v>
      </c>
      <c r="G194" t="n">
        <v>4</v>
      </c>
      <c r="H194" t="n">
        <v>12</v>
      </c>
      <c r="I194" t="s">
        <v>296</v>
      </c>
      <c r="J194" t="n">
        <v>0</v>
      </c>
      <c r="K194" t="n">
        <v>0</v>
      </c>
      <c r="L194" t="n">
        <v>0</v>
      </c>
      <c r="M194" t="n">
        <v>12</v>
      </c>
      <c r="N194" t="n">
        <v>0</v>
      </c>
      <c r="O194" t="n">
        <v>-0.25</v>
      </c>
      <c r="P194" t="n">
        <v>141</v>
      </c>
      <c r="Q194" t="n">
        <v>12</v>
      </c>
      <c r="R194" t="s">
        <v>296</v>
      </c>
      <c r="S194" t="s">
        <v>301</v>
      </c>
      <c r="T194" t="n">
        <v>-0.125</v>
      </c>
    </row>
    <row r="195">
      <c r="A195" t="s">
        <v>30</v>
      </c>
      <c r="B195" t="n">
        <v>1.25</v>
      </c>
      <c r="C195" t="n">
        <v>1.6</v>
      </c>
      <c r="D195" t="n">
        <v>1.6</v>
      </c>
      <c r="E195" t="n">
        <v>-2.75</v>
      </c>
      <c r="F195" t="n">
        <v>-0.25</v>
      </c>
      <c r="G195" t="n">
        <v>10</v>
      </c>
      <c r="H195" t="n">
        <v>12</v>
      </c>
      <c r="I195" t="s">
        <v>298</v>
      </c>
      <c r="J195" t="n">
        <v>0</v>
      </c>
      <c r="K195" t="n">
        <v>0</v>
      </c>
      <c r="L195" t="n">
        <v>0</v>
      </c>
      <c r="M195" t="n">
        <v>12</v>
      </c>
      <c r="N195" t="n">
        <v>-0.25</v>
      </c>
      <c r="O195" t="n">
        <v>-0.25</v>
      </c>
      <c r="P195" t="n">
        <v>66</v>
      </c>
      <c r="Q195" t="n">
        <v>12</v>
      </c>
      <c r="R195" t="s">
        <v>299</v>
      </c>
      <c r="S195" t="s">
        <v>299</v>
      </c>
      <c r="T195" t="n">
        <v>-0.375</v>
      </c>
    </row>
    <row r="196">
      <c r="A196" t="s">
        <v>30</v>
      </c>
      <c r="B196" t="n">
        <v>1.25</v>
      </c>
      <c r="C196" t="n">
        <v>1.6</v>
      </c>
      <c r="D196" t="n">
        <v>1.6</v>
      </c>
      <c r="E196" t="n">
        <v>-4.5</v>
      </c>
      <c r="F196" t="n">
        <v>-0.25</v>
      </c>
      <c r="G196" t="n">
        <v>174</v>
      </c>
      <c r="H196" t="n">
        <v>12</v>
      </c>
      <c r="I196" t="s">
        <v>298</v>
      </c>
      <c r="J196" t="n">
        <v>0</v>
      </c>
      <c r="K196" t="n">
        <v>0</v>
      </c>
      <c r="L196" t="n">
        <v>0</v>
      </c>
      <c r="M196" t="n">
        <v>12</v>
      </c>
      <c r="N196" t="n">
        <v>-0.25</v>
      </c>
      <c r="O196" t="n">
        <v>0</v>
      </c>
      <c r="P196" t="n">
        <v>31</v>
      </c>
      <c r="Q196" t="n">
        <v>12</v>
      </c>
      <c r="R196" t="s">
        <v>299</v>
      </c>
      <c r="S196" t="s">
        <v>299</v>
      </c>
      <c r="T196" t="n">
        <v>-0.25</v>
      </c>
    </row>
    <row r="197">
      <c r="A197" t="s">
        <v>30</v>
      </c>
      <c r="B197" t="n">
        <v>1</v>
      </c>
      <c r="C197" t="n">
        <v>0.8</v>
      </c>
      <c r="D197" t="n">
        <v>1</v>
      </c>
      <c r="E197" t="n">
        <v>-1</v>
      </c>
      <c r="F197" t="n">
        <v>-0.5</v>
      </c>
      <c r="G197" t="n">
        <v>162</v>
      </c>
      <c r="H197" t="n">
        <v>12</v>
      </c>
      <c r="I197" t="s">
        <v>297</v>
      </c>
      <c r="J197" t="n">
        <v>0</v>
      </c>
      <c r="K197" t="n">
        <v>0</v>
      </c>
      <c r="L197" t="n">
        <v>0</v>
      </c>
      <c r="M197" t="n">
        <v>12</v>
      </c>
      <c r="N197" t="n">
        <v>0.75</v>
      </c>
      <c r="O197" t="n">
        <v>-0.25</v>
      </c>
      <c r="P197" t="n">
        <v>96</v>
      </c>
      <c r="Q197" t="n">
        <v>12</v>
      </c>
      <c r="R197" t="s">
        <v>297</v>
      </c>
      <c r="S197" t="s">
        <v>296</v>
      </c>
      <c r="T197" t="n">
        <v>0.625</v>
      </c>
    </row>
    <row r="198">
      <c r="A198" t="s">
        <v>30</v>
      </c>
      <c r="B198" t="n">
        <v>1</v>
      </c>
      <c r="C198"/>
      <c r="D198" t="n">
        <v>1</v>
      </c>
      <c r="E198" t="n">
        <v>-4.5</v>
      </c>
      <c r="F198" t="n">
        <v>-0.25</v>
      </c>
      <c r="G198" t="n">
        <v>48</v>
      </c>
      <c r="H198" t="n">
        <v>12</v>
      </c>
      <c r="I198" t="s">
        <v>297</v>
      </c>
      <c r="J198" t="n">
        <v>0</v>
      </c>
      <c r="K198" t="n">
        <v>0</v>
      </c>
      <c r="L198" t="n">
        <v>0</v>
      </c>
      <c r="M198" t="n">
        <v>12</v>
      </c>
      <c r="N198" t="n">
        <v>0</v>
      </c>
      <c r="O198" t="n">
        <v>0</v>
      </c>
      <c r="P198" t="n">
        <v>9</v>
      </c>
      <c r="Q198" t="n">
        <v>12</v>
      </c>
      <c r="R198" t="s">
        <v>297</v>
      </c>
      <c r="S198" t="s">
        <v>109</v>
      </c>
      <c r="T198" t="n">
        <v>0</v>
      </c>
    </row>
    <row r="199">
      <c r="A199" t="s">
        <v>30</v>
      </c>
      <c r="B199" t="n">
        <v>1</v>
      </c>
      <c r="C199" t="n">
        <v>1</v>
      </c>
      <c r="D199" t="n">
        <v>1</v>
      </c>
      <c r="E199" t="n">
        <v>-6.5</v>
      </c>
      <c r="F199" t="n">
        <v>-0.5</v>
      </c>
      <c r="G199" t="n">
        <v>141</v>
      </c>
      <c r="H199" t="n">
        <v>12</v>
      </c>
      <c r="I199" t="s">
        <v>297</v>
      </c>
      <c r="J199" t="n">
        <v>0</v>
      </c>
      <c r="K199" t="n">
        <v>0</v>
      </c>
      <c r="L199" t="n">
        <v>0</v>
      </c>
      <c r="M199" t="n">
        <v>12</v>
      </c>
      <c r="N199" t="n">
        <v>0</v>
      </c>
      <c r="O199" t="n">
        <v>-0.25</v>
      </c>
      <c r="P199" t="n">
        <v>145</v>
      </c>
      <c r="Q199" t="n">
        <v>12</v>
      </c>
      <c r="R199" t="s">
        <v>297</v>
      </c>
      <c r="S199" t="s">
        <v>297</v>
      </c>
      <c r="T199" t="n">
        <v>-0.125</v>
      </c>
    </row>
    <row r="200">
      <c r="A200" t="s">
        <v>30</v>
      </c>
      <c r="B200" t="n">
        <v>1.25</v>
      </c>
      <c r="C200" t="n">
        <v>1.6</v>
      </c>
      <c r="D200" t="n">
        <v>1.6</v>
      </c>
      <c r="E200" t="n">
        <v>-5.75</v>
      </c>
      <c r="F200" t="n">
        <v>-0.5</v>
      </c>
      <c r="G200" t="n">
        <v>3</v>
      </c>
      <c r="H200" t="n">
        <v>12</v>
      </c>
      <c r="I200" t="s">
        <v>298</v>
      </c>
      <c r="J200" t="n">
        <v>0</v>
      </c>
      <c r="K200" t="n">
        <v>0</v>
      </c>
      <c r="L200" t="n">
        <v>0</v>
      </c>
      <c r="M200" t="n">
        <v>12</v>
      </c>
      <c r="N200" t="n">
        <v>0.25</v>
      </c>
      <c r="O200" t="n">
        <v>-0.25</v>
      </c>
      <c r="P200" t="n">
        <v>70</v>
      </c>
      <c r="Q200" t="n">
        <v>12</v>
      </c>
      <c r="R200" t="s">
        <v>299</v>
      </c>
      <c r="S200" t="s">
        <v>299</v>
      </c>
      <c r="T200" t="n">
        <v>0.125</v>
      </c>
    </row>
    <row r="201">
      <c r="A201" t="s">
        <v>30</v>
      </c>
      <c r="B201" t="n">
        <v>1.6</v>
      </c>
      <c r="C201" t="n">
        <v>1.6</v>
      </c>
      <c r="D201" t="n">
        <v>1.6</v>
      </c>
      <c r="E201" t="n">
        <v>-5</v>
      </c>
      <c r="F201" t="n">
        <v>-0.5</v>
      </c>
      <c r="G201" t="n">
        <v>177</v>
      </c>
      <c r="H201" t="n">
        <v>12</v>
      </c>
      <c r="I201" t="s">
        <v>299</v>
      </c>
      <c r="J201" t="n">
        <v>0</v>
      </c>
      <c r="K201" t="n">
        <v>0</v>
      </c>
      <c r="L201" t="n">
        <v>0</v>
      </c>
      <c r="M201" t="n">
        <v>12</v>
      </c>
      <c r="N201" t="n">
        <v>0.25</v>
      </c>
      <c r="O201" t="n">
        <v>-0.25</v>
      </c>
      <c r="P201" t="n">
        <v>110</v>
      </c>
      <c r="Q201" t="n">
        <v>12</v>
      </c>
      <c r="R201" t="s">
        <v>299</v>
      </c>
      <c r="S201" t="s">
        <v>299</v>
      </c>
      <c r="T201" t="n">
        <v>0.125</v>
      </c>
    </row>
    <row r="202">
      <c r="A202" t="s">
        <v>30</v>
      </c>
      <c r="B202" t="n">
        <v>1</v>
      </c>
      <c r="C202" t="n">
        <v>1</v>
      </c>
      <c r="D202" t="n">
        <v>1</v>
      </c>
      <c r="E202" t="n">
        <v>-3.5</v>
      </c>
      <c r="F202" t="n">
        <v>-0.5</v>
      </c>
      <c r="G202" t="n">
        <v>12</v>
      </c>
      <c r="H202" t="n">
        <v>12</v>
      </c>
      <c r="I202" t="s">
        <v>297</v>
      </c>
      <c r="J202" t="n">
        <v>0</v>
      </c>
      <c r="K202" t="n">
        <v>0</v>
      </c>
      <c r="L202" t="n">
        <v>0</v>
      </c>
      <c r="M202" t="n">
        <v>12</v>
      </c>
      <c r="N202" t="n">
        <v>0</v>
      </c>
      <c r="O202" t="n">
        <v>-0.25</v>
      </c>
      <c r="P202" t="n">
        <v>157</v>
      </c>
      <c r="Q202" t="n">
        <v>12</v>
      </c>
      <c r="R202" t="s">
        <v>297</v>
      </c>
      <c r="S202" t="s">
        <v>297</v>
      </c>
      <c r="T202" t="n">
        <v>-0.125</v>
      </c>
    </row>
    <row r="203">
      <c r="A203" t="s">
        <v>30</v>
      </c>
      <c r="B203" t="n">
        <v>1</v>
      </c>
      <c r="C203" t="n">
        <v>1</v>
      </c>
      <c r="D203" t="n">
        <v>1</v>
      </c>
      <c r="E203" t="n">
        <v>-3.25</v>
      </c>
      <c r="F203" t="n">
        <v>-0.75</v>
      </c>
      <c r="G203" t="n">
        <v>171</v>
      </c>
      <c r="H203" t="n">
        <v>12</v>
      </c>
      <c r="I203" t="s">
        <v>297</v>
      </c>
      <c r="J203" t="n">
        <v>0</v>
      </c>
      <c r="K203" t="n">
        <v>0</v>
      </c>
      <c r="L203" t="n">
        <v>0</v>
      </c>
      <c r="M203" t="n">
        <v>12</v>
      </c>
      <c r="N203" t="n">
        <v>0.25</v>
      </c>
      <c r="O203" t="n">
        <v>-0.25</v>
      </c>
      <c r="P203" t="n">
        <v>42</v>
      </c>
      <c r="Q203" t="n">
        <v>12</v>
      </c>
      <c r="R203" t="s">
        <v>297</v>
      </c>
      <c r="S203" t="s">
        <v>297</v>
      </c>
      <c r="T203" t="n">
        <v>0.125</v>
      </c>
    </row>
    <row r="204">
      <c r="A204" t="s">
        <v>30</v>
      </c>
      <c r="B204" t="n">
        <v>1.25</v>
      </c>
      <c r="C204" t="n">
        <v>1.25</v>
      </c>
      <c r="D204" t="n">
        <v>1.25</v>
      </c>
      <c r="E204" t="n">
        <v>-4.25</v>
      </c>
      <c r="F204" t="n">
        <v>-0.75</v>
      </c>
      <c r="G204" t="n">
        <v>131</v>
      </c>
      <c r="H204" t="n">
        <v>12</v>
      </c>
      <c r="I204" t="s">
        <v>298</v>
      </c>
      <c r="J204" t="n">
        <v>0</v>
      </c>
      <c r="K204" t="n">
        <v>0</v>
      </c>
      <c r="L204" t="n">
        <v>0</v>
      </c>
      <c r="M204" t="n">
        <v>12</v>
      </c>
      <c r="N204" t="n">
        <v>0.25</v>
      </c>
      <c r="O204" t="n">
        <v>-0.25</v>
      </c>
      <c r="P204" t="n">
        <v>71</v>
      </c>
      <c r="Q204" t="n">
        <v>12</v>
      </c>
      <c r="R204" t="s">
        <v>298</v>
      </c>
      <c r="S204" t="s">
        <v>298</v>
      </c>
      <c r="T204" t="n">
        <v>0.125</v>
      </c>
    </row>
    <row r="205">
      <c r="A205" t="s">
        <v>30</v>
      </c>
      <c r="B205" t="n">
        <v>1.25</v>
      </c>
      <c r="C205" t="n">
        <v>1.25</v>
      </c>
      <c r="D205" t="n">
        <v>1.25</v>
      </c>
      <c r="E205" t="n">
        <v>-3.5</v>
      </c>
      <c r="F205" t="n">
        <v>-0.25</v>
      </c>
      <c r="G205" t="n">
        <v>53</v>
      </c>
      <c r="H205" t="n">
        <v>12</v>
      </c>
      <c r="I205" t="s">
        <v>298</v>
      </c>
      <c r="J205" t="n">
        <v>0</v>
      </c>
      <c r="K205" t="n">
        <v>0</v>
      </c>
      <c r="L205" t="n">
        <v>0</v>
      </c>
      <c r="M205" t="n">
        <v>12</v>
      </c>
      <c r="N205" t="n">
        <v>0.25</v>
      </c>
      <c r="O205" t="n">
        <v>-0.25</v>
      </c>
      <c r="P205" t="n">
        <v>136</v>
      </c>
      <c r="Q205" t="n">
        <v>12</v>
      </c>
      <c r="R205" t="s">
        <v>298</v>
      </c>
      <c r="S205" t="s">
        <v>298</v>
      </c>
      <c r="T205" t="n">
        <v>0.125</v>
      </c>
    </row>
    <row r="206">
      <c r="A206" t="s">
        <v>30</v>
      </c>
      <c r="B206" t="n">
        <v>1</v>
      </c>
      <c r="C206" t="n">
        <v>1.25</v>
      </c>
      <c r="D206" t="n">
        <v>1.25</v>
      </c>
      <c r="E206" t="n">
        <v>-3.25</v>
      </c>
      <c r="F206" t="n">
        <v>-0.5</v>
      </c>
      <c r="G206" t="n">
        <v>14</v>
      </c>
      <c r="H206" t="n">
        <v>12</v>
      </c>
      <c r="I206" t="s">
        <v>297</v>
      </c>
      <c r="J206" t="n">
        <v>0</v>
      </c>
      <c r="K206" t="n">
        <v>0</v>
      </c>
      <c r="L206" t="n">
        <v>0</v>
      </c>
      <c r="M206" t="n">
        <v>12</v>
      </c>
      <c r="N206" t="n">
        <v>0</v>
      </c>
      <c r="O206" t="n">
        <v>-0.25</v>
      </c>
      <c r="P206" t="n">
        <v>165</v>
      </c>
      <c r="Q206" t="n">
        <v>12</v>
      </c>
      <c r="R206" t="s">
        <v>298</v>
      </c>
      <c r="S206" t="s">
        <v>298</v>
      </c>
      <c r="T206" t="n">
        <v>-0.125</v>
      </c>
    </row>
    <row r="207">
      <c r="A207" t="s">
        <v>30</v>
      </c>
      <c r="B207" t="n">
        <v>1.25</v>
      </c>
      <c r="C207" t="n">
        <v>1.25</v>
      </c>
      <c r="D207" t="n">
        <v>1.25</v>
      </c>
      <c r="E207" t="n">
        <v>-4</v>
      </c>
      <c r="F207" t="n">
        <v>-0.5</v>
      </c>
      <c r="G207" t="n">
        <v>152</v>
      </c>
      <c r="H207" t="n">
        <v>12</v>
      </c>
      <c r="I207" t="s">
        <v>298</v>
      </c>
      <c r="J207" t="n">
        <v>0</v>
      </c>
      <c r="K207" t="n">
        <v>0</v>
      </c>
      <c r="L207" t="n">
        <v>0</v>
      </c>
      <c r="M207" t="n">
        <v>12</v>
      </c>
      <c r="N207" t="n">
        <v>-0.25</v>
      </c>
      <c r="O207" t="n">
        <v>-0.25</v>
      </c>
      <c r="P207" t="n">
        <v>1</v>
      </c>
      <c r="Q207" t="n">
        <v>12</v>
      </c>
      <c r="R207" t="s">
        <v>298</v>
      </c>
      <c r="S207" t="s">
        <v>298</v>
      </c>
      <c r="T207" t="n">
        <v>-0.375</v>
      </c>
    </row>
    <row r="208">
      <c r="A208" t="s">
        <v>30</v>
      </c>
      <c r="B208" t="n">
        <v>1</v>
      </c>
      <c r="C208" t="n">
        <v>1.25</v>
      </c>
      <c r="D208" t="n">
        <v>1.25</v>
      </c>
      <c r="E208" t="n">
        <v>-6.5</v>
      </c>
      <c r="F208" t="n">
        <v>-0.75</v>
      </c>
      <c r="G208" t="n">
        <v>93</v>
      </c>
      <c r="H208" t="n">
        <v>12</v>
      </c>
      <c r="I208" t="s">
        <v>297</v>
      </c>
      <c r="J208" t="n">
        <v>0</v>
      </c>
      <c r="K208" t="n">
        <v>0</v>
      </c>
      <c r="L208" t="n">
        <v>0</v>
      </c>
      <c r="M208" t="n">
        <v>12</v>
      </c>
      <c r="N208" t="n">
        <v>0</v>
      </c>
      <c r="O208" t="n">
        <v>-0.5</v>
      </c>
      <c r="P208" t="n">
        <v>64</v>
      </c>
      <c r="Q208" t="n">
        <v>12</v>
      </c>
      <c r="R208" t="s">
        <v>298</v>
      </c>
      <c r="S208" t="s">
        <v>298</v>
      </c>
      <c r="T208" t="n">
        <v>-0.25</v>
      </c>
    </row>
    <row r="209">
      <c r="A209" t="s">
        <v>30</v>
      </c>
      <c r="B209" t="n">
        <v>1</v>
      </c>
      <c r="C209" t="n">
        <v>1.25</v>
      </c>
      <c r="D209" t="n">
        <v>1.25</v>
      </c>
      <c r="E209" t="n">
        <v>-4.75</v>
      </c>
      <c r="F209" t="n">
        <v>-1.5</v>
      </c>
      <c r="G209" t="n">
        <v>166</v>
      </c>
      <c r="H209" t="n">
        <v>12</v>
      </c>
      <c r="I209" t="s">
        <v>297</v>
      </c>
      <c r="J209" t="n">
        <v>0</v>
      </c>
      <c r="K209" t="n">
        <v>0</v>
      </c>
      <c r="L209" t="n">
        <v>0</v>
      </c>
      <c r="M209" t="n">
        <v>12</v>
      </c>
      <c r="N209" t="n">
        <v>0.5</v>
      </c>
      <c r="O209" t="n">
        <v>-0.25</v>
      </c>
      <c r="P209" t="n">
        <v>5</v>
      </c>
      <c r="Q209" t="n">
        <v>12</v>
      </c>
      <c r="R209" t="s">
        <v>298</v>
      </c>
      <c r="S209" t="s">
        <v>298</v>
      </c>
      <c r="T209" t="n">
        <v>0.375</v>
      </c>
    </row>
  </sheetData>
  <pageMargins left="0.7" right="0.7" top="0.75" bottom="0.75" header="0.3" footer="0.3"/>
  <pageSetup paperSize="9" orientation="portrait" horizontalDpi="300" verticalDpi="300" r:id="rId2"/>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5" t="s">
        <v>279</v>
      </c>
      <c r="B1" s="5" t="s">
        <v>280</v>
      </c>
      <c r="C1" s="5" t="s">
        <v>281</v>
      </c>
      <c r="D1" s="5" t="s">
        <v>282</v>
      </c>
      <c r="E1" s="6" t="s">
        <v>283</v>
      </c>
      <c r="F1" s="6" t="s">
        <v>284</v>
      </c>
      <c r="G1" s="6" t="s">
        <v>285</v>
      </c>
      <c r="H1" s="6" t="s">
        <v>286</v>
      </c>
      <c r="I1" s="6" t="s">
        <v>82</v>
      </c>
      <c r="J1" s="7" t="s">
        <v>287</v>
      </c>
      <c r="K1" s="7" t="s">
        <v>288</v>
      </c>
      <c r="L1" s="7" t="s">
        <v>289</v>
      </c>
      <c r="M1" s="7" t="s">
        <v>290</v>
      </c>
      <c r="N1" s="8" t="s">
        <v>291</v>
      </c>
      <c r="O1" s="8" t="s">
        <v>292</v>
      </c>
      <c r="P1" s="8" t="s">
        <v>293</v>
      </c>
      <c r="Q1" s="8" t="s">
        <v>294</v>
      </c>
      <c r="R1" s="8" t="s">
        <v>203</v>
      </c>
      <c r="S1" s="8" t="s">
        <v>194</v>
      </c>
      <c r="T1" s="9" t="s">
        <v>295</v>
      </c>
    </row>
    <row r="2">
      <c r="A2" t="s">
        <v>32</v>
      </c>
      <c r="B2" t="n">
        <v>1.25</v>
      </c>
      <c r="C2"/>
      <c r="D2"/>
      <c r="E2" t="n">
        <v>-3.25</v>
      </c>
      <c r="F2" t="n">
        <v>-0.5</v>
      </c>
      <c r="G2" t="n">
        <v>170</v>
      </c>
      <c r="H2" t="n">
        <v>12</v>
      </c>
      <c r="I2" t="s">
        <v>298</v>
      </c>
      <c r="J2" t="n">
        <v>0</v>
      </c>
      <c r="K2" t="n">
        <v>0</v>
      </c>
      <c r="L2" t="n">
        <v>0</v>
      </c>
      <c r="M2" t="n">
        <v>12</v>
      </c>
      <c r="N2"/>
      <c r="O2"/>
      <c r="P2"/>
      <c r="Q2" t="n">
        <v>12</v>
      </c>
      <c r="R2" t="s">
        <v>109</v>
      </c>
      <c r="S2" t="s">
        <v>109</v>
      </c>
      <c r="T2"/>
    </row>
    <row r="3">
      <c r="A3" t="s">
        <v>32</v>
      </c>
      <c r="B3" t="n">
        <v>1.25</v>
      </c>
      <c r="C3" t="n">
        <v>1.25</v>
      </c>
      <c r="D3" t="n">
        <v>1.25</v>
      </c>
      <c r="E3" t="n">
        <v>-2.25</v>
      </c>
      <c r="F3" t="n">
        <v>-0.25</v>
      </c>
      <c r="G3" t="n">
        <v>147</v>
      </c>
      <c r="H3" t="n">
        <v>12</v>
      </c>
      <c r="I3" t="s">
        <v>298</v>
      </c>
      <c r="J3" t="n">
        <v>0</v>
      </c>
      <c r="K3" t="n">
        <v>0</v>
      </c>
      <c r="L3" t="n">
        <v>0</v>
      </c>
      <c r="M3" t="n">
        <v>12</v>
      </c>
      <c r="N3" t="n">
        <v>0</v>
      </c>
      <c r="O3" t="n">
        <v>0</v>
      </c>
      <c r="P3" t="n">
        <v>169</v>
      </c>
      <c r="Q3" t="n">
        <v>12</v>
      </c>
      <c r="R3" t="s">
        <v>298</v>
      </c>
      <c r="S3" t="s">
        <v>298</v>
      </c>
      <c r="T3" t="n">
        <v>0</v>
      </c>
    </row>
    <row r="4">
      <c r="A4" t="s">
        <v>32</v>
      </c>
      <c r="B4" t="n">
        <v>1</v>
      </c>
      <c r="C4" t="n">
        <v>0.8</v>
      </c>
      <c r="D4" t="n">
        <v>0.8</v>
      </c>
      <c r="E4" t="n">
        <v>-1</v>
      </c>
      <c r="F4" t="n">
        <v>-0.75</v>
      </c>
      <c r="G4" t="n">
        <v>156</v>
      </c>
      <c r="H4" t="n">
        <v>12</v>
      </c>
      <c r="I4" t="s">
        <v>297</v>
      </c>
      <c r="J4" t="n">
        <v>0</v>
      </c>
      <c r="K4" t="n">
        <v>0</v>
      </c>
      <c r="L4" t="n">
        <v>0</v>
      </c>
      <c r="M4" t="n">
        <v>12</v>
      </c>
      <c r="N4" t="n">
        <v>0.5</v>
      </c>
      <c r="O4" t="n">
        <v>0</v>
      </c>
      <c r="P4" t="n">
        <v>149</v>
      </c>
      <c r="Q4" t="n">
        <v>12</v>
      </c>
      <c r="R4" t="s">
        <v>296</v>
      </c>
      <c r="S4" t="s">
        <v>296</v>
      </c>
      <c r="T4" t="n">
        <v>0.5</v>
      </c>
    </row>
    <row r="5">
      <c r="A5" t="s">
        <v>32</v>
      </c>
      <c r="B5" t="n">
        <v>1</v>
      </c>
      <c r="C5" t="n">
        <v>0.63</v>
      </c>
      <c r="D5" t="n">
        <v>0.63</v>
      </c>
      <c r="E5" t="n">
        <v>-3.5</v>
      </c>
      <c r="F5" t="n">
        <v>-1</v>
      </c>
      <c r="G5" t="n">
        <v>26</v>
      </c>
      <c r="H5" t="n">
        <v>12</v>
      </c>
      <c r="I5" t="s">
        <v>297</v>
      </c>
      <c r="J5" t="n">
        <v>0</v>
      </c>
      <c r="K5" t="n">
        <v>0</v>
      </c>
      <c r="L5" t="n">
        <v>0</v>
      </c>
      <c r="M5" t="n">
        <v>12</v>
      </c>
      <c r="N5" t="n">
        <v>0</v>
      </c>
      <c r="O5" t="n">
        <v>-0.25</v>
      </c>
      <c r="P5" t="n">
        <v>42</v>
      </c>
      <c r="Q5" t="n">
        <v>12</v>
      </c>
      <c r="R5" t="s">
        <v>301</v>
      </c>
      <c r="S5" t="s">
        <v>301</v>
      </c>
      <c r="T5" t="n">
        <v>-0.125</v>
      </c>
    </row>
    <row r="6">
      <c r="A6" t="s">
        <v>32</v>
      </c>
      <c r="B6" t="n">
        <v>1.25</v>
      </c>
      <c r="C6" t="n">
        <v>1.25</v>
      </c>
      <c r="D6" t="n">
        <v>1.25</v>
      </c>
      <c r="E6" t="n">
        <v>-6</v>
      </c>
      <c r="F6" t="n">
        <v>-0.75</v>
      </c>
      <c r="G6" t="n">
        <v>2</v>
      </c>
      <c r="H6" t="n">
        <v>12</v>
      </c>
      <c r="I6" t="s">
        <v>298</v>
      </c>
      <c r="J6" t="n">
        <v>0</v>
      </c>
      <c r="K6" t="n">
        <v>0</v>
      </c>
      <c r="L6" t="n">
        <v>0</v>
      </c>
      <c r="M6" t="n">
        <v>12</v>
      </c>
      <c r="N6" t="n">
        <v>0</v>
      </c>
      <c r="O6" t="n">
        <v>-0.25</v>
      </c>
      <c r="P6" t="n">
        <v>48</v>
      </c>
      <c r="Q6" t="n">
        <v>12</v>
      </c>
      <c r="R6" t="s">
        <v>298</v>
      </c>
      <c r="S6" t="s">
        <v>298</v>
      </c>
      <c r="T6" t="n">
        <v>-0.125</v>
      </c>
    </row>
    <row r="7">
      <c r="A7" t="s">
        <v>32</v>
      </c>
      <c r="B7" t="n">
        <v>1.25</v>
      </c>
      <c r="C7" t="n">
        <v>1.25</v>
      </c>
      <c r="D7" t="n">
        <v>1.6</v>
      </c>
      <c r="E7" t="n">
        <v>-6</v>
      </c>
      <c r="F7" t="n">
        <v>-1.75</v>
      </c>
      <c r="G7" t="n">
        <v>176</v>
      </c>
      <c r="H7" t="n">
        <v>12</v>
      </c>
      <c r="I7" t="s">
        <v>298</v>
      </c>
      <c r="J7" t="n">
        <v>0</v>
      </c>
      <c r="K7" t="n">
        <v>0</v>
      </c>
      <c r="L7" t="n">
        <v>0</v>
      </c>
      <c r="M7" t="n">
        <v>12</v>
      </c>
      <c r="N7" t="n">
        <v>-0.5</v>
      </c>
      <c r="O7" t="n">
        <v>-0.5</v>
      </c>
      <c r="P7" t="n">
        <v>129</v>
      </c>
      <c r="Q7" t="n">
        <v>12</v>
      </c>
      <c r="R7" t="s">
        <v>299</v>
      </c>
      <c r="S7" t="s">
        <v>298</v>
      </c>
      <c r="T7" t="n">
        <v>-0.75</v>
      </c>
    </row>
    <row r="8">
      <c r="A8" t="s">
        <v>32</v>
      </c>
      <c r="B8" t="n">
        <v>1.25</v>
      </c>
      <c r="C8" t="n">
        <v>1.25</v>
      </c>
      <c r="D8" t="n">
        <v>1.25</v>
      </c>
      <c r="E8" t="n">
        <v>-2.75</v>
      </c>
      <c r="F8" t="n">
        <v>-0.75</v>
      </c>
      <c r="G8" t="n">
        <v>165</v>
      </c>
      <c r="H8" t="n">
        <v>12</v>
      </c>
      <c r="I8" t="s">
        <v>298</v>
      </c>
      <c r="J8" t="n">
        <v>0</v>
      </c>
      <c r="K8" t="n">
        <v>0</v>
      </c>
      <c r="L8" t="n">
        <v>0</v>
      </c>
      <c r="M8" t="n">
        <v>12</v>
      </c>
      <c r="N8" t="n">
        <v>0.75</v>
      </c>
      <c r="O8" t="n">
        <v>-0.25</v>
      </c>
      <c r="P8" t="n">
        <v>100</v>
      </c>
      <c r="Q8" t="n">
        <v>12</v>
      </c>
      <c r="R8" t="s">
        <v>298</v>
      </c>
      <c r="S8" t="s">
        <v>298</v>
      </c>
      <c r="T8" t="n">
        <v>0.625</v>
      </c>
    </row>
    <row r="9">
      <c r="A9" t="s">
        <v>32</v>
      </c>
      <c r="B9" t="n">
        <v>1.25</v>
      </c>
      <c r="C9" t="n">
        <v>1.25</v>
      </c>
      <c r="D9" t="n">
        <v>1.25</v>
      </c>
      <c r="E9" t="n">
        <v>-3</v>
      </c>
      <c r="F9" t="n">
        <v>-1</v>
      </c>
      <c r="G9" t="n">
        <v>18</v>
      </c>
      <c r="H9" t="n">
        <v>12</v>
      </c>
      <c r="I9" t="s">
        <v>298</v>
      </c>
      <c r="J9" t="n">
        <v>0</v>
      </c>
      <c r="K9" t="n">
        <v>0</v>
      </c>
      <c r="L9" t="n">
        <v>0</v>
      </c>
      <c r="M9" t="n">
        <v>12</v>
      </c>
      <c r="N9" t="n">
        <v>0</v>
      </c>
      <c r="O9" t="n">
        <v>-0.25</v>
      </c>
      <c r="P9" t="n">
        <v>129</v>
      </c>
      <c r="Q9" t="n">
        <v>12</v>
      </c>
      <c r="R9" t="s">
        <v>298</v>
      </c>
      <c r="S9" t="s">
        <v>298</v>
      </c>
      <c r="T9" t="n">
        <v>-0.125</v>
      </c>
    </row>
    <row r="10">
      <c r="A10" t="s">
        <v>32</v>
      </c>
      <c r="B10" t="n">
        <v>1.25</v>
      </c>
      <c r="C10"/>
      <c r="D10"/>
      <c r="E10" t="n">
        <v>-5</v>
      </c>
      <c r="F10" t="n">
        <v>-2.75</v>
      </c>
      <c r="G10" t="n">
        <v>146</v>
      </c>
      <c r="H10" t="n">
        <v>12</v>
      </c>
      <c r="I10" t="s">
        <v>298</v>
      </c>
      <c r="J10" t="n">
        <v>0</v>
      </c>
      <c r="K10" t="n">
        <v>0</v>
      </c>
      <c r="L10" t="n">
        <v>0</v>
      </c>
      <c r="M10" t="n">
        <v>12</v>
      </c>
      <c r="N10"/>
      <c r="O10"/>
      <c r="P10"/>
      <c r="Q10" t="n">
        <v>12</v>
      </c>
      <c r="R10" t="s">
        <v>109</v>
      </c>
      <c r="S10" t="s">
        <v>109</v>
      </c>
      <c r="T10"/>
    </row>
    <row r="11">
      <c r="A11" t="s">
        <v>32</v>
      </c>
      <c r="B11" t="n">
        <v>1.25</v>
      </c>
      <c r="C11"/>
      <c r="D11"/>
      <c r="E11" t="n">
        <v>-4.75</v>
      </c>
      <c r="F11" t="n">
        <v>-2.25</v>
      </c>
      <c r="G11" t="n">
        <v>30</v>
      </c>
      <c r="H11" t="n">
        <v>12</v>
      </c>
      <c r="I11" t="s">
        <v>298</v>
      </c>
      <c r="J11" t="n">
        <v>0</v>
      </c>
      <c r="K11" t="n">
        <v>0</v>
      </c>
      <c r="L11" t="n">
        <v>0</v>
      </c>
      <c r="M11" t="n">
        <v>12</v>
      </c>
      <c r="N11"/>
      <c r="O11"/>
      <c r="P11"/>
      <c r="Q11" t="n">
        <v>12</v>
      </c>
      <c r="R11" t="s">
        <v>109</v>
      </c>
      <c r="S11" t="s">
        <v>109</v>
      </c>
      <c r="T11"/>
    </row>
    <row r="12">
      <c r="A12" t="s">
        <v>32</v>
      </c>
      <c r="B12" t="n">
        <v>1.25</v>
      </c>
      <c r="C12"/>
      <c r="D12"/>
      <c r="E12" t="n">
        <v>-5.25</v>
      </c>
      <c r="F12" t="n">
        <v>-0.75</v>
      </c>
      <c r="G12" t="n">
        <v>112</v>
      </c>
      <c r="H12" t="n">
        <v>12</v>
      </c>
      <c r="I12" t="s">
        <v>298</v>
      </c>
      <c r="J12" t="n">
        <v>0</v>
      </c>
      <c r="K12" t="n">
        <v>0</v>
      </c>
      <c r="L12" t="n">
        <v>0</v>
      </c>
      <c r="M12" t="n">
        <v>12</v>
      </c>
      <c r="N12"/>
      <c r="O12"/>
      <c r="P12"/>
      <c r="Q12" t="n">
        <v>12</v>
      </c>
      <c r="R12" t="s">
        <v>109</v>
      </c>
      <c r="S12" t="s">
        <v>109</v>
      </c>
      <c r="T12"/>
    </row>
    <row r="13">
      <c r="A13" t="s">
        <v>32</v>
      </c>
      <c r="B13" t="n">
        <v>1.25</v>
      </c>
      <c r="C13"/>
      <c r="D13"/>
      <c r="E13" t="n">
        <v>-6.5</v>
      </c>
      <c r="F13" t="n">
        <v>-1.25</v>
      </c>
      <c r="G13" t="n">
        <v>75</v>
      </c>
      <c r="H13" t="n">
        <v>12</v>
      </c>
      <c r="I13" t="s">
        <v>298</v>
      </c>
      <c r="J13" t="n">
        <v>0</v>
      </c>
      <c r="K13" t="n">
        <v>0</v>
      </c>
      <c r="L13" t="n">
        <v>0</v>
      </c>
      <c r="M13" t="n">
        <v>12</v>
      </c>
      <c r="N13"/>
      <c r="O13"/>
      <c r="P13"/>
      <c r="Q13" t="n">
        <v>12</v>
      </c>
      <c r="R13" t="s">
        <v>109</v>
      </c>
      <c r="S13" t="s">
        <v>109</v>
      </c>
      <c r="T13"/>
    </row>
    <row r="14">
      <c r="A14" t="s">
        <v>32</v>
      </c>
      <c r="B14" t="n">
        <v>1</v>
      </c>
      <c r="C14" t="n">
        <v>1</v>
      </c>
      <c r="D14" t="n">
        <v>1</v>
      </c>
      <c r="E14" t="n">
        <v>-4.75</v>
      </c>
      <c r="F14" t="n">
        <v>-1</v>
      </c>
      <c r="G14" t="n">
        <v>147</v>
      </c>
      <c r="H14" t="n">
        <v>12</v>
      </c>
      <c r="I14" t="s">
        <v>297</v>
      </c>
      <c r="J14" t="n">
        <v>0</v>
      </c>
      <c r="K14" t="n">
        <v>0</v>
      </c>
      <c r="L14" t="n">
        <v>0</v>
      </c>
      <c r="M14" t="n">
        <v>12</v>
      </c>
      <c r="N14" t="n">
        <v>0.5</v>
      </c>
      <c r="O14" t="n">
        <v>-0.5</v>
      </c>
      <c r="P14" t="n">
        <v>129</v>
      </c>
      <c r="Q14" t="n">
        <v>12</v>
      </c>
      <c r="R14" t="s">
        <v>297</v>
      </c>
      <c r="S14" t="s">
        <v>297</v>
      </c>
      <c r="T14" t="n">
        <v>0.25</v>
      </c>
    </row>
    <row r="15">
      <c r="A15" t="s">
        <v>32</v>
      </c>
      <c r="B15" t="n">
        <v>1</v>
      </c>
      <c r="C15" t="n">
        <v>1</v>
      </c>
      <c r="D15" t="n">
        <v>1</v>
      </c>
      <c r="E15" t="n">
        <v>-3.25</v>
      </c>
      <c r="F15" t="n">
        <v>-1.75</v>
      </c>
      <c r="G15" t="n">
        <v>36</v>
      </c>
      <c r="H15" t="n">
        <v>12</v>
      </c>
      <c r="I15" t="s">
        <v>297</v>
      </c>
      <c r="J15" t="n">
        <v>0</v>
      </c>
      <c r="K15" t="n">
        <v>0</v>
      </c>
      <c r="L15" t="n">
        <v>0</v>
      </c>
      <c r="M15" t="n">
        <v>12</v>
      </c>
      <c r="N15" t="n">
        <v>0.25</v>
      </c>
      <c r="O15" t="n">
        <v>-0.75</v>
      </c>
      <c r="P15" t="n">
        <v>18</v>
      </c>
      <c r="Q15" t="n">
        <v>12</v>
      </c>
      <c r="R15" t="s">
        <v>297</v>
      </c>
      <c r="S15" t="s">
        <v>297</v>
      </c>
      <c r="T15" t="n">
        <v>-0.125</v>
      </c>
    </row>
    <row r="16">
      <c r="A16" t="s">
        <v>32</v>
      </c>
      <c r="B16" t="n">
        <v>1.25</v>
      </c>
      <c r="C16"/>
      <c r="D16"/>
      <c r="E16" t="n">
        <v>-2.75</v>
      </c>
      <c r="F16" t="n">
        <v>-1</v>
      </c>
      <c r="G16" t="n">
        <v>171</v>
      </c>
      <c r="H16" t="n">
        <v>12</v>
      </c>
      <c r="I16" t="s">
        <v>298</v>
      </c>
      <c r="J16" t="n">
        <v>0</v>
      </c>
      <c r="K16" t="n">
        <v>0</v>
      </c>
      <c r="L16" t="n">
        <v>0</v>
      </c>
      <c r="M16" t="n">
        <v>12</v>
      </c>
      <c r="N16"/>
      <c r="O16"/>
      <c r="P16"/>
      <c r="Q16" t="n">
        <v>12</v>
      </c>
      <c r="R16" t="s">
        <v>109</v>
      </c>
      <c r="S16" t="s">
        <v>109</v>
      </c>
      <c r="T16"/>
    </row>
    <row r="17">
      <c r="A17" t="s">
        <v>32</v>
      </c>
      <c r="B17" t="n">
        <v>1.25</v>
      </c>
      <c r="C17"/>
      <c r="D17"/>
      <c r="E17" t="n">
        <v>-4.25</v>
      </c>
      <c r="F17" t="n">
        <v>-0.25</v>
      </c>
      <c r="G17" t="n">
        <v>14</v>
      </c>
      <c r="H17" t="n">
        <v>12</v>
      </c>
      <c r="I17" t="s">
        <v>298</v>
      </c>
      <c r="J17" t="n">
        <v>0</v>
      </c>
      <c r="K17" t="n">
        <v>0</v>
      </c>
      <c r="L17" t="n">
        <v>0</v>
      </c>
      <c r="M17" t="n">
        <v>12</v>
      </c>
      <c r="N17"/>
      <c r="O17"/>
      <c r="P17"/>
      <c r="Q17" t="n">
        <v>12</v>
      </c>
      <c r="R17" t="s">
        <v>109</v>
      </c>
      <c r="S17" t="s">
        <v>109</v>
      </c>
      <c r="T17"/>
    </row>
    <row r="18">
      <c r="A18" t="s">
        <v>32</v>
      </c>
      <c r="B18" t="n">
        <v>1</v>
      </c>
      <c r="C18" t="n">
        <v>1</v>
      </c>
      <c r="D18" t="n">
        <v>1</v>
      </c>
      <c r="E18" t="n">
        <v>-6</v>
      </c>
      <c r="F18" t="n">
        <v>-0.5</v>
      </c>
      <c r="G18" t="n">
        <v>112</v>
      </c>
      <c r="H18" t="n">
        <v>12</v>
      </c>
      <c r="I18" t="s">
        <v>297</v>
      </c>
      <c r="J18" t="n">
        <v>0</v>
      </c>
      <c r="K18" t="n">
        <v>0</v>
      </c>
      <c r="L18" t="n">
        <v>0</v>
      </c>
      <c r="M18" t="n">
        <v>12</v>
      </c>
      <c r="N18" t="n">
        <v>-0.25</v>
      </c>
      <c r="O18" t="n">
        <v>-0.25</v>
      </c>
      <c r="P18" t="n">
        <v>170</v>
      </c>
      <c r="Q18" t="n">
        <v>12</v>
      </c>
      <c r="R18" t="s">
        <v>297</v>
      </c>
      <c r="S18" t="s">
        <v>297</v>
      </c>
      <c r="T18" t="n">
        <v>-0.375</v>
      </c>
    </row>
    <row r="19">
      <c r="A19" t="s">
        <v>32</v>
      </c>
      <c r="B19" t="n">
        <v>1</v>
      </c>
      <c r="C19" t="n">
        <v>1</v>
      </c>
      <c r="D19" t="n">
        <v>1</v>
      </c>
      <c r="E19" t="n">
        <v>-6.25</v>
      </c>
      <c r="F19" t="n">
        <v>-0.25</v>
      </c>
      <c r="G19" t="n">
        <v>64</v>
      </c>
      <c r="H19" t="n">
        <v>12</v>
      </c>
      <c r="I19" t="s">
        <v>297</v>
      </c>
      <c r="J19" t="n">
        <v>0</v>
      </c>
      <c r="K19" t="n">
        <v>0</v>
      </c>
      <c r="L19" t="n">
        <v>0</v>
      </c>
      <c r="M19" t="n">
        <v>12</v>
      </c>
      <c r="N19" t="n">
        <v>0</v>
      </c>
      <c r="O19" t="n">
        <v>0</v>
      </c>
      <c r="P19" t="n">
        <v>23</v>
      </c>
      <c r="Q19" t="n">
        <v>12</v>
      </c>
      <c r="R19" t="s">
        <v>297</v>
      </c>
      <c r="S19" t="s">
        <v>297</v>
      </c>
      <c r="T19" t="n">
        <v>0</v>
      </c>
    </row>
    <row r="20">
      <c r="A20" t="s">
        <v>32</v>
      </c>
      <c r="B20" t="n">
        <v>1.25</v>
      </c>
      <c r="C20" t="n">
        <v>1</v>
      </c>
      <c r="D20" t="n">
        <v>1.25</v>
      </c>
      <c r="E20" t="n">
        <v>-1</v>
      </c>
      <c r="F20" t="n">
        <v>-3.25</v>
      </c>
      <c r="G20" t="n">
        <v>178</v>
      </c>
      <c r="H20" t="n">
        <v>12</v>
      </c>
      <c r="I20" t="s">
        <v>298</v>
      </c>
      <c r="J20" t="n">
        <v>0</v>
      </c>
      <c r="K20" t="n">
        <v>0</v>
      </c>
      <c r="L20" t="n">
        <v>0</v>
      </c>
      <c r="M20" t="n">
        <v>12</v>
      </c>
      <c r="N20" t="n">
        <v>0.75</v>
      </c>
      <c r="O20" t="n">
        <v>-1.5</v>
      </c>
      <c r="P20" t="n">
        <v>28</v>
      </c>
      <c r="Q20" t="n">
        <v>12</v>
      </c>
      <c r="R20" t="s">
        <v>298</v>
      </c>
      <c r="S20" t="s">
        <v>297</v>
      </c>
      <c r="T20" t="n">
        <v>0</v>
      </c>
    </row>
    <row r="21">
      <c r="A21" t="s">
        <v>32</v>
      </c>
      <c r="B21" t="n">
        <v>1</v>
      </c>
      <c r="C21" t="n">
        <v>1</v>
      </c>
      <c r="D21" t="n">
        <v>1</v>
      </c>
      <c r="E21" t="n">
        <v>-1.25</v>
      </c>
      <c r="F21" t="n">
        <v>-2.25</v>
      </c>
      <c r="G21" t="n">
        <v>173</v>
      </c>
      <c r="H21" t="n">
        <v>12</v>
      </c>
      <c r="I21" t="s">
        <v>297</v>
      </c>
      <c r="J21" t="n">
        <v>0</v>
      </c>
      <c r="K21" t="n">
        <v>0</v>
      </c>
      <c r="L21" t="n">
        <v>0</v>
      </c>
      <c r="M21" t="n">
        <v>12</v>
      </c>
      <c r="N21" t="n">
        <v>0.25</v>
      </c>
      <c r="O21" t="n">
        <v>-0.25</v>
      </c>
      <c r="P21" t="n">
        <v>7</v>
      </c>
      <c r="Q21" t="n">
        <v>12</v>
      </c>
      <c r="R21" t="s">
        <v>297</v>
      </c>
      <c r="S21" t="s">
        <v>297</v>
      </c>
      <c r="T21" t="n">
        <v>0.125</v>
      </c>
    </row>
    <row r="22">
      <c r="A22" t="s">
        <v>32</v>
      </c>
      <c r="B22" t="n">
        <v>1.25</v>
      </c>
      <c r="C22" t="n">
        <v>1</v>
      </c>
      <c r="D22" t="n">
        <v>1</v>
      </c>
      <c r="E22" t="n">
        <v>-2.5</v>
      </c>
      <c r="F22" t="n">
        <v>-0.5</v>
      </c>
      <c r="G22" t="n">
        <v>63</v>
      </c>
      <c r="H22" t="n">
        <v>12</v>
      </c>
      <c r="I22" t="s">
        <v>298</v>
      </c>
      <c r="J22" t="n">
        <v>0</v>
      </c>
      <c r="K22" t="n">
        <v>0</v>
      </c>
      <c r="L22" t="n">
        <v>0</v>
      </c>
      <c r="M22" t="n">
        <v>12</v>
      </c>
      <c r="N22" t="n">
        <v>-0.25</v>
      </c>
      <c r="O22" t="n">
        <v>-0.25</v>
      </c>
      <c r="P22" t="n">
        <v>96</v>
      </c>
      <c r="Q22" t="n">
        <v>12</v>
      </c>
      <c r="R22" t="s">
        <v>297</v>
      </c>
      <c r="S22" t="s">
        <v>297</v>
      </c>
      <c r="T22" t="n">
        <v>-0.375</v>
      </c>
    </row>
    <row r="23">
      <c r="A23" t="s">
        <v>32</v>
      </c>
      <c r="B23" t="n">
        <v>1</v>
      </c>
      <c r="C23" t="n">
        <v>1</v>
      </c>
      <c r="D23" t="n">
        <v>1</v>
      </c>
      <c r="E23" t="n">
        <v>-4.5</v>
      </c>
      <c r="F23" t="n">
        <v>-0.5</v>
      </c>
      <c r="G23" t="n">
        <v>55</v>
      </c>
      <c r="H23" t="n">
        <v>12</v>
      </c>
      <c r="I23" t="s">
        <v>297</v>
      </c>
      <c r="J23" t="n">
        <v>0</v>
      </c>
      <c r="K23" t="n">
        <v>0</v>
      </c>
      <c r="L23" t="n">
        <v>0</v>
      </c>
      <c r="M23" t="n">
        <v>12</v>
      </c>
      <c r="N23" t="n">
        <v>0.5</v>
      </c>
      <c r="O23" t="n">
        <v>-0.25</v>
      </c>
      <c r="P23" t="n">
        <v>91</v>
      </c>
      <c r="Q23" t="n">
        <v>12</v>
      </c>
      <c r="R23" t="s">
        <v>297</v>
      </c>
      <c r="S23" t="s">
        <v>297</v>
      </c>
      <c r="T23" t="n">
        <v>0.375</v>
      </c>
    </row>
    <row r="24">
      <c r="A24" t="s">
        <v>32</v>
      </c>
      <c r="B24" t="n">
        <v>1</v>
      </c>
      <c r="C24" t="n">
        <v>1</v>
      </c>
      <c r="D24" t="n">
        <v>1</v>
      </c>
      <c r="E24" t="n">
        <v>-1.25</v>
      </c>
      <c r="F24" t="n">
        <v>-0.5</v>
      </c>
      <c r="G24" t="n">
        <v>19</v>
      </c>
      <c r="H24" t="n">
        <v>12</v>
      </c>
      <c r="I24" t="s">
        <v>297</v>
      </c>
      <c r="J24" t="n">
        <v>0</v>
      </c>
      <c r="K24" t="n">
        <v>0</v>
      </c>
      <c r="L24" t="n">
        <v>0</v>
      </c>
      <c r="M24" t="n">
        <v>12</v>
      </c>
      <c r="N24" t="n">
        <v>0.25</v>
      </c>
      <c r="O24" t="n">
        <v>0</v>
      </c>
      <c r="P24" t="n">
        <v>148</v>
      </c>
      <c r="Q24" t="n">
        <v>12</v>
      </c>
      <c r="R24" t="s">
        <v>297</v>
      </c>
      <c r="S24" t="s">
        <v>297</v>
      </c>
      <c r="T24" t="n">
        <v>0.25</v>
      </c>
    </row>
    <row r="25">
      <c r="A25" t="s">
        <v>32</v>
      </c>
      <c r="B25" t="n">
        <v>1</v>
      </c>
      <c r="C25" t="n">
        <v>0.8</v>
      </c>
      <c r="D25" t="n">
        <v>0.8</v>
      </c>
      <c r="E25" t="n">
        <v>-1.5</v>
      </c>
      <c r="F25" t="n">
        <v>-0.5</v>
      </c>
      <c r="G25" t="n">
        <v>167</v>
      </c>
      <c r="H25" t="n">
        <v>12</v>
      </c>
      <c r="I25" t="s">
        <v>297</v>
      </c>
      <c r="J25" t="n">
        <v>0</v>
      </c>
      <c r="K25" t="n">
        <v>0</v>
      </c>
      <c r="L25" t="n">
        <v>0</v>
      </c>
      <c r="M25" t="n">
        <v>12</v>
      </c>
      <c r="N25" t="n">
        <v>0.75</v>
      </c>
      <c r="O25" t="n">
        <v>-0.25</v>
      </c>
      <c r="P25" t="n">
        <v>56</v>
      </c>
      <c r="Q25" t="n">
        <v>12</v>
      </c>
      <c r="R25" t="s">
        <v>296</v>
      </c>
      <c r="S25" t="s">
        <v>296</v>
      </c>
      <c r="T25" t="n">
        <v>0.625</v>
      </c>
    </row>
    <row r="26">
      <c r="A26" t="s">
        <v>32</v>
      </c>
      <c r="B26" t="n">
        <v>1.25</v>
      </c>
      <c r="C26" t="n">
        <v>1</v>
      </c>
      <c r="D26" t="n">
        <v>1.25</v>
      </c>
      <c r="E26" t="n">
        <v>-2.75</v>
      </c>
      <c r="F26" t="n">
        <v>-1.75</v>
      </c>
      <c r="G26" t="n">
        <v>18</v>
      </c>
      <c r="H26" t="n">
        <v>12</v>
      </c>
      <c r="I26" t="s">
        <v>298</v>
      </c>
      <c r="J26" t="n">
        <v>0</v>
      </c>
      <c r="K26" t="n">
        <v>0</v>
      </c>
      <c r="L26" t="n">
        <v>0</v>
      </c>
      <c r="M26" t="n">
        <v>12</v>
      </c>
      <c r="N26" t="n">
        <v>0.25</v>
      </c>
      <c r="O26" t="n">
        <v>-1</v>
      </c>
      <c r="P26" t="n">
        <v>158</v>
      </c>
      <c r="Q26" t="n">
        <v>12</v>
      </c>
      <c r="R26" t="s">
        <v>298</v>
      </c>
      <c r="S26" t="s">
        <v>297</v>
      </c>
      <c r="T26" t="n">
        <v>-0.25</v>
      </c>
    </row>
    <row r="27">
      <c r="A27" t="s">
        <v>32</v>
      </c>
      <c r="B27" t="n">
        <v>1.25</v>
      </c>
      <c r="C27" t="n">
        <v>1.25</v>
      </c>
      <c r="D27" t="n">
        <v>1.25</v>
      </c>
      <c r="E27" t="n">
        <v>-3.25</v>
      </c>
      <c r="F27" t="n">
        <v>-1.25</v>
      </c>
      <c r="G27" t="n">
        <v>171</v>
      </c>
      <c r="H27" t="n">
        <v>12</v>
      </c>
      <c r="I27" t="s">
        <v>298</v>
      </c>
      <c r="J27" t="n">
        <v>0</v>
      </c>
      <c r="K27" t="n">
        <v>0</v>
      </c>
      <c r="L27" t="n">
        <v>0</v>
      </c>
      <c r="M27" t="n">
        <v>12</v>
      </c>
      <c r="N27" t="n">
        <v>0</v>
      </c>
      <c r="O27" t="n">
        <v>-0.25</v>
      </c>
      <c r="P27" t="n">
        <v>28</v>
      </c>
      <c r="Q27" t="n">
        <v>12</v>
      </c>
      <c r="R27" t="s">
        <v>298</v>
      </c>
      <c r="S27" t="s">
        <v>298</v>
      </c>
      <c r="T27" t="n">
        <v>-0.125</v>
      </c>
    </row>
    <row r="28">
      <c r="A28" t="s">
        <v>32</v>
      </c>
      <c r="B28" t="n">
        <v>1.25</v>
      </c>
      <c r="C28" t="n">
        <v>1.25</v>
      </c>
      <c r="D28" t="n">
        <v>1.25</v>
      </c>
      <c r="E28" t="n">
        <v>-5.25</v>
      </c>
      <c r="F28" t="n">
        <v>-0.5</v>
      </c>
      <c r="G28" t="n">
        <v>11</v>
      </c>
      <c r="H28" t="n">
        <v>12</v>
      </c>
      <c r="I28" t="s">
        <v>298</v>
      </c>
      <c r="J28" t="n">
        <v>0</v>
      </c>
      <c r="K28" t="n">
        <v>0</v>
      </c>
      <c r="L28" t="n">
        <v>0</v>
      </c>
      <c r="M28" t="n">
        <v>12</v>
      </c>
      <c r="N28" t="n">
        <v>0.25</v>
      </c>
      <c r="O28" t="n">
        <v>0</v>
      </c>
      <c r="P28" t="n">
        <v>91</v>
      </c>
      <c r="Q28" t="n">
        <v>12</v>
      </c>
      <c r="R28" t="s">
        <v>298</v>
      </c>
      <c r="S28" t="s">
        <v>298</v>
      </c>
      <c r="T28" t="n">
        <v>0.25</v>
      </c>
    </row>
    <row r="29">
      <c r="A29" t="s">
        <v>32</v>
      </c>
      <c r="B29" t="n">
        <v>1.25</v>
      </c>
      <c r="C29" t="n">
        <v>1.6</v>
      </c>
      <c r="D29" t="n">
        <v>1.6</v>
      </c>
      <c r="E29" t="n">
        <v>-3.75</v>
      </c>
      <c r="F29" t="n">
        <v>-1</v>
      </c>
      <c r="G29" t="n">
        <v>159</v>
      </c>
      <c r="H29" t="n">
        <v>12</v>
      </c>
      <c r="I29" t="s">
        <v>298</v>
      </c>
      <c r="J29" t="n">
        <v>0</v>
      </c>
      <c r="K29" t="n">
        <v>0</v>
      </c>
      <c r="L29" t="n">
        <v>0</v>
      </c>
      <c r="M29" t="n">
        <v>12</v>
      </c>
      <c r="N29" t="n">
        <v>0.25</v>
      </c>
      <c r="O29" t="n">
        <v>0</v>
      </c>
      <c r="P29" t="n">
        <v>100</v>
      </c>
      <c r="Q29" t="n">
        <v>12</v>
      </c>
      <c r="R29" t="s">
        <v>299</v>
      </c>
      <c r="S29" t="s">
        <v>299</v>
      </c>
      <c r="T29" t="n">
        <v>0.25</v>
      </c>
    </row>
    <row r="30">
      <c r="A30" t="s">
        <v>32</v>
      </c>
      <c r="B30" t="n">
        <v>1</v>
      </c>
      <c r="C30" t="n">
        <v>1</v>
      </c>
      <c r="D30" t="n">
        <v>1</v>
      </c>
      <c r="E30" t="n">
        <v>-0.75</v>
      </c>
      <c r="F30" t="n">
        <v>-0.25</v>
      </c>
      <c r="G30" t="n">
        <v>55</v>
      </c>
      <c r="H30" t="n">
        <v>12</v>
      </c>
      <c r="I30" t="s">
        <v>297</v>
      </c>
      <c r="J30" t="n">
        <v>0</v>
      </c>
      <c r="K30" t="n">
        <v>0</v>
      </c>
      <c r="L30" t="n">
        <v>0</v>
      </c>
      <c r="M30" t="n">
        <v>12</v>
      </c>
      <c r="N30" t="n">
        <v>-0.25</v>
      </c>
      <c r="O30" t="n">
        <v>-0.25</v>
      </c>
      <c r="P30" t="n">
        <v>30</v>
      </c>
      <c r="Q30" t="n">
        <v>12</v>
      </c>
      <c r="R30" t="s">
        <v>297</v>
      </c>
      <c r="S30" t="s">
        <v>297</v>
      </c>
      <c r="T30" t="n">
        <v>-0.375</v>
      </c>
    </row>
    <row r="31">
      <c r="A31" t="s">
        <v>32</v>
      </c>
      <c r="B31" t="n">
        <v>0.8</v>
      </c>
      <c r="C31" t="n">
        <v>0.8</v>
      </c>
      <c r="D31" t="n">
        <v>0.8</v>
      </c>
      <c r="E31" t="n">
        <v>-3.25</v>
      </c>
      <c r="F31" t="n">
        <v>-1.5</v>
      </c>
      <c r="G31" t="n">
        <v>30</v>
      </c>
      <c r="H31" t="n">
        <v>12</v>
      </c>
      <c r="I31" t="s">
        <v>296</v>
      </c>
      <c r="J31" t="n">
        <v>0</v>
      </c>
      <c r="K31" t="n">
        <v>0</v>
      </c>
      <c r="L31" t="n">
        <v>0</v>
      </c>
      <c r="M31" t="n">
        <v>12</v>
      </c>
      <c r="N31" t="n">
        <v>0</v>
      </c>
      <c r="O31" t="n">
        <v>-0.5</v>
      </c>
      <c r="P31" t="n">
        <v>2</v>
      </c>
      <c r="Q31" t="n">
        <v>12</v>
      </c>
      <c r="R31" t="s">
        <v>296</v>
      </c>
      <c r="S31" t="s">
        <v>296</v>
      </c>
      <c r="T31" t="n">
        <v>-0.25</v>
      </c>
    </row>
    <row r="32">
      <c r="A32" t="s">
        <v>32</v>
      </c>
      <c r="B32" t="n">
        <v>0.8</v>
      </c>
      <c r="C32" t="n">
        <v>0.8</v>
      </c>
      <c r="D32" t="n">
        <v>0.8</v>
      </c>
      <c r="E32" t="n">
        <v>-3.25</v>
      </c>
      <c r="F32" t="n">
        <v>-1.25</v>
      </c>
      <c r="G32" t="n">
        <v>136</v>
      </c>
      <c r="H32" t="n">
        <v>12</v>
      </c>
      <c r="I32" t="s">
        <v>296</v>
      </c>
      <c r="J32" t="n">
        <v>0</v>
      </c>
      <c r="K32" t="n">
        <v>0</v>
      </c>
      <c r="L32" t="n">
        <v>0</v>
      </c>
      <c r="M32" t="n">
        <v>12</v>
      </c>
      <c r="N32" t="n">
        <v>0.25</v>
      </c>
      <c r="O32" t="n">
        <v>-0.5</v>
      </c>
      <c r="P32" t="n">
        <v>164</v>
      </c>
      <c r="Q32" t="n">
        <v>12</v>
      </c>
      <c r="R32" t="s">
        <v>296</v>
      </c>
      <c r="S32" t="s">
        <v>296</v>
      </c>
      <c r="T32" t="n">
        <v>0</v>
      </c>
    </row>
    <row r="33">
      <c r="A33" t="s">
        <v>32</v>
      </c>
      <c r="B33" t="n">
        <v>1</v>
      </c>
      <c r="C33" t="n">
        <v>1</v>
      </c>
      <c r="D33" t="n">
        <v>1</v>
      </c>
      <c r="E33" t="n">
        <v>-3.25</v>
      </c>
      <c r="F33" t="n">
        <v>-0.5</v>
      </c>
      <c r="G33" t="n">
        <v>8</v>
      </c>
      <c r="H33" t="n">
        <v>12</v>
      </c>
      <c r="I33" t="s">
        <v>297</v>
      </c>
      <c r="J33" t="n">
        <v>0</v>
      </c>
      <c r="K33" t="n">
        <v>0</v>
      </c>
      <c r="L33" t="n">
        <v>0</v>
      </c>
      <c r="M33" t="n">
        <v>12</v>
      </c>
      <c r="N33" t="n">
        <v>0.25</v>
      </c>
      <c r="O33" t="n">
        <v>-0.25</v>
      </c>
      <c r="P33" t="n">
        <v>12</v>
      </c>
      <c r="Q33" t="n">
        <v>12</v>
      </c>
      <c r="R33" t="s">
        <v>297</v>
      </c>
      <c r="S33" t="s">
        <v>297</v>
      </c>
      <c r="T33" t="n">
        <v>0.125</v>
      </c>
    </row>
    <row r="34">
      <c r="A34" t="s">
        <v>32</v>
      </c>
      <c r="B34" t="n">
        <v>1</v>
      </c>
      <c r="C34" t="n">
        <v>0.8</v>
      </c>
      <c r="D34" t="n">
        <v>1</v>
      </c>
      <c r="E34" t="n">
        <v>-3.25</v>
      </c>
      <c r="F34" t="n">
        <v>-0.5</v>
      </c>
      <c r="G34" t="n">
        <v>163</v>
      </c>
      <c r="H34" t="n">
        <v>12</v>
      </c>
      <c r="I34" t="s">
        <v>297</v>
      </c>
      <c r="J34" t="n">
        <v>0</v>
      </c>
      <c r="K34" t="n">
        <v>0</v>
      </c>
      <c r="L34" t="n">
        <v>0</v>
      </c>
      <c r="M34" t="n">
        <v>12</v>
      </c>
      <c r="N34" t="n">
        <v>0.75</v>
      </c>
      <c r="O34" t="n">
        <v>-0.25</v>
      </c>
      <c r="P34" t="n">
        <v>9</v>
      </c>
      <c r="Q34" t="n">
        <v>12</v>
      </c>
      <c r="R34" t="s">
        <v>297</v>
      </c>
      <c r="S34" t="s">
        <v>296</v>
      </c>
      <c r="T34" t="n">
        <v>0.625</v>
      </c>
    </row>
    <row r="35">
      <c r="A35" t="s">
        <v>32</v>
      </c>
      <c r="B35" t="n">
        <v>1.6</v>
      </c>
      <c r="C35" t="n">
        <v>1.6</v>
      </c>
      <c r="D35" t="n">
        <v>1.6</v>
      </c>
      <c r="E35" t="n">
        <v>-1</v>
      </c>
      <c r="F35" t="n">
        <v>-1</v>
      </c>
      <c r="G35" t="n">
        <v>70</v>
      </c>
      <c r="H35" t="n">
        <v>12</v>
      </c>
      <c r="I35" t="s">
        <v>299</v>
      </c>
      <c r="J35" t="n">
        <v>0</v>
      </c>
      <c r="K35" t="n">
        <v>0</v>
      </c>
      <c r="L35" t="n">
        <v>0</v>
      </c>
      <c r="M35" t="n">
        <v>12</v>
      </c>
      <c r="N35" t="n">
        <v>0.25</v>
      </c>
      <c r="O35" t="n">
        <v>-0.25</v>
      </c>
      <c r="P35" t="n">
        <v>30</v>
      </c>
      <c r="Q35" t="n">
        <v>12</v>
      </c>
      <c r="R35" t="s">
        <v>299</v>
      </c>
      <c r="S35" t="s">
        <v>299</v>
      </c>
      <c r="T35" t="n">
        <v>0.125</v>
      </c>
    </row>
    <row r="36">
      <c r="A36" t="s">
        <v>32</v>
      </c>
      <c r="B36" t="n">
        <v>1.25</v>
      </c>
      <c r="C36" t="n">
        <v>1</v>
      </c>
      <c r="D36" t="n">
        <v>1.6</v>
      </c>
      <c r="E36" t="n">
        <v>-1</v>
      </c>
      <c r="F36" t="n">
        <v>-1</v>
      </c>
      <c r="G36" t="n">
        <v>107</v>
      </c>
      <c r="H36" t="n">
        <v>12</v>
      </c>
      <c r="I36" t="s">
        <v>298</v>
      </c>
      <c r="J36" t="n">
        <v>-1</v>
      </c>
      <c r="K36" t="n">
        <v>0</v>
      </c>
      <c r="L36" t="n">
        <v>0</v>
      </c>
      <c r="M36" t="n">
        <v>12</v>
      </c>
      <c r="N36" t="n">
        <v>-0.75</v>
      </c>
      <c r="O36" t="n">
        <v>-0.25</v>
      </c>
      <c r="P36" t="n">
        <v>139</v>
      </c>
      <c r="Q36" t="n">
        <v>12</v>
      </c>
      <c r="R36" t="s">
        <v>299</v>
      </c>
      <c r="S36" t="s">
        <v>297</v>
      </c>
      <c r="T36" t="n">
        <v>-0.875</v>
      </c>
    </row>
    <row r="37">
      <c r="A37" t="s">
        <v>32</v>
      </c>
      <c r="B37" t="n">
        <v>1</v>
      </c>
      <c r="C37"/>
      <c r="D37"/>
      <c r="E37" t="n">
        <v>0.25</v>
      </c>
      <c r="F37" t="n">
        <v>-1.5</v>
      </c>
      <c r="G37" t="n">
        <v>42</v>
      </c>
      <c r="H37" t="n">
        <v>12</v>
      </c>
      <c r="I37" t="s">
        <v>297</v>
      </c>
      <c r="J37" t="n">
        <v>0</v>
      </c>
      <c r="K37" t="n">
        <v>0</v>
      </c>
      <c r="L37" t="n">
        <v>0</v>
      </c>
      <c r="M37" t="n">
        <v>12</v>
      </c>
      <c r="N37"/>
      <c r="O37"/>
      <c r="P37"/>
      <c r="Q37" t="n">
        <v>12</v>
      </c>
      <c r="R37" t="s">
        <v>109</v>
      </c>
      <c r="S37" t="s">
        <v>109</v>
      </c>
      <c r="T37"/>
    </row>
    <row r="38">
      <c r="A38" t="s">
        <v>32</v>
      </c>
      <c r="B38" t="n">
        <v>1.25</v>
      </c>
      <c r="C38" t="n">
        <v>1.25</v>
      </c>
      <c r="D38" t="n">
        <v>1.25</v>
      </c>
      <c r="E38" t="n">
        <v>-3</v>
      </c>
      <c r="F38" t="n">
        <v>-0.25</v>
      </c>
      <c r="G38" t="n">
        <v>148</v>
      </c>
      <c r="H38" t="n">
        <v>12</v>
      </c>
      <c r="I38" t="s">
        <v>298</v>
      </c>
      <c r="J38" t="n">
        <v>0</v>
      </c>
      <c r="K38" t="n">
        <v>0</v>
      </c>
      <c r="L38" t="n">
        <v>0</v>
      </c>
      <c r="M38" t="n">
        <v>12</v>
      </c>
      <c r="N38" t="n">
        <v>0.25</v>
      </c>
      <c r="O38" t="n">
        <v>-0.25</v>
      </c>
      <c r="P38" t="n">
        <v>87</v>
      </c>
      <c r="Q38" t="n">
        <v>12</v>
      </c>
      <c r="R38" t="s">
        <v>298</v>
      </c>
      <c r="S38" t="s">
        <v>298</v>
      </c>
      <c r="T38" t="n">
        <v>0.125</v>
      </c>
    </row>
    <row r="39">
      <c r="A39" t="s">
        <v>32</v>
      </c>
      <c r="B39" t="n">
        <v>1.25</v>
      </c>
      <c r="C39" t="n">
        <v>1.25</v>
      </c>
      <c r="D39" t="n">
        <v>1.25</v>
      </c>
      <c r="E39" t="n">
        <v>-1.25</v>
      </c>
      <c r="F39" t="n">
        <v>-0.5</v>
      </c>
      <c r="G39" t="n">
        <v>43</v>
      </c>
      <c r="H39" t="n">
        <v>12</v>
      </c>
      <c r="I39" t="s">
        <v>298</v>
      </c>
      <c r="J39" t="n">
        <v>0</v>
      </c>
      <c r="K39" t="n">
        <v>0</v>
      </c>
      <c r="L39" t="n">
        <v>0</v>
      </c>
      <c r="M39" t="n">
        <v>12</v>
      </c>
      <c r="N39" t="n">
        <v>0</v>
      </c>
      <c r="O39" t="n">
        <v>-0.25</v>
      </c>
      <c r="P39" t="n">
        <v>112</v>
      </c>
      <c r="Q39" t="n">
        <v>12</v>
      </c>
      <c r="R39" t="s">
        <v>298</v>
      </c>
      <c r="S39" t="s">
        <v>298</v>
      </c>
      <c r="T39" t="n">
        <v>-0.125</v>
      </c>
    </row>
    <row r="40">
      <c r="A40" t="s">
        <v>32</v>
      </c>
      <c r="B40" t="n">
        <v>1.25</v>
      </c>
      <c r="C40" t="n">
        <v>1.6</v>
      </c>
      <c r="D40" t="n">
        <v>1.6</v>
      </c>
      <c r="E40" t="n">
        <v>-0.75</v>
      </c>
      <c r="F40" t="n">
        <v>-1.5</v>
      </c>
      <c r="G40" t="n">
        <v>86</v>
      </c>
      <c r="H40" t="n">
        <v>12</v>
      </c>
      <c r="I40" t="s">
        <v>298</v>
      </c>
      <c r="J40" t="n">
        <v>0</v>
      </c>
      <c r="K40" t="n">
        <v>0</v>
      </c>
      <c r="L40" t="n">
        <v>0</v>
      </c>
      <c r="M40" t="n">
        <v>12</v>
      </c>
      <c r="N40" t="n">
        <v>0.5</v>
      </c>
      <c r="O40" t="n">
        <v>0</v>
      </c>
      <c r="P40" t="n">
        <v>56</v>
      </c>
      <c r="Q40" t="n">
        <v>12</v>
      </c>
      <c r="R40" t="s">
        <v>299</v>
      </c>
      <c r="S40" t="s">
        <v>299</v>
      </c>
      <c r="T40" t="n">
        <v>0.5</v>
      </c>
    </row>
    <row r="41">
      <c r="A41" t="s">
        <v>32</v>
      </c>
      <c r="B41" t="n">
        <v>1</v>
      </c>
      <c r="C41" t="n">
        <v>1</v>
      </c>
      <c r="D41" t="n">
        <v>1</v>
      </c>
      <c r="E41" t="n">
        <v>-2.25</v>
      </c>
      <c r="F41" t="n">
        <v>-2</v>
      </c>
      <c r="G41" t="n">
        <v>84</v>
      </c>
      <c r="H41" t="n">
        <v>12</v>
      </c>
      <c r="I41" t="s">
        <v>297</v>
      </c>
      <c r="J41" t="n">
        <v>0</v>
      </c>
      <c r="K41" t="n">
        <v>0</v>
      </c>
      <c r="L41" t="n">
        <v>0</v>
      </c>
      <c r="M41" t="n">
        <v>12</v>
      </c>
      <c r="N41" t="n">
        <v>0.25</v>
      </c>
      <c r="O41" t="n">
        <v>-0.5</v>
      </c>
      <c r="P41" t="n">
        <v>41</v>
      </c>
      <c r="Q41" t="n">
        <v>12</v>
      </c>
      <c r="R41" t="s">
        <v>297</v>
      </c>
      <c r="S41" t="s">
        <v>297</v>
      </c>
      <c r="T41" t="n">
        <v>0</v>
      </c>
    </row>
    <row r="42">
      <c r="A42" t="s">
        <v>32</v>
      </c>
      <c r="B42" t="n">
        <v>1.25</v>
      </c>
      <c r="C42" t="n">
        <v>1.25</v>
      </c>
      <c r="D42" t="n">
        <v>1.25</v>
      </c>
      <c r="E42" t="n">
        <v>-2.25</v>
      </c>
      <c r="F42" t="n">
        <v>-0.25</v>
      </c>
      <c r="G42" t="n">
        <v>6</v>
      </c>
      <c r="H42" t="n">
        <v>12</v>
      </c>
      <c r="I42" t="s">
        <v>298</v>
      </c>
      <c r="J42" t="n">
        <v>0</v>
      </c>
      <c r="K42" t="n">
        <v>0</v>
      </c>
      <c r="L42" t="n">
        <v>0</v>
      </c>
      <c r="M42" t="n">
        <v>12</v>
      </c>
      <c r="N42" t="n">
        <v>-0.25</v>
      </c>
      <c r="O42" t="n">
        <v>-0.25</v>
      </c>
      <c r="P42" t="n">
        <v>153</v>
      </c>
      <c r="Q42" t="n">
        <v>12</v>
      </c>
      <c r="R42" t="s">
        <v>298</v>
      </c>
      <c r="S42" t="s">
        <v>298</v>
      </c>
      <c r="T42" t="n">
        <v>-0.375</v>
      </c>
    </row>
    <row r="43">
      <c r="A43" t="s">
        <v>32</v>
      </c>
      <c r="B43" t="n">
        <v>1.25</v>
      </c>
      <c r="C43" t="n">
        <v>1.25</v>
      </c>
      <c r="D43" t="n">
        <v>1.25</v>
      </c>
      <c r="E43" t="n">
        <v>-1.25</v>
      </c>
      <c r="F43" t="n">
        <v>-0.75</v>
      </c>
      <c r="G43" t="n">
        <v>167</v>
      </c>
      <c r="H43" t="n">
        <v>12</v>
      </c>
      <c r="I43" t="s">
        <v>298</v>
      </c>
      <c r="J43" t="n">
        <v>0</v>
      </c>
      <c r="K43" t="n">
        <v>0</v>
      </c>
      <c r="L43" t="n">
        <v>0</v>
      </c>
      <c r="M43" t="n">
        <v>12</v>
      </c>
      <c r="N43" t="n">
        <v>0.25</v>
      </c>
      <c r="O43" t="n">
        <v>-0.25</v>
      </c>
      <c r="P43" t="n">
        <v>6</v>
      </c>
      <c r="Q43" t="n">
        <v>12</v>
      </c>
      <c r="R43" t="s">
        <v>298</v>
      </c>
      <c r="S43" t="s">
        <v>298</v>
      </c>
      <c r="T43" t="n">
        <v>0.125</v>
      </c>
    </row>
    <row r="44">
      <c r="A44" t="s">
        <v>32</v>
      </c>
      <c r="B44" t="n">
        <v>1</v>
      </c>
      <c r="C44" t="n">
        <v>1.25</v>
      </c>
      <c r="D44" t="n">
        <v>1.25</v>
      </c>
      <c r="E44" t="n">
        <v>-3.25</v>
      </c>
      <c r="F44" t="n">
        <v>-1.5</v>
      </c>
      <c r="G44" t="n">
        <v>34</v>
      </c>
      <c r="H44" t="n">
        <v>12</v>
      </c>
      <c r="I44" t="s">
        <v>297</v>
      </c>
      <c r="J44" t="n">
        <v>0</v>
      </c>
      <c r="K44" t="n">
        <v>0</v>
      </c>
      <c r="L44" t="n">
        <v>0</v>
      </c>
      <c r="M44" t="n">
        <v>12</v>
      </c>
      <c r="N44" t="n">
        <v>0</v>
      </c>
      <c r="O44" t="n">
        <v>-0.25</v>
      </c>
      <c r="P44" t="n">
        <v>41</v>
      </c>
      <c r="Q44" t="n">
        <v>12</v>
      </c>
      <c r="R44" t="s">
        <v>298</v>
      </c>
      <c r="S44" t="s">
        <v>298</v>
      </c>
      <c r="T44" t="n">
        <v>-0.125</v>
      </c>
    </row>
    <row r="45">
      <c r="A45" t="s">
        <v>32</v>
      </c>
      <c r="B45" t="n">
        <v>1</v>
      </c>
      <c r="C45" t="n">
        <v>1</v>
      </c>
      <c r="D45" t="n">
        <v>1</v>
      </c>
      <c r="E45" t="n">
        <v>-3.75</v>
      </c>
      <c r="F45" t="n">
        <v>-0.5</v>
      </c>
      <c r="G45" t="n">
        <v>145</v>
      </c>
      <c r="H45" t="n">
        <v>12</v>
      </c>
      <c r="I45" t="s">
        <v>297</v>
      </c>
      <c r="J45" t="n">
        <v>0</v>
      </c>
      <c r="K45" t="n">
        <v>0</v>
      </c>
      <c r="L45" t="n">
        <v>0</v>
      </c>
      <c r="M45" t="n">
        <v>12</v>
      </c>
      <c r="N45" t="n">
        <v>0.25</v>
      </c>
      <c r="O45" t="n">
        <v>-0.25</v>
      </c>
      <c r="P45" t="n">
        <v>107</v>
      </c>
      <c r="Q45" t="n">
        <v>12</v>
      </c>
      <c r="R45" t="s">
        <v>297</v>
      </c>
      <c r="S45" t="s">
        <v>297</v>
      </c>
      <c r="T45" t="n">
        <v>0.125</v>
      </c>
    </row>
    <row r="46">
      <c r="A46" t="s">
        <v>32</v>
      </c>
      <c r="B46" t="n">
        <v>1</v>
      </c>
      <c r="C46" t="n">
        <v>1</v>
      </c>
      <c r="D46" t="n">
        <v>1</v>
      </c>
      <c r="E46" t="n">
        <v>-4.75</v>
      </c>
      <c r="F46" t="n">
        <v>-1.25</v>
      </c>
      <c r="G46" t="n">
        <v>2</v>
      </c>
      <c r="H46" t="n">
        <v>12</v>
      </c>
      <c r="I46" t="s">
        <v>297</v>
      </c>
      <c r="J46" t="n">
        <v>0</v>
      </c>
      <c r="K46" t="n">
        <v>0</v>
      </c>
      <c r="L46" t="n">
        <v>0</v>
      </c>
      <c r="M46" t="n">
        <v>12</v>
      </c>
      <c r="N46" t="n">
        <v>0</v>
      </c>
      <c r="O46" t="n">
        <v>-0.25</v>
      </c>
      <c r="P46" t="n">
        <v>105</v>
      </c>
      <c r="Q46" t="n">
        <v>12</v>
      </c>
      <c r="R46" t="s">
        <v>297</v>
      </c>
      <c r="S46" t="s">
        <v>297</v>
      </c>
      <c r="T46" t="n">
        <v>-0.125</v>
      </c>
    </row>
    <row r="47">
      <c r="A47" t="s">
        <v>32</v>
      </c>
      <c r="B47" t="n">
        <v>1</v>
      </c>
      <c r="C47" t="n">
        <v>0.8</v>
      </c>
      <c r="D47" t="n">
        <v>1</v>
      </c>
      <c r="E47" t="n">
        <v>-2.25</v>
      </c>
      <c r="F47" t="n">
        <v>-2.25</v>
      </c>
      <c r="G47" t="n">
        <v>3</v>
      </c>
      <c r="H47" t="n">
        <v>12</v>
      </c>
      <c r="I47" t="s">
        <v>297</v>
      </c>
      <c r="J47" t="n">
        <v>0</v>
      </c>
      <c r="K47" t="n">
        <v>0</v>
      </c>
      <c r="L47" t="n">
        <v>0</v>
      </c>
      <c r="M47" t="n">
        <v>12</v>
      </c>
      <c r="N47" t="n">
        <v>1</v>
      </c>
      <c r="O47" t="n">
        <v>-0.75</v>
      </c>
      <c r="P47" t="n">
        <v>170</v>
      </c>
      <c r="Q47" t="n">
        <v>12</v>
      </c>
      <c r="R47" t="s">
        <v>297</v>
      </c>
      <c r="S47" t="s">
        <v>296</v>
      </c>
      <c r="T47" t="n">
        <v>0.625</v>
      </c>
    </row>
    <row r="48">
      <c r="A48" t="s">
        <v>32</v>
      </c>
      <c r="B48" t="n">
        <v>1</v>
      </c>
      <c r="C48" t="n">
        <v>0.63</v>
      </c>
      <c r="D48" t="n">
        <v>0.8</v>
      </c>
      <c r="E48" t="n">
        <v>-0.25</v>
      </c>
      <c r="F48" t="n">
        <v>-2</v>
      </c>
      <c r="G48" t="n">
        <v>178</v>
      </c>
      <c r="H48" t="n">
        <v>12</v>
      </c>
      <c r="I48" t="s">
        <v>297</v>
      </c>
      <c r="J48" t="n">
        <v>0</v>
      </c>
      <c r="K48" t="n">
        <v>0</v>
      </c>
      <c r="L48" t="n">
        <v>0</v>
      </c>
      <c r="M48" t="n">
        <v>12</v>
      </c>
      <c r="N48" t="n">
        <v>1.5</v>
      </c>
      <c r="O48" t="n">
        <v>-0.75</v>
      </c>
      <c r="P48" t="n">
        <v>147</v>
      </c>
      <c r="Q48" t="n">
        <v>12</v>
      </c>
      <c r="R48" t="s">
        <v>296</v>
      </c>
      <c r="S48" t="s">
        <v>301</v>
      </c>
      <c r="T48" t="n">
        <v>1.125</v>
      </c>
    </row>
    <row r="49">
      <c r="A49" t="s">
        <v>32</v>
      </c>
      <c r="B49" t="n">
        <v>0.8</v>
      </c>
      <c r="C49" t="n">
        <v>0.8</v>
      </c>
      <c r="D49" t="n">
        <v>0.8</v>
      </c>
      <c r="E49" t="n">
        <v>-1</v>
      </c>
      <c r="F49" t="n">
        <v>-1.25</v>
      </c>
      <c r="G49" t="n">
        <v>171</v>
      </c>
      <c r="H49" t="n">
        <v>12</v>
      </c>
      <c r="I49" t="s">
        <v>296</v>
      </c>
      <c r="J49" t="n">
        <v>0</v>
      </c>
      <c r="K49" t="n">
        <v>0</v>
      </c>
      <c r="L49" t="n">
        <v>0</v>
      </c>
      <c r="M49" t="n">
        <v>12</v>
      </c>
      <c r="N49" t="n">
        <v>0.75</v>
      </c>
      <c r="O49" t="n">
        <v>-0.5</v>
      </c>
      <c r="P49" t="n">
        <v>49</v>
      </c>
      <c r="Q49" t="n">
        <v>12</v>
      </c>
      <c r="R49" t="s">
        <v>296</v>
      </c>
      <c r="S49" t="s">
        <v>296</v>
      </c>
      <c r="T49" t="n">
        <v>0.5</v>
      </c>
    </row>
    <row r="50">
      <c r="A50" t="s">
        <v>32</v>
      </c>
      <c r="B50" t="n">
        <v>1</v>
      </c>
      <c r="C50" t="n">
        <v>1</v>
      </c>
      <c r="D50" t="n">
        <v>1</v>
      </c>
      <c r="E50" t="n">
        <v>-2.25</v>
      </c>
      <c r="F50" t="n">
        <v>-0.25</v>
      </c>
      <c r="G50" t="n">
        <v>29</v>
      </c>
      <c r="H50" t="n">
        <v>12</v>
      </c>
      <c r="I50" t="s">
        <v>297</v>
      </c>
      <c r="J50" t="n">
        <v>0</v>
      </c>
      <c r="K50" t="n">
        <v>0</v>
      </c>
      <c r="L50" t="n">
        <v>0</v>
      </c>
      <c r="M50" t="n">
        <v>12</v>
      </c>
      <c r="N50" t="n">
        <v>-0.25</v>
      </c>
      <c r="O50" t="n">
        <v>-0.25</v>
      </c>
      <c r="P50" t="n">
        <v>43</v>
      </c>
      <c r="Q50" t="n">
        <v>12</v>
      </c>
      <c r="R50" t="s">
        <v>297</v>
      </c>
      <c r="S50" t="s">
        <v>297</v>
      </c>
      <c r="T50" t="n">
        <v>-0.375</v>
      </c>
    </row>
    <row r="51">
      <c r="A51" t="s">
        <v>32</v>
      </c>
      <c r="B51" t="n">
        <v>1</v>
      </c>
      <c r="C51" t="n">
        <v>1</v>
      </c>
      <c r="D51" t="n">
        <v>1</v>
      </c>
      <c r="E51" t="n">
        <v>-1.5</v>
      </c>
      <c r="F51" t="n">
        <v>-0.5</v>
      </c>
      <c r="G51" t="n">
        <v>150</v>
      </c>
      <c r="H51" t="n">
        <v>12</v>
      </c>
      <c r="I51" t="s">
        <v>297</v>
      </c>
      <c r="J51" t="n">
        <v>0</v>
      </c>
      <c r="K51" t="n">
        <v>0</v>
      </c>
      <c r="L51" t="n">
        <v>0</v>
      </c>
      <c r="M51" t="n">
        <v>12</v>
      </c>
      <c r="N51" t="n">
        <v>-0.25</v>
      </c>
      <c r="O51" t="n">
        <v>-0.25</v>
      </c>
      <c r="P51" t="n">
        <v>129</v>
      </c>
      <c r="Q51" t="n">
        <v>12</v>
      </c>
      <c r="R51" t="s">
        <v>297</v>
      </c>
      <c r="S51" t="s">
        <v>297</v>
      </c>
      <c r="T51" t="n">
        <v>-0.375</v>
      </c>
    </row>
    <row r="52">
      <c r="A52" t="s">
        <v>32</v>
      </c>
      <c r="B52" t="n">
        <v>1</v>
      </c>
      <c r="C52" t="n">
        <v>1</v>
      </c>
      <c r="D52" t="n">
        <v>1</v>
      </c>
      <c r="E52" t="n">
        <v>-2.75</v>
      </c>
      <c r="F52" t="n">
        <v>-0.5</v>
      </c>
      <c r="G52" t="n">
        <v>72</v>
      </c>
      <c r="H52" t="n">
        <v>12</v>
      </c>
      <c r="I52" t="s">
        <v>297</v>
      </c>
      <c r="J52" t="n">
        <v>0</v>
      </c>
      <c r="K52" t="n">
        <v>0</v>
      </c>
      <c r="L52" t="n">
        <v>0</v>
      </c>
      <c r="M52" t="n">
        <v>12</v>
      </c>
      <c r="N52" t="n">
        <v>0.5</v>
      </c>
      <c r="O52" t="n">
        <v>-0.25</v>
      </c>
      <c r="P52" t="n">
        <v>173</v>
      </c>
      <c r="Q52" t="n">
        <v>12</v>
      </c>
      <c r="R52" t="s">
        <v>297</v>
      </c>
      <c r="S52" t="s">
        <v>297</v>
      </c>
      <c r="T52" t="n">
        <v>0.375</v>
      </c>
    </row>
    <row r="53">
      <c r="A53" t="s">
        <v>32</v>
      </c>
      <c r="B53" t="n">
        <v>1</v>
      </c>
      <c r="C53" t="n">
        <v>1</v>
      </c>
      <c r="D53" t="n">
        <v>1</v>
      </c>
      <c r="E53" t="n">
        <v>-3.75</v>
      </c>
      <c r="F53" t="n">
        <v>-0.75</v>
      </c>
      <c r="G53" t="n">
        <v>163</v>
      </c>
      <c r="H53" t="n">
        <v>12</v>
      </c>
      <c r="I53" t="s">
        <v>297</v>
      </c>
      <c r="J53" t="n">
        <v>0</v>
      </c>
      <c r="K53" t="n">
        <v>0</v>
      </c>
      <c r="L53" t="n">
        <v>0</v>
      </c>
      <c r="M53" t="n">
        <v>12</v>
      </c>
      <c r="N53" t="n">
        <v>0.25</v>
      </c>
      <c r="O53" t="n">
        <v>-0.25</v>
      </c>
      <c r="P53" t="n">
        <v>75</v>
      </c>
      <c r="Q53" t="n">
        <v>12</v>
      </c>
      <c r="R53" t="s">
        <v>297</v>
      </c>
      <c r="S53" t="s">
        <v>297</v>
      </c>
      <c r="T53" t="n">
        <v>0.125</v>
      </c>
    </row>
    <row r="54">
      <c r="A54" t="s">
        <v>32</v>
      </c>
      <c r="B54" t="n">
        <v>0.8</v>
      </c>
      <c r="C54" t="n">
        <v>1</v>
      </c>
      <c r="D54" t="n">
        <v>1</v>
      </c>
      <c r="E54" t="n">
        <v>-4.25</v>
      </c>
      <c r="F54" t="n">
        <v>-0.25</v>
      </c>
      <c r="G54" t="n">
        <v>15</v>
      </c>
      <c r="H54" t="n">
        <v>12</v>
      </c>
      <c r="I54" t="s">
        <v>296</v>
      </c>
      <c r="J54" t="n">
        <v>0</v>
      </c>
      <c r="K54" t="n">
        <v>0</v>
      </c>
      <c r="L54" t="n">
        <v>0</v>
      </c>
      <c r="M54" t="n">
        <v>12</v>
      </c>
      <c r="N54" t="n">
        <v>0.5</v>
      </c>
      <c r="O54" t="n">
        <v>-0.25</v>
      </c>
      <c r="P54" t="n">
        <v>97</v>
      </c>
      <c r="Q54" t="n">
        <v>12</v>
      </c>
      <c r="R54" t="s">
        <v>297</v>
      </c>
      <c r="S54" t="s">
        <v>297</v>
      </c>
      <c r="T54" t="n">
        <v>0.375</v>
      </c>
    </row>
    <row r="55">
      <c r="A55" t="s">
        <v>32</v>
      </c>
      <c r="B55" t="n">
        <v>1</v>
      </c>
      <c r="C55" t="n">
        <v>1</v>
      </c>
      <c r="D55" t="n">
        <v>1</v>
      </c>
      <c r="E55" t="n">
        <v>-3.25</v>
      </c>
      <c r="F55" t="n">
        <v>-1.75</v>
      </c>
      <c r="G55" t="n">
        <v>180</v>
      </c>
      <c r="H55" t="n">
        <v>12</v>
      </c>
      <c r="I55" t="s">
        <v>297</v>
      </c>
      <c r="J55" t="n">
        <v>0</v>
      </c>
      <c r="K55" t="n">
        <v>0</v>
      </c>
      <c r="L55" t="n">
        <v>0</v>
      </c>
      <c r="M55" t="n">
        <v>12</v>
      </c>
      <c r="N55" t="n">
        <v>0.25</v>
      </c>
      <c r="O55" t="n">
        <v>0</v>
      </c>
      <c r="P55" t="n">
        <v>114</v>
      </c>
      <c r="Q55" t="n">
        <v>12</v>
      </c>
      <c r="R55" t="s">
        <v>297</v>
      </c>
      <c r="S55" t="s">
        <v>297</v>
      </c>
      <c r="T55" t="n">
        <v>0.25</v>
      </c>
    </row>
    <row r="56">
      <c r="A56" t="s">
        <v>32</v>
      </c>
      <c r="B56" t="n">
        <v>1</v>
      </c>
      <c r="C56" t="n">
        <v>1</v>
      </c>
      <c r="D56" t="n">
        <v>1</v>
      </c>
      <c r="E56" t="n">
        <v>-3.5</v>
      </c>
      <c r="F56" t="n">
        <v>-0.75</v>
      </c>
      <c r="G56" t="n">
        <v>174</v>
      </c>
      <c r="H56" t="n">
        <v>12</v>
      </c>
      <c r="I56" t="s">
        <v>297</v>
      </c>
      <c r="J56" t="n">
        <v>0</v>
      </c>
      <c r="K56" t="n">
        <v>0</v>
      </c>
      <c r="L56" t="n">
        <v>0</v>
      </c>
      <c r="M56" t="n">
        <v>12</v>
      </c>
      <c r="N56" t="n">
        <v>0</v>
      </c>
      <c r="O56" t="n">
        <v>-0.25</v>
      </c>
      <c r="P56" t="n">
        <v>35</v>
      </c>
      <c r="Q56" t="n">
        <v>12</v>
      </c>
      <c r="R56" t="s">
        <v>297</v>
      </c>
      <c r="S56" t="s">
        <v>297</v>
      </c>
      <c r="T56" t="n">
        <v>-0.125</v>
      </c>
    </row>
    <row r="57">
      <c r="A57" t="s">
        <v>32</v>
      </c>
      <c r="B57" t="n">
        <v>1</v>
      </c>
      <c r="C57" t="n">
        <v>1</v>
      </c>
      <c r="D57" t="n">
        <v>1</v>
      </c>
      <c r="E57" t="n">
        <v>-1.25</v>
      </c>
      <c r="F57" t="n">
        <v>-1.25</v>
      </c>
      <c r="G57" t="n">
        <v>105</v>
      </c>
      <c r="H57" t="n">
        <v>12</v>
      </c>
      <c r="I57" t="s">
        <v>297</v>
      </c>
      <c r="J57" t="n">
        <v>0</v>
      </c>
      <c r="K57" t="n">
        <v>0</v>
      </c>
      <c r="L57" t="n">
        <v>0</v>
      </c>
      <c r="M57" t="n">
        <v>12</v>
      </c>
      <c r="N57" t="n">
        <v>1</v>
      </c>
      <c r="O57" t="n">
        <v>-0.25</v>
      </c>
      <c r="P57" t="n">
        <v>95</v>
      </c>
      <c r="Q57" t="n">
        <v>12</v>
      </c>
      <c r="R57" t="s">
        <v>297</v>
      </c>
      <c r="S57" t="s">
        <v>297</v>
      </c>
      <c r="T57" t="n">
        <v>0.875</v>
      </c>
    </row>
    <row r="58">
      <c r="A58" t="s">
        <v>32</v>
      </c>
      <c r="B58" t="n">
        <v>1.25</v>
      </c>
      <c r="C58" t="n">
        <v>1.25</v>
      </c>
      <c r="D58" t="n">
        <v>1.25</v>
      </c>
      <c r="E58" t="n">
        <v>-0.5</v>
      </c>
      <c r="F58" t="n">
        <v>-2.25</v>
      </c>
      <c r="G58" t="n">
        <v>82</v>
      </c>
      <c r="H58" t="n">
        <v>12</v>
      </c>
      <c r="I58" t="s">
        <v>298</v>
      </c>
      <c r="J58" t="n">
        <v>0</v>
      </c>
      <c r="K58" t="n">
        <v>0</v>
      </c>
      <c r="L58" t="n">
        <v>0</v>
      </c>
      <c r="M58" t="n">
        <v>12</v>
      </c>
      <c r="N58" t="n">
        <v>1</v>
      </c>
      <c r="O58" t="n">
        <v>-0.25</v>
      </c>
      <c r="P58" t="n">
        <v>75</v>
      </c>
      <c r="Q58" t="n">
        <v>12</v>
      </c>
      <c r="R58" t="s">
        <v>298</v>
      </c>
      <c r="S58" t="s">
        <v>298</v>
      </c>
      <c r="T58" t="n">
        <v>0.875</v>
      </c>
    </row>
    <row r="59">
      <c r="A59" t="s">
        <v>32</v>
      </c>
      <c r="B59" t="n">
        <v>1</v>
      </c>
      <c r="C59" t="n">
        <v>1</v>
      </c>
      <c r="D59" t="n">
        <v>1</v>
      </c>
      <c r="E59" t="n">
        <v>-3</v>
      </c>
      <c r="F59" t="n">
        <v>-1.25</v>
      </c>
      <c r="G59" t="n">
        <v>42</v>
      </c>
      <c r="H59" t="n">
        <v>12</v>
      </c>
      <c r="I59" t="s">
        <v>297</v>
      </c>
      <c r="J59" t="n">
        <v>0</v>
      </c>
      <c r="K59" t="n">
        <v>0</v>
      </c>
      <c r="L59" t="n">
        <v>0</v>
      </c>
      <c r="M59" t="n">
        <v>12</v>
      </c>
      <c r="N59" t="n">
        <v>0.75</v>
      </c>
      <c r="O59" t="n">
        <v>-0.5</v>
      </c>
      <c r="P59" t="n">
        <v>5</v>
      </c>
      <c r="Q59" t="n">
        <v>12</v>
      </c>
      <c r="R59" t="s">
        <v>297</v>
      </c>
      <c r="S59" t="s">
        <v>297</v>
      </c>
      <c r="T59" t="n">
        <v>0.5</v>
      </c>
    </row>
    <row r="60">
      <c r="A60" t="s">
        <v>32</v>
      </c>
      <c r="B60" t="n">
        <v>0.8</v>
      </c>
      <c r="C60" t="n">
        <v>0.63</v>
      </c>
      <c r="D60" t="n">
        <v>1</v>
      </c>
      <c r="E60" t="n">
        <v>-5</v>
      </c>
      <c r="F60" t="n">
        <v>-0.5</v>
      </c>
      <c r="G60" t="n">
        <v>45</v>
      </c>
      <c r="H60" t="n">
        <v>12</v>
      </c>
      <c r="I60" t="s">
        <v>296</v>
      </c>
      <c r="J60" t="n">
        <v>0</v>
      </c>
      <c r="K60" t="n">
        <v>0</v>
      </c>
      <c r="L60" t="n">
        <v>0</v>
      </c>
      <c r="M60" t="n">
        <v>12</v>
      </c>
      <c r="N60" t="n">
        <v>-0.75</v>
      </c>
      <c r="O60" t="n">
        <v>-0.25</v>
      </c>
      <c r="P60" t="n">
        <v>149</v>
      </c>
      <c r="Q60" t="n">
        <v>12</v>
      </c>
      <c r="R60" t="s">
        <v>297</v>
      </c>
      <c r="S60" t="s">
        <v>301</v>
      </c>
      <c r="T60" t="n">
        <v>-0.875</v>
      </c>
    </row>
    <row r="61">
      <c r="A61" t="s">
        <v>32</v>
      </c>
      <c r="B61" t="n">
        <v>0.8</v>
      </c>
      <c r="C61" t="n">
        <v>1.25</v>
      </c>
      <c r="D61" t="n">
        <v>1.25</v>
      </c>
      <c r="E61" t="n">
        <v>-5.75</v>
      </c>
      <c r="F61" t="n">
        <v>-0.5</v>
      </c>
      <c r="G61" t="n">
        <v>139</v>
      </c>
      <c r="H61" t="n">
        <v>12</v>
      </c>
      <c r="I61" t="s">
        <v>296</v>
      </c>
      <c r="J61" t="n">
        <v>0</v>
      </c>
      <c r="K61" t="n">
        <v>0</v>
      </c>
      <c r="L61" t="n">
        <v>0</v>
      </c>
      <c r="M61" t="n">
        <v>12</v>
      </c>
      <c r="N61" t="n">
        <v>-0.25</v>
      </c>
      <c r="O61" t="n">
        <v>-0.25</v>
      </c>
      <c r="P61" t="n">
        <v>17</v>
      </c>
      <c r="Q61" t="n">
        <v>12</v>
      </c>
      <c r="R61" t="s">
        <v>298</v>
      </c>
      <c r="S61" t="s">
        <v>298</v>
      </c>
      <c r="T61" t="n">
        <v>-0.375</v>
      </c>
    </row>
    <row r="62">
      <c r="A62" t="s">
        <v>32</v>
      </c>
      <c r="B62" t="n">
        <v>1.25</v>
      </c>
      <c r="C62" t="n">
        <v>1.25</v>
      </c>
      <c r="D62" t="n">
        <v>1.25</v>
      </c>
      <c r="E62" t="n">
        <v>-2.25</v>
      </c>
      <c r="F62" t="n">
        <v>-0.25</v>
      </c>
      <c r="G62" t="n">
        <v>176</v>
      </c>
      <c r="H62" t="n">
        <v>12</v>
      </c>
      <c r="I62" t="s">
        <v>298</v>
      </c>
      <c r="J62" t="n">
        <v>0</v>
      </c>
      <c r="K62" t="n">
        <v>0</v>
      </c>
      <c r="L62" t="n">
        <v>0</v>
      </c>
      <c r="M62" t="n">
        <v>12</v>
      </c>
      <c r="N62" t="n">
        <v>-0.25</v>
      </c>
      <c r="O62" t="n">
        <v>0</v>
      </c>
      <c r="P62" t="n">
        <v>108</v>
      </c>
      <c r="Q62" t="n">
        <v>12</v>
      </c>
      <c r="R62" t="s">
        <v>298</v>
      </c>
      <c r="S62" t="s">
        <v>298</v>
      </c>
      <c r="T62" t="n">
        <v>-0.25</v>
      </c>
    </row>
    <row r="63">
      <c r="A63" t="s">
        <v>32</v>
      </c>
      <c r="B63" t="n">
        <v>1</v>
      </c>
      <c r="C63" t="n">
        <v>1</v>
      </c>
      <c r="D63" t="n">
        <v>1</v>
      </c>
      <c r="E63" t="n">
        <v>-1.75</v>
      </c>
      <c r="F63" t="n">
        <v>-0.25</v>
      </c>
      <c r="G63" t="n">
        <v>129</v>
      </c>
      <c r="H63" t="n">
        <v>12</v>
      </c>
      <c r="I63" t="s">
        <v>297</v>
      </c>
      <c r="J63" t="n">
        <v>0</v>
      </c>
      <c r="K63" t="n">
        <v>0</v>
      </c>
      <c r="L63" t="n">
        <v>0</v>
      </c>
      <c r="M63" t="n">
        <v>12</v>
      </c>
      <c r="N63" t="n">
        <v>0.25</v>
      </c>
      <c r="O63" t="n">
        <v>0</v>
      </c>
      <c r="P63" t="n">
        <v>77</v>
      </c>
      <c r="Q63" t="n">
        <v>12</v>
      </c>
      <c r="R63" t="s">
        <v>297</v>
      </c>
      <c r="S63" t="s">
        <v>297</v>
      </c>
      <c r="T63" t="n">
        <v>0.25</v>
      </c>
    </row>
    <row r="64">
      <c r="A64" t="s">
        <v>32</v>
      </c>
      <c r="B64" t="n">
        <v>1.25</v>
      </c>
      <c r="C64" t="n">
        <v>1.25</v>
      </c>
      <c r="D64" t="n">
        <v>1.25</v>
      </c>
      <c r="E64" t="n">
        <v>-1.5</v>
      </c>
      <c r="F64" t="n">
        <v>-0.75</v>
      </c>
      <c r="G64" t="n">
        <v>49</v>
      </c>
      <c r="H64" t="n">
        <v>12</v>
      </c>
      <c r="I64" t="s">
        <v>298</v>
      </c>
      <c r="J64" t="n">
        <v>0</v>
      </c>
      <c r="K64" t="n">
        <v>0</v>
      </c>
      <c r="L64" t="n">
        <v>0</v>
      </c>
      <c r="M64" t="n">
        <v>12</v>
      </c>
      <c r="N64" t="n">
        <v>0.25</v>
      </c>
      <c r="O64" t="n">
        <v>-0.25</v>
      </c>
      <c r="P64" t="n">
        <v>87</v>
      </c>
      <c r="Q64" t="n">
        <v>12</v>
      </c>
      <c r="R64" t="s">
        <v>298</v>
      </c>
      <c r="S64" t="s">
        <v>298</v>
      </c>
      <c r="T64" t="n">
        <v>0.125</v>
      </c>
    </row>
    <row r="65">
      <c r="A65" t="s">
        <v>32</v>
      </c>
      <c r="B65" t="n">
        <v>1.25</v>
      </c>
      <c r="C65" t="n">
        <v>1.6</v>
      </c>
      <c r="D65" t="n">
        <v>1.6</v>
      </c>
      <c r="E65" t="n">
        <v>-4.25</v>
      </c>
      <c r="F65" t="n">
        <v>-1</v>
      </c>
      <c r="G65" t="n">
        <v>9</v>
      </c>
      <c r="H65" t="n">
        <v>12</v>
      </c>
      <c r="I65" t="s">
        <v>298</v>
      </c>
      <c r="J65" t="n">
        <v>0</v>
      </c>
      <c r="K65" t="n">
        <v>0</v>
      </c>
      <c r="L65" t="n">
        <v>0</v>
      </c>
      <c r="M65" t="n">
        <v>12</v>
      </c>
      <c r="N65" t="n">
        <v>0.25</v>
      </c>
      <c r="O65" t="n">
        <v>-0.25</v>
      </c>
      <c r="P65" t="n">
        <v>165</v>
      </c>
      <c r="Q65" t="n">
        <v>12</v>
      </c>
      <c r="R65" t="s">
        <v>299</v>
      </c>
      <c r="S65" t="s">
        <v>299</v>
      </c>
      <c r="T65" t="n">
        <v>0.125</v>
      </c>
    </row>
    <row r="66">
      <c r="A66" t="s">
        <v>32</v>
      </c>
      <c r="B66" t="n">
        <v>1.6</v>
      </c>
      <c r="C66" t="n">
        <v>1.6</v>
      </c>
      <c r="D66" t="n">
        <v>1.6</v>
      </c>
      <c r="E66" t="n">
        <v>-4</v>
      </c>
      <c r="F66" t="n">
        <v>-1</v>
      </c>
      <c r="G66" t="n">
        <v>176</v>
      </c>
      <c r="H66" t="n">
        <v>12</v>
      </c>
      <c r="I66" t="s">
        <v>299</v>
      </c>
      <c r="J66" t="n">
        <v>0</v>
      </c>
      <c r="K66" t="n">
        <v>0</v>
      </c>
      <c r="L66" t="n">
        <v>0</v>
      </c>
      <c r="M66" t="n">
        <v>12</v>
      </c>
      <c r="N66" t="n">
        <v>0.5</v>
      </c>
      <c r="O66" t="n">
        <v>0</v>
      </c>
      <c r="P66" t="n">
        <v>69</v>
      </c>
      <c r="Q66" t="n">
        <v>12</v>
      </c>
      <c r="R66" t="s">
        <v>299</v>
      </c>
      <c r="S66" t="s">
        <v>299</v>
      </c>
      <c r="T66" t="n">
        <v>0.5</v>
      </c>
    </row>
    <row r="67">
      <c r="A67" t="s">
        <v>32</v>
      </c>
      <c r="B67" t="n">
        <v>1.25</v>
      </c>
      <c r="C67" t="n">
        <v>1.25</v>
      </c>
      <c r="D67" t="n">
        <v>1.25</v>
      </c>
      <c r="E67" t="n">
        <v>-2.75</v>
      </c>
      <c r="F67" t="n">
        <v>-0.5</v>
      </c>
      <c r="G67" t="n">
        <v>36</v>
      </c>
      <c r="H67" t="n">
        <v>12</v>
      </c>
      <c r="I67" t="s">
        <v>298</v>
      </c>
      <c r="J67" t="n">
        <v>0</v>
      </c>
      <c r="K67" t="n">
        <v>0</v>
      </c>
      <c r="L67" t="n">
        <v>0</v>
      </c>
      <c r="M67" t="n">
        <v>12</v>
      </c>
      <c r="N67" t="n">
        <v>1</v>
      </c>
      <c r="O67" t="n">
        <v>-0.25</v>
      </c>
      <c r="P67" t="n">
        <v>156</v>
      </c>
      <c r="Q67" t="n">
        <v>12</v>
      </c>
      <c r="R67" t="s">
        <v>298</v>
      </c>
      <c r="S67" t="s">
        <v>298</v>
      </c>
      <c r="T67" t="n">
        <v>0.875</v>
      </c>
    </row>
    <row r="68">
      <c r="A68" t="s">
        <v>32</v>
      </c>
      <c r="B68" t="n">
        <v>1.25</v>
      </c>
      <c r="C68" t="n">
        <v>1.6</v>
      </c>
      <c r="D68" t="n">
        <v>1.6</v>
      </c>
      <c r="E68" t="n">
        <v>-2</v>
      </c>
      <c r="F68" t="n">
        <v>-0.5</v>
      </c>
      <c r="G68" t="n">
        <v>156</v>
      </c>
      <c r="H68" t="n">
        <v>12</v>
      </c>
      <c r="I68" t="s">
        <v>298</v>
      </c>
      <c r="J68" t="n">
        <v>0</v>
      </c>
      <c r="K68" t="n">
        <v>0</v>
      </c>
      <c r="L68" t="n">
        <v>0</v>
      </c>
      <c r="M68" t="n">
        <v>12</v>
      </c>
      <c r="N68" t="n">
        <v>0.5</v>
      </c>
      <c r="O68" t="n">
        <v>0</v>
      </c>
      <c r="P68" t="n">
        <v>41</v>
      </c>
      <c r="Q68" t="n">
        <v>12</v>
      </c>
      <c r="R68" t="s">
        <v>299</v>
      </c>
      <c r="S68" t="s">
        <v>299</v>
      </c>
      <c r="T68" t="n">
        <v>0.5</v>
      </c>
    </row>
    <row r="69">
      <c r="A69" t="s">
        <v>32</v>
      </c>
      <c r="B69" t="n">
        <v>1</v>
      </c>
      <c r="C69" t="n">
        <v>0.8</v>
      </c>
      <c r="D69" t="n">
        <v>0.8</v>
      </c>
      <c r="E69" t="n">
        <v>-0.75</v>
      </c>
      <c r="F69" t="n">
        <v>-0.5</v>
      </c>
      <c r="G69" t="n">
        <v>171</v>
      </c>
      <c r="H69" t="n">
        <v>12</v>
      </c>
      <c r="I69" t="s">
        <v>297</v>
      </c>
      <c r="J69" t="n">
        <v>0</v>
      </c>
      <c r="K69" t="n">
        <v>0</v>
      </c>
      <c r="L69" t="n">
        <v>0</v>
      </c>
      <c r="M69" t="n">
        <v>12</v>
      </c>
      <c r="N69" t="n">
        <v>0</v>
      </c>
      <c r="O69" t="n">
        <v>0</v>
      </c>
      <c r="P69" t="n">
        <v>12</v>
      </c>
      <c r="Q69" t="n">
        <v>12</v>
      </c>
      <c r="R69" t="s">
        <v>296</v>
      </c>
      <c r="S69" t="s">
        <v>296</v>
      </c>
      <c r="T69" t="n">
        <v>0</v>
      </c>
    </row>
    <row r="70">
      <c r="A70" t="s">
        <v>32</v>
      </c>
      <c r="B70" t="n">
        <v>1.25</v>
      </c>
      <c r="C70" t="n">
        <v>1.25</v>
      </c>
      <c r="D70" t="n">
        <v>1.25</v>
      </c>
      <c r="E70" t="n">
        <v>-0.5</v>
      </c>
      <c r="F70" t="n">
        <v>-0.25</v>
      </c>
      <c r="G70" t="n">
        <v>177</v>
      </c>
      <c r="H70" t="n">
        <v>12</v>
      </c>
      <c r="I70" t="s">
        <v>298</v>
      </c>
      <c r="J70" t="n">
        <v>0</v>
      </c>
      <c r="K70" t="n">
        <v>0</v>
      </c>
      <c r="L70" t="n">
        <v>0</v>
      </c>
      <c r="M70" t="n">
        <v>12</v>
      </c>
      <c r="N70" t="n">
        <v>0.5</v>
      </c>
      <c r="O70" t="n">
        <v>-0.5</v>
      </c>
      <c r="P70" t="n">
        <v>166</v>
      </c>
      <c r="Q70" t="n">
        <v>12</v>
      </c>
      <c r="R70" t="s">
        <v>298</v>
      </c>
      <c r="S70" t="s">
        <v>298</v>
      </c>
      <c r="T70" t="n">
        <v>0.25</v>
      </c>
    </row>
    <row r="71">
      <c r="A71" t="s">
        <v>32</v>
      </c>
      <c r="B71" t="n">
        <v>1.25</v>
      </c>
      <c r="C71" t="n">
        <v>1.6</v>
      </c>
      <c r="D71" t="n">
        <v>1.6</v>
      </c>
      <c r="E71" t="n">
        <v>-0.5</v>
      </c>
      <c r="F71" t="n">
        <v>0</v>
      </c>
      <c r="G71" t="n">
        <v>100</v>
      </c>
      <c r="H71" t="n">
        <v>12</v>
      </c>
      <c r="I71" t="s">
        <v>298</v>
      </c>
      <c r="J71" t="n">
        <v>0</v>
      </c>
      <c r="K71" t="n">
        <v>0</v>
      </c>
      <c r="L71" t="n">
        <v>0</v>
      </c>
      <c r="M71" t="n">
        <v>12</v>
      </c>
      <c r="N71" t="n">
        <v>0</v>
      </c>
      <c r="O71" t="n">
        <v>-0.25</v>
      </c>
      <c r="P71" t="n">
        <v>9</v>
      </c>
      <c r="Q71" t="n">
        <v>12</v>
      </c>
      <c r="R71" t="s">
        <v>299</v>
      </c>
      <c r="S71" t="s">
        <v>299</v>
      </c>
      <c r="T71" t="n">
        <v>-0.125</v>
      </c>
    </row>
    <row r="72">
      <c r="A72" t="s">
        <v>32</v>
      </c>
      <c r="B72" t="n">
        <v>1</v>
      </c>
      <c r="C72" t="n">
        <v>1</v>
      </c>
      <c r="D72" t="n">
        <v>1</v>
      </c>
      <c r="E72" t="n">
        <v>-1.25</v>
      </c>
      <c r="F72" t="n">
        <v>-1.25</v>
      </c>
      <c r="G72" t="n">
        <v>91</v>
      </c>
      <c r="H72" t="n">
        <v>12</v>
      </c>
      <c r="I72" t="s">
        <v>297</v>
      </c>
      <c r="J72" t="n">
        <v>0</v>
      </c>
      <c r="K72" t="n">
        <v>0</v>
      </c>
      <c r="L72" t="n">
        <v>0</v>
      </c>
      <c r="M72" t="n">
        <v>12</v>
      </c>
      <c r="N72" t="n">
        <v>0</v>
      </c>
      <c r="O72" t="n">
        <v>-0.25</v>
      </c>
      <c r="P72" t="n">
        <v>80</v>
      </c>
      <c r="Q72" t="n">
        <v>12</v>
      </c>
      <c r="R72" t="s">
        <v>297</v>
      </c>
      <c r="S72" t="s">
        <v>297</v>
      </c>
      <c r="T72" t="n">
        <v>-0.125</v>
      </c>
    </row>
    <row r="73">
      <c r="A73" t="s">
        <v>32</v>
      </c>
      <c r="B73" t="n">
        <v>1</v>
      </c>
      <c r="C73" t="n">
        <v>1.25</v>
      </c>
      <c r="D73" t="n">
        <v>1.25</v>
      </c>
      <c r="E73" t="n">
        <v>-3.75</v>
      </c>
      <c r="F73" t="n">
        <v>-1.25</v>
      </c>
      <c r="G73" t="n">
        <v>86</v>
      </c>
      <c r="H73" t="n">
        <v>12</v>
      </c>
      <c r="I73" t="s">
        <v>297</v>
      </c>
      <c r="J73" t="n">
        <v>0</v>
      </c>
      <c r="K73" t="n">
        <v>0</v>
      </c>
      <c r="L73" t="n">
        <v>0</v>
      </c>
      <c r="M73" t="n">
        <v>12</v>
      </c>
      <c r="N73" t="n">
        <v>-0.25</v>
      </c>
      <c r="O73" t="n">
        <v>-0.25</v>
      </c>
      <c r="P73" t="n">
        <v>76</v>
      </c>
      <c r="Q73" t="n">
        <v>12</v>
      </c>
      <c r="R73" t="s">
        <v>298</v>
      </c>
      <c r="S73" t="s">
        <v>298</v>
      </c>
      <c r="T73" t="n">
        <v>-0.375</v>
      </c>
    </row>
    <row r="74">
      <c r="A74" t="s">
        <v>32</v>
      </c>
      <c r="B74" t="n">
        <v>1</v>
      </c>
      <c r="C74" t="n">
        <v>1</v>
      </c>
      <c r="D74" t="n">
        <v>1</v>
      </c>
      <c r="E74" t="n">
        <v>-0.5</v>
      </c>
      <c r="F74" t="n">
        <v>-0.25</v>
      </c>
      <c r="G74" t="n">
        <v>5</v>
      </c>
      <c r="H74" t="n">
        <v>12</v>
      </c>
      <c r="I74" t="s">
        <v>297</v>
      </c>
      <c r="J74" t="n">
        <v>0</v>
      </c>
      <c r="K74" t="n">
        <v>0</v>
      </c>
      <c r="L74" t="n">
        <v>0</v>
      </c>
      <c r="M74" t="n">
        <v>12</v>
      </c>
      <c r="N74" t="n">
        <v>0.25</v>
      </c>
      <c r="O74" t="n">
        <v>-0.25</v>
      </c>
      <c r="P74" t="n">
        <v>59</v>
      </c>
      <c r="Q74" t="n">
        <v>12</v>
      </c>
      <c r="R74" t="s">
        <v>297</v>
      </c>
      <c r="S74" t="s">
        <v>297</v>
      </c>
      <c r="T74" t="n">
        <v>0.125</v>
      </c>
    </row>
    <row r="75">
      <c r="A75" t="s">
        <v>32</v>
      </c>
      <c r="B75" t="n">
        <v>1</v>
      </c>
      <c r="C75" t="n">
        <v>1</v>
      </c>
      <c r="D75" t="n">
        <v>1</v>
      </c>
      <c r="E75" t="n">
        <v>-2.25</v>
      </c>
      <c r="F75" t="n">
        <v>-0.5</v>
      </c>
      <c r="G75" t="n">
        <v>130</v>
      </c>
      <c r="H75" t="n">
        <v>12</v>
      </c>
      <c r="I75" t="s">
        <v>297</v>
      </c>
      <c r="J75" t="n">
        <v>0</v>
      </c>
      <c r="K75" t="n">
        <v>0</v>
      </c>
      <c r="L75" t="n">
        <v>0</v>
      </c>
      <c r="M75" t="n">
        <v>12</v>
      </c>
      <c r="N75" t="n">
        <v>0.25</v>
      </c>
      <c r="O75" t="n">
        <v>-0.25</v>
      </c>
      <c r="P75" t="n">
        <v>157</v>
      </c>
      <c r="Q75" t="n">
        <v>12</v>
      </c>
      <c r="R75" t="s">
        <v>297</v>
      </c>
      <c r="S75" t="s">
        <v>297</v>
      </c>
      <c r="T75" t="n">
        <v>0.125</v>
      </c>
    </row>
    <row r="76">
      <c r="A76" t="s">
        <v>32</v>
      </c>
      <c r="B76" t="n">
        <v>1.25</v>
      </c>
      <c r="C76" t="n">
        <v>1.25</v>
      </c>
      <c r="D76" t="n">
        <v>1.6</v>
      </c>
      <c r="E76" t="n">
        <v>-3.75</v>
      </c>
      <c r="F76" t="n">
        <v>-0.75</v>
      </c>
      <c r="G76" t="n">
        <v>154</v>
      </c>
      <c r="H76" t="n">
        <v>12</v>
      </c>
      <c r="I76" t="s">
        <v>298</v>
      </c>
      <c r="J76" t="n">
        <v>0</v>
      </c>
      <c r="K76" t="n">
        <v>0</v>
      </c>
      <c r="L76" t="n">
        <v>0</v>
      </c>
      <c r="M76" t="n">
        <v>12</v>
      </c>
      <c r="N76" t="n">
        <v>-0.5</v>
      </c>
      <c r="O76" t="n">
        <v>0</v>
      </c>
      <c r="P76" t="n">
        <v>147</v>
      </c>
      <c r="Q76" t="n">
        <v>12</v>
      </c>
      <c r="R76" t="s">
        <v>299</v>
      </c>
      <c r="S76" t="s">
        <v>298</v>
      </c>
      <c r="T76" t="n">
        <v>-0.5</v>
      </c>
    </row>
    <row r="77">
      <c r="A77" t="s">
        <v>32</v>
      </c>
      <c r="B77" t="n">
        <v>1.25</v>
      </c>
      <c r="C77" t="n">
        <v>1.6</v>
      </c>
      <c r="D77" t="n">
        <v>1.6</v>
      </c>
      <c r="E77" t="n">
        <v>-1.75</v>
      </c>
      <c r="F77" t="n">
        <v>-0.5</v>
      </c>
      <c r="G77" t="n">
        <v>15</v>
      </c>
      <c r="H77" t="n">
        <v>12</v>
      </c>
      <c r="I77" t="s">
        <v>298</v>
      </c>
      <c r="J77" t="n">
        <v>0</v>
      </c>
      <c r="K77" t="n">
        <v>0</v>
      </c>
      <c r="L77" t="n">
        <v>0</v>
      </c>
      <c r="M77" t="n">
        <v>12</v>
      </c>
      <c r="N77" t="n">
        <v>0</v>
      </c>
      <c r="O77" t="n">
        <v>-0.25</v>
      </c>
      <c r="P77" t="n">
        <v>49</v>
      </c>
      <c r="Q77" t="n">
        <v>12</v>
      </c>
      <c r="R77" t="s">
        <v>299</v>
      </c>
      <c r="S77" t="s">
        <v>299</v>
      </c>
      <c r="T77" t="n">
        <v>-0.125</v>
      </c>
    </row>
    <row r="78">
      <c r="A78" t="s">
        <v>32</v>
      </c>
      <c r="B78" t="n">
        <v>1</v>
      </c>
      <c r="C78" t="n">
        <v>0.63</v>
      </c>
      <c r="D78" t="n">
        <v>0.8</v>
      </c>
      <c r="E78" t="n">
        <v>-5.25</v>
      </c>
      <c r="F78" t="n">
        <v>-0.75</v>
      </c>
      <c r="G78" t="n">
        <v>57</v>
      </c>
      <c r="H78" t="n">
        <v>12</v>
      </c>
      <c r="I78" t="s">
        <v>297</v>
      </c>
      <c r="J78" t="n">
        <v>0</v>
      </c>
      <c r="K78" t="n">
        <v>0</v>
      </c>
      <c r="L78" t="n">
        <v>0</v>
      </c>
      <c r="M78" t="n">
        <v>12</v>
      </c>
      <c r="N78" t="n">
        <v>1</v>
      </c>
      <c r="O78" t="n">
        <v>-0.25</v>
      </c>
      <c r="P78" t="n">
        <v>70</v>
      </c>
      <c r="Q78" t="n">
        <v>12</v>
      </c>
      <c r="R78" t="s">
        <v>296</v>
      </c>
      <c r="S78" t="s">
        <v>301</v>
      </c>
      <c r="T78" t="n">
        <v>0.875</v>
      </c>
    </row>
    <row r="79">
      <c r="A79" t="s">
        <v>32</v>
      </c>
      <c r="B79" t="n">
        <v>1</v>
      </c>
      <c r="C79" t="n">
        <v>1</v>
      </c>
      <c r="D79" t="n">
        <v>1</v>
      </c>
      <c r="E79" t="n">
        <v>-3.5</v>
      </c>
      <c r="F79" t="n">
        <v>-0.75</v>
      </c>
      <c r="G79" t="n">
        <v>115</v>
      </c>
      <c r="H79" t="n">
        <v>12</v>
      </c>
      <c r="I79" t="s">
        <v>297</v>
      </c>
      <c r="J79" t="n">
        <v>0</v>
      </c>
      <c r="K79" t="n">
        <v>0</v>
      </c>
      <c r="L79" t="n">
        <v>0</v>
      </c>
      <c r="M79" t="n">
        <v>12</v>
      </c>
      <c r="N79" t="n">
        <v>0.5</v>
      </c>
      <c r="O79" t="n">
        <v>-0.25</v>
      </c>
      <c r="P79" t="n">
        <v>147</v>
      </c>
      <c r="Q79" t="n">
        <v>12</v>
      </c>
      <c r="R79" t="s">
        <v>297</v>
      </c>
      <c r="S79" t="s">
        <v>297</v>
      </c>
      <c r="T79" t="n">
        <v>0.375</v>
      </c>
    </row>
    <row r="80">
      <c r="A80" t="s">
        <v>32</v>
      </c>
      <c r="B80" t="n">
        <v>1.25</v>
      </c>
      <c r="C80" t="n">
        <v>1.25</v>
      </c>
      <c r="D80" t="n">
        <v>1.25</v>
      </c>
      <c r="E80" t="n">
        <v>-2.25</v>
      </c>
      <c r="F80" t="n">
        <v>-0.25</v>
      </c>
      <c r="G80" t="n">
        <v>162</v>
      </c>
      <c r="H80" t="n">
        <v>12</v>
      </c>
      <c r="I80" t="s">
        <v>298</v>
      </c>
      <c r="J80" t="n">
        <v>0</v>
      </c>
      <c r="K80" t="n">
        <v>0</v>
      </c>
      <c r="L80" t="n">
        <v>0</v>
      </c>
      <c r="M80" t="n">
        <v>12</v>
      </c>
      <c r="N80" t="n">
        <v>-0.25</v>
      </c>
      <c r="O80" t="n">
        <v>0</v>
      </c>
      <c r="P80" t="n">
        <v>7</v>
      </c>
      <c r="Q80" t="n">
        <v>12</v>
      </c>
      <c r="R80" t="s">
        <v>298</v>
      </c>
      <c r="S80" t="s">
        <v>298</v>
      </c>
      <c r="T80" t="n">
        <v>-0.25</v>
      </c>
    </row>
    <row r="81">
      <c r="A81" t="s">
        <v>32</v>
      </c>
      <c r="B81" t="n">
        <v>1.25</v>
      </c>
      <c r="C81" t="n">
        <v>1.25</v>
      </c>
      <c r="D81" t="n">
        <v>1.25</v>
      </c>
      <c r="E81" t="n">
        <v>-5.75</v>
      </c>
      <c r="F81" t="n">
        <v>-0.5</v>
      </c>
      <c r="G81" t="n">
        <v>176</v>
      </c>
      <c r="H81" t="n">
        <v>12</v>
      </c>
      <c r="I81" t="s">
        <v>298</v>
      </c>
      <c r="J81" t="n">
        <v>0</v>
      </c>
      <c r="K81" t="n">
        <v>0</v>
      </c>
      <c r="L81" t="n">
        <v>0</v>
      </c>
      <c r="M81" t="n">
        <v>12</v>
      </c>
      <c r="N81" t="n">
        <v>0</v>
      </c>
      <c r="O81" t="n">
        <v>0</v>
      </c>
      <c r="P81" t="n">
        <v>36</v>
      </c>
      <c r="Q81" t="n">
        <v>12</v>
      </c>
      <c r="R81" t="s">
        <v>298</v>
      </c>
      <c r="S81" t="s">
        <v>298</v>
      </c>
      <c r="T81" t="n">
        <v>0</v>
      </c>
    </row>
    <row r="82">
      <c r="A82" t="s">
        <v>32</v>
      </c>
      <c r="B82" t="n">
        <v>1.25</v>
      </c>
      <c r="C82" t="n">
        <v>1</v>
      </c>
      <c r="D82" t="n">
        <v>1.25</v>
      </c>
      <c r="E82" t="n">
        <v>-3.75</v>
      </c>
      <c r="F82" t="n">
        <v>-2.5</v>
      </c>
      <c r="G82" t="n">
        <v>172</v>
      </c>
      <c r="H82" t="n">
        <v>12</v>
      </c>
      <c r="I82" t="s">
        <v>298</v>
      </c>
      <c r="J82" t="n">
        <v>0</v>
      </c>
      <c r="K82" t="n">
        <v>0</v>
      </c>
      <c r="L82" t="n">
        <v>0</v>
      </c>
      <c r="M82" t="n">
        <v>12</v>
      </c>
      <c r="N82" t="n">
        <v>1</v>
      </c>
      <c r="O82" t="n">
        <v>-0.75</v>
      </c>
      <c r="P82" t="n">
        <v>142</v>
      </c>
      <c r="Q82" t="n">
        <v>12</v>
      </c>
      <c r="R82" t="s">
        <v>298</v>
      </c>
      <c r="S82" t="s">
        <v>297</v>
      </c>
      <c r="T82" t="n">
        <v>0.625</v>
      </c>
    </row>
    <row r="83">
      <c r="A83" t="s">
        <v>32</v>
      </c>
      <c r="B83" t="n">
        <v>1.25</v>
      </c>
      <c r="C83" t="n">
        <v>1.6</v>
      </c>
      <c r="D83" t="n">
        <v>1.6</v>
      </c>
      <c r="E83" t="n">
        <v>-0.75</v>
      </c>
      <c r="F83" t="n">
        <v>-1</v>
      </c>
      <c r="G83" t="n">
        <v>145</v>
      </c>
      <c r="H83" t="n">
        <v>12</v>
      </c>
      <c r="I83" t="s">
        <v>298</v>
      </c>
      <c r="J83" t="n">
        <v>0</v>
      </c>
      <c r="K83" t="n">
        <v>0</v>
      </c>
      <c r="L83" t="n">
        <v>0</v>
      </c>
      <c r="M83" t="n">
        <v>12</v>
      </c>
      <c r="N83" t="n">
        <v>0.25</v>
      </c>
      <c r="O83" t="n">
        <v>-0.25</v>
      </c>
      <c r="P83" t="n">
        <v>129</v>
      </c>
      <c r="Q83" t="n">
        <v>12</v>
      </c>
      <c r="R83" t="s">
        <v>299</v>
      </c>
      <c r="S83" t="s">
        <v>299</v>
      </c>
      <c r="T83" t="n">
        <v>0.125</v>
      </c>
    </row>
    <row r="84">
      <c r="A84" t="s">
        <v>32</v>
      </c>
      <c r="B84" t="n">
        <v>1</v>
      </c>
      <c r="C84" t="n">
        <v>1.25</v>
      </c>
      <c r="D84" t="n">
        <v>1.25</v>
      </c>
      <c r="E84" t="n">
        <v>-5.5</v>
      </c>
      <c r="F84" t="n">
        <v>-0.25</v>
      </c>
      <c r="G84" t="n">
        <v>44</v>
      </c>
      <c r="H84" t="n">
        <v>12</v>
      </c>
      <c r="I84" t="s">
        <v>297</v>
      </c>
      <c r="J84" t="n">
        <v>0</v>
      </c>
      <c r="K84" t="n">
        <v>0</v>
      </c>
      <c r="L84" t="n">
        <v>0</v>
      </c>
      <c r="M84" t="n">
        <v>12</v>
      </c>
      <c r="N84" t="n">
        <v>0.5</v>
      </c>
      <c r="O84" t="n">
        <v>-0.25</v>
      </c>
      <c r="P84" t="n">
        <v>163</v>
      </c>
      <c r="Q84" t="n">
        <v>12</v>
      </c>
      <c r="R84" t="s">
        <v>298</v>
      </c>
      <c r="S84" t="s">
        <v>298</v>
      </c>
      <c r="T84" t="n">
        <v>0.375</v>
      </c>
    </row>
    <row r="85">
      <c r="A85" t="s">
        <v>32</v>
      </c>
      <c r="B85" t="n">
        <v>1</v>
      </c>
      <c r="C85" t="n">
        <v>1.25</v>
      </c>
      <c r="D85" t="n">
        <v>1.25</v>
      </c>
      <c r="E85" t="n">
        <v>-6.25</v>
      </c>
      <c r="F85" t="n">
        <v>-0.5</v>
      </c>
      <c r="G85" t="n">
        <v>133</v>
      </c>
      <c r="H85" t="n">
        <v>12</v>
      </c>
      <c r="I85" t="s">
        <v>297</v>
      </c>
      <c r="J85" t="n">
        <v>0</v>
      </c>
      <c r="K85" t="n">
        <v>0</v>
      </c>
      <c r="L85" t="n">
        <v>0</v>
      </c>
      <c r="M85" t="n">
        <v>12</v>
      </c>
      <c r="N85" t="n">
        <v>0.5</v>
      </c>
      <c r="O85" t="n">
        <v>-0.25</v>
      </c>
      <c r="P85" t="n">
        <v>46</v>
      </c>
      <c r="Q85" t="n">
        <v>12</v>
      </c>
      <c r="R85" t="s">
        <v>298</v>
      </c>
      <c r="S85" t="s">
        <v>298</v>
      </c>
      <c r="T85" t="n">
        <v>0.375</v>
      </c>
    </row>
    <row r="86">
      <c r="A86" t="s">
        <v>32</v>
      </c>
      <c r="B86" t="n">
        <v>0.8</v>
      </c>
      <c r="C86" t="n">
        <v>1</v>
      </c>
      <c r="D86" t="n">
        <v>1</v>
      </c>
      <c r="E86" t="n">
        <v>-4.5</v>
      </c>
      <c r="F86" t="n">
        <v>-0.25</v>
      </c>
      <c r="G86" t="n">
        <v>7</v>
      </c>
      <c r="H86" t="n">
        <v>12</v>
      </c>
      <c r="I86" t="s">
        <v>296</v>
      </c>
      <c r="J86" t="n">
        <v>0</v>
      </c>
      <c r="K86" t="n">
        <v>0</v>
      </c>
      <c r="L86" t="n">
        <v>0</v>
      </c>
      <c r="M86" t="n">
        <v>12</v>
      </c>
      <c r="N86" t="n">
        <v>0.25</v>
      </c>
      <c r="O86" t="n">
        <v>-0.25</v>
      </c>
      <c r="P86" t="n">
        <v>52</v>
      </c>
      <c r="Q86" t="n">
        <v>12</v>
      </c>
      <c r="R86" t="s">
        <v>297</v>
      </c>
      <c r="S86" t="s">
        <v>297</v>
      </c>
      <c r="T86" t="n">
        <v>0.125</v>
      </c>
    </row>
    <row r="87">
      <c r="A87" t="s">
        <v>32</v>
      </c>
      <c r="B87" t="n">
        <v>1</v>
      </c>
      <c r="C87" t="n">
        <v>1.25</v>
      </c>
      <c r="D87" t="n">
        <v>1.25</v>
      </c>
      <c r="E87" t="n">
        <v>-4.25</v>
      </c>
      <c r="F87" t="n">
        <v>-0.5</v>
      </c>
      <c r="G87" t="n">
        <v>168</v>
      </c>
      <c r="H87" t="n">
        <v>12</v>
      </c>
      <c r="I87" t="s">
        <v>297</v>
      </c>
      <c r="J87" t="n">
        <v>0</v>
      </c>
      <c r="K87" t="n">
        <v>0</v>
      </c>
      <c r="L87" t="n">
        <v>0</v>
      </c>
      <c r="M87" t="n">
        <v>12</v>
      </c>
      <c r="N87" t="n">
        <v>0.25</v>
      </c>
      <c r="O87" t="n">
        <v>-0.25</v>
      </c>
      <c r="P87" t="n">
        <v>2</v>
      </c>
      <c r="Q87" t="n">
        <v>12</v>
      </c>
      <c r="R87" t="s">
        <v>298</v>
      </c>
      <c r="S87" t="s">
        <v>298</v>
      </c>
      <c r="T87" t="n">
        <v>0.125</v>
      </c>
    </row>
    <row r="88">
      <c r="A88" t="s">
        <v>32</v>
      </c>
      <c r="B88" t="n">
        <v>1.25</v>
      </c>
      <c r="C88" t="n">
        <v>1.25</v>
      </c>
      <c r="D88" t="n">
        <v>1.25</v>
      </c>
      <c r="E88" t="n">
        <v>-4.75</v>
      </c>
      <c r="F88" t="n">
        <v>-1</v>
      </c>
      <c r="G88" t="n">
        <v>127</v>
      </c>
      <c r="H88" t="n">
        <v>12</v>
      </c>
      <c r="I88" t="s">
        <v>298</v>
      </c>
      <c r="J88" t="n">
        <v>0</v>
      </c>
      <c r="K88" t="n">
        <v>0</v>
      </c>
      <c r="L88" t="n">
        <v>0</v>
      </c>
      <c r="M88" t="n">
        <v>12</v>
      </c>
      <c r="N88" t="n">
        <v>-0.5</v>
      </c>
      <c r="O88" t="n">
        <v>-0.25</v>
      </c>
      <c r="P88" t="n">
        <v>99</v>
      </c>
      <c r="Q88" t="n">
        <v>12</v>
      </c>
      <c r="R88" t="s">
        <v>298</v>
      </c>
      <c r="S88" t="s">
        <v>298</v>
      </c>
      <c r="T88" t="n">
        <v>-0.625</v>
      </c>
    </row>
    <row r="89">
      <c r="A89" t="s">
        <v>32</v>
      </c>
      <c r="B89" t="n">
        <v>0.8</v>
      </c>
      <c r="C89" t="n">
        <v>0.8</v>
      </c>
      <c r="D89" t="n">
        <v>0.8</v>
      </c>
      <c r="E89" t="n">
        <v>-5.25</v>
      </c>
      <c r="F89" t="n">
        <v>-0.75</v>
      </c>
      <c r="G89" t="n">
        <v>42</v>
      </c>
      <c r="H89" t="n">
        <v>12</v>
      </c>
      <c r="I89" t="s">
        <v>296</v>
      </c>
      <c r="J89" t="n">
        <v>0</v>
      </c>
      <c r="K89" t="n">
        <v>0</v>
      </c>
      <c r="L89" t="n">
        <v>0</v>
      </c>
      <c r="M89" t="n">
        <v>12</v>
      </c>
      <c r="N89" t="n">
        <v>0.25</v>
      </c>
      <c r="O89" t="n">
        <v>-0.25</v>
      </c>
      <c r="P89" t="n">
        <v>81</v>
      </c>
      <c r="Q89" t="n">
        <v>12</v>
      </c>
      <c r="R89" t="s">
        <v>296</v>
      </c>
      <c r="S89" t="s">
        <v>296</v>
      </c>
      <c r="T89" t="n">
        <v>0.125</v>
      </c>
    </row>
    <row r="90">
      <c r="A90" t="s">
        <v>32</v>
      </c>
      <c r="B90" t="n">
        <v>1.25</v>
      </c>
      <c r="C90" t="n">
        <v>1.6</v>
      </c>
      <c r="D90" t="n">
        <v>1.6</v>
      </c>
      <c r="E90" t="n">
        <v>-3.25</v>
      </c>
      <c r="F90" t="n">
        <v>-0.5</v>
      </c>
      <c r="G90" t="n">
        <v>8</v>
      </c>
      <c r="H90" t="n">
        <v>12</v>
      </c>
      <c r="I90" t="s">
        <v>298</v>
      </c>
      <c r="J90" t="n">
        <v>0</v>
      </c>
      <c r="K90" t="n">
        <v>0</v>
      </c>
      <c r="L90" t="n">
        <v>0</v>
      </c>
      <c r="M90" t="n">
        <v>12</v>
      </c>
      <c r="N90" t="n">
        <v>0</v>
      </c>
      <c r="O90" t="n">
        <v>0</v>
      </c>
      <c r="P90" t="n">
        <v>145</v>
      </c>
      <c r="Q90" t="n">
        <v>12</v>
      </c>
      <c r="R90" t="s">
        <v>299</v>
      </c>
      <c r="S90" t="s">
        <v>299</v>
      </c>
      <c r="T90" t="n">
        <v>0</v>
      </c>
    </row>
    <row r="91">
      <c r="A91" t="s">
        <v>32</v>
      </c>
      <c r="B91" t="n">
        <v>1.25</v>
      </c>
      <c r="C91" t="n">
        <v>1.25</v>
      </c>
      <c r="D91" t="n">
        <v>1.25</v>
      </c>
      <c r="E91" t="n">
        <v>-3.5</v>
      </c>
      <c r="F91" t="n">
        <v>-0.75</v>
      </c>
      <c r="G91" t="n">
        <v>171</v>
      </c>
      <c r="H91" t="n">
        <v>12</v>
      </c>
      <c r="I91" t="s">
        <v>298</v>
      </c>
      <c r="J91" t="n">
        <v>-1</v>
      </c>
      <c r="K91" t="n">
        <v>0</v>
      </c>
      <c r="L91" t="n">
        <v>0</v>
      </c>
      <c r="M91" t="n">
        <v>12</v>
      </c>
      <c r="N91" t="n">
        <v>-0.5</v>
      </c>
      <c r="O91" t="n">
        <v>0</v>
      </c>
      <c r="P91" t="n">
        <v>119</v>
      </c>
      <c r="Q91" t="n">
        <v>12</v>
      </c>
      <c r="R91" t="s">
        <v>298</v>
      </c>
      <c r="S91" t="s">
        <v>298</v>
      </c>
      <c r="T91" t="n">
        <v>-0.5</v>
      </c>
    </row>
    <row r="92">
      <c r="A92" t="s">
        <v>32</v>
      </c>
      <c r="B92" t="n">
        <v>1</v>
      </c>
      <c r="C92" t="n">
        <v>1.25</v>
      </c>
      <c r="D92" t="n">
        <v>1.25</v>
      </c>
      <c r="E92" t="n">
        <v>-4.25</v>
      </c>
      <c r="F92" t="n">
        <v>-0.75</v>
      </c>
      <c r="G92" t="n">
        <v>48</v>
      </c>
      <c r="H92" t="n">
        <v>12</v>
      </c>
      <c r="I92" t="s">
        <v>297</v>
      </c>
      <c r="J92" t="n">
        <v>0</v>
      </c>
      <c r="K92" t="n">
        <v>0</v>
      </c>
      <c r="L92" t="n">
        <v>0</v>
      </c>
      <c r="M92" t="n">
        <v>12</v>
      </c>
      <c r="N92" t="n">
        <v>0</v>
      </c>
      <c r="O92" t="n">
        <v>-0.25</v>
      </c>
      <c r="P92" t="n">
        <v>74</v>
      </c>
      <c r="Q92" t="n">
        <v>12</v>
      </c>
      <c r="R92" t="s">
        <v>298</v>
      </c>
      <c r="S92" t="s">
        <v>298</v>
      </c>
      <c r="T92" t="n">
        <v>-0.125</v>
      </c>
    </row>
    <row r="93">
      <c r="A93" t="s">
        <v>32</v>
      </c>
      <c r="B93" t="n">
        <v>1</v>
      </c>
      <c r="C93" t="n">
        <v>1</v>
      </c>
      <c r="D93" t="n">
        <v>1</v>
      </c>
      <c r="E93" t="n">
        <v>-4</v>
      </c>
      <c r="F93" t="n">
        <v>-1.5</v>
      </c>
      <c r="G93" t="n">
        <v>114</v>
      </c>
      <c r="H93" t="n">
        <v>12</v>
      </c>
      <c r="I93" t="s">
        <v>297</v>
      </c>
      <c r="J93" t="n">
        <v>0</v>
      </c>
      <c r="K93" t="n">
        <v>0</v>
      </c>
      <c r="L93" t="n">
        <v>0</v>
      </c>
      <c r="M93" t="n">
        <v>12</v>
      </c>
      <c r="N93" t="n">
        <v>0.75</v>
      </c>
      <c r="O93" t="n">
        <v>-0.25</v>
      </c>
      <c r="P93" t="n">
        <v>135</v>
      </c>
      <c r="Q93" t="n">
        <v>12</v>
      </c>
      <c r="R93" t="s">
        <v>297</v>
      </c>
      <c r="S93" t="s">
        <v>297</v>
      </c>
      <c r="T93" t="n">
        <v>0.625</v>
      </c>
    </row>
    <row r="94">
      <c r="A94" t="s">
        <v>32</v>
      </c>
      <c r="B94" t="n">
        <v>1.25</v>
      </c>
      <c r="C94" t="n">
        <v>1.6</v>
      </c>
      <c r="D94" t="n">
        <v>1.6</v>
      </c>
      <c r="E94" t="n">
        <v>-4.25</v>
      </c>
      <c r="F94" t="n">
        <v>-0.5</v>
      </c>
      <c r="G94" t="n">
        <v>11</v>
      </c>
      <c r="H94" t="n">
        <v>12</v>
      </c>
      <c r="I94" t="s">
        <v>298</v>
      </c>
      <c r="J94" t="n">
        <v>0</v>
      </c>
      <c r="K94" t="n">
        <v>0</v>
      </c>
      <c r="L94" t="n">
        <v>0</v>
      </c>
      <c r="M94" t="n">
        <v>12</v>
      </c>
      <c r="N94" t="n">
        <v>-0.25</v>
      </c>
      <c r="O94" t="n">
        <v>-0.25</v>
      </c>
      <c r="P94" t="n">
        <v>38</v>
      </c>
      <c r="Q94" t="n">
        <v>12</v>
      </c>
      <c r="R94" t="s">
        <v>299</v>
      </c>
      <c r="S94" t="s">
        <v>299</v>
      </c>
      <c r="T94" t="n">
        <v>-0.375</v>
      </c>
    </row>
    <row r="95">
      <c r="A95" t="s">
        <v>32</v>
      </c>
      <c r="B95" t="n">
        <v>1.25</v>
      </c>
      <c r="C95" t="n">
        <v>1.6</v>
      </c>
      <c r="D95" t="n">
        <v>1.6</v>
      </c>
      <c r="E95" t="n">
        <v>-2</v>
      </c>
      <c r="F95" t="n">
        <v>-0.5</v>
      </c>
      <c r="G95" t="n">
        <v>165</v>
      </c>
      <c r="H95" t="n">
        <v>12</v>
      </c>
      <c r="I95" t="s">
        <v>298</v>
      </c>
      <c r="J95" t="n">
        <v>0</v>
      </c>
      <c r="K95" t="n">
        <v>0</v>
      </c>
      <c r="L95" t="n">
        <v>0</v>
      </c>
      <c r="M95" t="n">
        <v>12</v>
      </c>
      <c r="N95" t="n">
        <v>0</v>
      </c>
      <c r="O95" t="n">
        <v>-0.25</v>
      </c>
      <c r="P95" t="n">
        <v>144</v>
      </c>
      <c r="Q95" t="n">
        <v>12</v>
      </c>
      <c r="R95" t="s">
        <v>299</v>
      </c>
      <c r="S95" t="s">
        <v>299</v>
      </c>
      <c r="T95" t="n">
        <v>-0.125</v>
      </c>
    </row>
    <row r="96">
      <c r="A96" t="s">
        <v>32</v>
      </c>
      <c r="B96" t="n">
        <v>1</v>
      </c>
      <c r="C96" t="n">
        <v>1</v>
      </c>
      <c r="D96" t="n">
        <v>1</v>
      </c>
      <c r="E96" t="n">
        <v>-4.25</v>
      </c>
      <c r="F96" t="n">
        <v>-0.25</v>
      </c>
      <c r="G96" t="n">
        <v>102</v>
      </c>
      <c r="H96" t="n">
        <v>12</v>
      </c>
      <c r="I96" t="s">
        <v>297</v>
      </c>
      <c r="J96" t="n">
        <v>0</v>
      </c>
      <c r="K96" t="n">
        <v>0</v>
      </c>
      <c r="L96" t="n">
        <v>0</v>
      </c>
      <c r="M96" t="n">
        <v>12</v>
      </c>
      <c r="N96" t="n">
        <v>0.25</v>
      </c>
      <c r="O96" t="n">
        <v>0</v>
      </c>
      <c r="P96" t="n">
        <v>122</v>
      </c>
      <c r="Q96" t="n">
        <v>12</v>
      </c>
      <c r="R96" t="s">
        <v>297</v>
      </c>
      <c r="S96" t="s">
        <v>297</v>
      </c>
      <c r="T96" t="n">
        <v>0.25</v>
      </c>
    </row>
    <row r="97">
      <c r="A97" t="s">
        <v>32</v>
      </c>
      <c r="B97" t="n">
        <v>1</v>
      </c>
      <c r="C97" t="n">
        <v>1</v>
      </c>
      <c r="D97" t="n">
        <v>1</v>
      </c>
      <c r="E97" t="n">
        <v>-4.75</v>
      </c>
      <c r="F97" t="n">
        <v>-0.5</v>
      </c>
      <c r="G97" t="n">
        <v>20</v>
      </c>
      <c r="H97" t="n">
        <v>12</v>
      </c>
      <c r="I97" t="s">
        <v>297</v>
      </c>
      <c r="J97" t="n">
        <v>0</v>
      </c>
      <c r="K97" t="n">
        <v>0</v>
      </c>
      <c r="L97" t="n">
        <v>0</v>
      </c>
      <c r="M97" t="n">
        <v>12</v>
      </c>
      <c r="N97" t="n">
        <v>-0.25</v>
      </c>
      <c r="O97" t="n">
        <v>0</v>
      </c>
      <c r="P97" t="n">
        <v>63</v>
      </c>
      <c r="Q97" t="n">
        <v>12</v>
      </c>
      <c r="R97" t="s">
        <v>297</v>
      </c>
      <c r="S97" t="s">
        <v>297</v>
      </c>
      <c r="T97" t="n">
        <v>-0.25</v>
      </c>
    </row>
    <row r="98">
      <c r="A98" t="s">
        <v>32</v>
      </c>
      <c r="B98" t="n">
        <v>1.25</v>
      </c>
      <c r="C98" t="n">
        <v>1.25</v>
      </c>
      <c r="D98" t="n">
        <v>1.25</v>
      </c>
      <c r="E98" t="n">
        <v>-4</v>
      </c>
      <c r="F98" t="n">
        <v>-1.25</v>
      </c>
      <c r="G98" t="n">
        <v>176</v>
      </c>
      <c r="H98" t="n">
        <v>12</v>
      </c>
      <c r="I98" t="s">
        <v>298</v>
      </c>
      <c r="J98" t="n">
        <v>0</v>
      </c>
      <c r="K98" t="n">
        <v>0</v>
      </c>
      <c r="L98" t="n">
        <v>0</v>
      </c>
      <c r="M98" t="n">
        <v>12</v>
      </c>
      <c r="N98" t="n">
        <v>0.5</v>
      </c>
      <c r="O98" t="n">
        <v>-0.25</v>
      </c>
      <c r="P98" t="n">
        <v>135</v>
      </c>
      <c r="Q98" t="n">
        <v>12</v>
      </c>
      <c r="R98" t="s">
        <v>298</v>
      </c>
      <c r="S98" t="s">
        <v>298</v>
      </c>
      <c r="T98" t="n">
        <v>0.375</v>
      </c>
    </row>
    <row r="99">
      <c r="A99" t="s">
        <v>32</v>
      </c>
      <c r="B99" t="n">
        <v>1.25</v>
      </c>
      <c r="C99" t="n">
        <v>1</v>
      </c>
      <c r="D99" t="n">
        <v>1.25</v>
      </c>
      <c r="E99" t="n">
        <v>-4.25</v>
      </c>
      <c r="F99" t="n">
        <v>-1</v>
      </c>
      <c r="G99" t="n">
        <v>8</v>
      </c>
      <c r="H99" t="n">
        <v>12</v>
      </c>
      <c r="I99" t="s">
        <v>298</v>
      </c>
      <c r="J99" t="n">
        <v>0</v>
      </c>
      <c r="K99" t="n">
        <v>0</v>
      </c>
      <c r="L99" t="n">
        <v>0</v>
      </c>
      <c r="M99" t="n">
        <v>12</v>
      </c>
      <c r="N99" t="n">
        <v>0</v>
      </c>
      <c r="O99" t="n">
        <v>-0.25</v>
      </c>
      <c r="P99" t="n">
        <v>42</v>
      </c>
      <c r="Q99" t="n">
        <v>12</v>
      </c>
      <c r="R99" t="s">
        <v>298</v>
      </c>
      <c r="S99" t="s">
        <v>297</v>
      </c>
      <c r="T99" t="n">
        <v>-0.125</v>
      </c>
    </row>
    <row r="100">
      <c r="A100" t="s">
        <v>32</v>
      </c>
      <c r="B100" t="n">
        <v>1.25</v>
      </c>
      <c r="C100" t="n">
        <v>1.25</v>
      </c>
      <c r="D100" t="n">
        <v>1.25</v>
      </c>
      <c r="E100" t="n">
        <v>-1</v>
      </c>
      <c r="F100" t="n">
        <v>-1</v>
      </c>
      <c r="G100" t="n">
        <v>7</v>
      </c>
      <c r="H100" t="n">
        <v>12</v>
      </c>
      <c r="I100" t="s">
        <v>298</v>
      </c>
      <c r="J100" t="n">
        <v>0</v>
      </c>
      <c r="K100" t="n">
        <v>0</v>
      </c>
      <c r="L100" t="n">
        <v>0</v>
      </c>
      <c r="M100" t="n">
        <v>12</v>
      </c>
      <c r="N100" t="n">
        <v>-0.25</v>
      </c>
      <c r="O100" t="n">
        <v>-0.25</v>
      </c>
      <c r="P100" t="n">
        <v>39</v>
      </c>
      <c r="Q100" t="n">
        <v>12</v>
      </c>
      <c r="R100" t="s">
        <v>298</v>
      </c>
      <c r="S100" t="s">
        <v>298</v>
      </c>
      <c r="T100" t="n">
        <v>-0.375</v>
      </c>
    </row>
    <row r="101">
      <c r="A101" t="s">
        <v>32</v>
      </c>
      <c r="B101" t="n">
        <v>1.25</v>
      </c>
      <c r="C101" t="n">
        <v>1.6</v>
      </c>
      <c r="D101" t="n">
        <v>1.6</v>
      </c>
      <c r="E101" t="n">
        <v>-2.25</v>
      </c>
      <c r="F101" t="n">
        <v>-1.25</v>
      </c>
      <c r="G101" t="n">
        <v>169</v>
      </c>
      <c r="H101" t="n">
        <v>12</v>
      </c>
      <c r="I101" t="s">
        <v>298</v>
      </c>
      <c r="J101" t="n">
        <v>0</v>
      </c>
      <c r="K101" t="n">
        <v>0</v>
      </c>
      <c r="L101" t="n">
        <v>0</v>
      </c>
      <c r="M101" t="n">
        <v>12</v>
      </c>
      <c r="N101" t="n">
        <v>0.25</v>
      </c>
      <c r="O101" t="n">
        <v>-0.5</v>
      </c>
      <c r="P101" t="n">
        <v>24</v>
      </c>
      <c r="Q101" t="n">
        <v>12</v>
      </c>
      <c r="R101" t="s">
        <v>299</v>
      </c>
      <c r="S101" t="s">
        <v>299</v>
      </c>
      <c r="T101" t="n">
        <v>0</v>
      </c>
    </row>
    <row r="102">
      <c r="A102" t="s">
        <v>32</v>
      </c>
      <c r="B102" t="n">
        <v>1</v>
      </c>
      <c r="C102" t="n">
        <v>1</v>
      </c>
      <c r="D102" t="n">
        <v>1</v>
      </c>
      <c r="E102" t="n">
        <v>-2</v>
      </c>
      <c r="F102" t="n">
        <v>-0.75</v>
      </c>
      <c r="G102" t="n">
        <v>107</v>
      </c>
      <c r="H102" t="n">
        <v>12</v>
      </c>
      <c r="I102" t="s">
        <v>297</v>
      </c>
      <c r="J102" t="n">
        <v>0</v>
      </c>
      <c r="K102" t="n">
        <v>0</v>
      </c>
      <c r="L102" t="n">
        <v>0</v>
      </c>
      <c r="M102" t="n">
        <v>12</v>
      </c>
      <c r="N102" t="n">
        <v>0</v>
      </c>
      <c r="O102" t="n">
        <v>-0.25</v>
      </c>
      <c r="P102" t="n">
        <v>116</v>
      </c>
      <c r="Q102" t="n">
        <v>12</v>
      </c>
      <c r="R102" t="s">
        <v>297</v>
      </c>
      <c r="S102" t="s">
        <v>297</v>
      </c>
      <c r="T102" t="n">
        <v>-0.125</v>
      </c>
    </row>
    <row r="103">
      <c r="A103" t="s">
        <v>32</v>
      </c>
      <c r="B103" t="n">
        <v>1.25</v>
      </c>
      <c r="C103" t="n">
        <v>1.25</v>
      </c>
      <c r="D103" t="n">
        <v>1.25</v>
      </c>
      <c r="E103" t="n">
        <v>-2.25</v>
      </c>
      <c r="F103" t="n">
        <v>-3</v>
      </c>
      <c r="G103" t="n">
        <v>159</v>
      </c>
      <c r="H103" t="n">
        <v>12</v>
      </c>
      <c r="I103" t="s">
        <v>298</v>
      </c>
      <c r="J103" t="n">
        <v>0</v>
      </c>
      <c r="K103" t="n">
        <v>0</v>
      </c>
      <c r="L103" t="n">
        <v>0</v>
      </c>
      <c r="M103" t="n">
        <v>12</v>
      </c>
      <c r="N103" t="n">
        <v>0.25</v>
      </c>
      <c r="O103" t="n">
        <v>-0.5</v>
      </c>
      <c r="P103" t="n">
        <v>133</v>
      </c>
      <c r="Q103" t="n">
        <v>12</v>
      </c>
      <c r="R103" t="s">
        <v>298</v>
      </c>
      <c r="S103" t="s">
        <v>298</v>
      </c>
      <c r="T103" t="n">
        <v>0</v>
      </c>
    </row>
    <row r="104">
      <c r="A104" t="s">
        <v>32</v>
      </c>
      <c r="B104" t="n">
        <v>1.25</v>
      </c>
      <c r="C104" t="n">
        <v>1.25</v>
      </c>
      <c r="D104" t="n">
        <v>1.25</v>
      </c>
      <c r="E104" t="n">
        <v>-1.75</v>
      </c>
      <c r="F104" t="n">
        <v>-2.5</v>
      </c>
      <c r="G104" t="n">
        <v>23</v>
      </c>
      <c r="H104" t="n">
        <v>12</v>
      </c>
      <c r="I104" t="s">
        <v>298</v>
      </c>
      <c r="J104" t="n">
        <v>0</v>
      </c>
      <c r="K104" t="n">
        <v>0</v>
      </c>
      <c r="L104" t="n">
        <v>0</v>
      </c>
      <c r="M104" t="n">
        <v>12</v>
      </c>
      <c r="N104" t="n">
        <v>0.25</v>
      </c>
      <c r="O104" t="n">
        <v>-0.5</v>
      </c>
      <c r="P104" t="n">
        <v>35</v>
      </c>
      <c r="Q104" t="n">
        <v>12</v>
      </c>
      <c r="R104" t="s">
        <v>298</v>
      </c>
      <c r="S104" t="s">
        <v>298</v>
      </c>
      <c r="T104" t="n">
        <v>0</v>
      </c>
    </row>
    <row r="105">
      <c r="A105" t="s">
        <v>32</v>
      </c>
      <c r="B105" t="n">
        <v>1.25</v>
      </c>
      <c r="C105" t="n">
        <v>1.25</v>
      </c>
      <c r="D105" t="n">
        <v>1.25</v>
      </c>
      <c r="E105" t="n">
        <v>-0.5</v>
      </c>
      <c r="F105" t="n">
        <v>-0.25</v>
      </c>
      <c r="G105" t="n">
        <v>4</v>
      </c>
      <c r="H105" t="n">
        <v>12</v>
      </c>
      <c r="I105" t="s">
        <v>298</v>
      </c>
      <c r="J105" t="n">
        <v>0</v>
      </c>
      <c r="K105" t="n">
        <v>0</v>
      </c>
      <c r="L105" t="n">
        <v>0</v>
      </c>
      <c r="M105" t="n">
        <v>12</v>
      </c>
      <c r="N105" t="n">
        <v>0.75</v>
      </c>
      <c r="O105" t="n">
        <v>-0.5</v>
      </c>
      <c r="P105" t="n">
        <v>24</v>
      </c>
      <c r="Q105" t="n">
        <v>12</v>
      </c>
      <c r="R105" t="s">
        <v>298</v>
      </c>
      <c r="S105" t="s">
        <v>298</v>
      </c>
      <c r="T105" t="n">
        <v>0.5</v>
      </c>
    </row>
    <row r="106">
      <c r="A106" t="s">
        <v>32</v>
      </c>
      <c r="B106" t="n">
        <v>1</v>
      </c>
      <c r="C106" t="n">
        <v>0.63</v>
      </c>
      <c r="D106" t="n">
        <v>0.63</v>
      </c>
      <c r="E106" t="n">
        <v>-0.5</v>
      </c>
      <c r="F106" t="n">
        <v>-0.25</v>
      </c>
      <c r="G106" t="n">
        <v>175</v>
      </c>
      <c r="H106" t="n">
        <v>12</v>
      </c>
      <c r="I106" t="s">
        <v>297</v>
      </c>
      <c r="J106" t="n">
        <v>0</v>
      </c>
      <c r="K106" t="n">
        <v>0</v>
      </c>
      <c r="L106" t="n">
        <v>0</v>
      </c>
      <c r="M106" t="n">
        <v>12</v>
      </c>
      <c r="N106" t="n">
        <v>0.75</v>
      </c>
      <c r="O106" t="n">
        <v>-0.25</v>
      </c>
      <c r="P106" t="n">
        <v>155</v>
      </c>
      <c r="Q106" t="n">
        <v>12</v>
      </c>
      <c r="R106" t="s">
        <v>301</v>
      </c>
      <c r="S106" t="s">
        <v>301</v>
      </c>
      <c r="T106" t="n">
        <v>0.625</v>
      </c>
    </row>
    <row r="107">
      <c r="A107" t="s">
        <v>32</v>
      </c>
      <c r="B107" t="n">
        <v>1</v>
      </c>
      <c r="C107" t="n">
        <v>1.25</v>
      </c>
      <c r="D107" t="n">
        <v>1.25</v>
      </c>
      <c r="E107" t="n">
        <v>-6</v>
      </c>
      <c r="F107" t="n">
        <v>-0.25</v>
      </c>
      <c r="G107" t="n">
        <v>175</v>
      </c>
      <c r="H107" t="n">
        <v>12</v>
      </c>
      <c r="I107" t="s">
        <v>297</v>
      </c>
      <c r="J107" t="n">
        <v>0</v>
      </c>
      <c r="K107" t="n">
        <v>0</v>
      </c>
      <c r="L107" t="n">
        <v>0</v>
      </c>
      <c r="M107" t="n">
        <v>12</v>
      </c>
      <c r="N107" t="n">
        <v>0</v>
      </c>
      <c r="O107" t="n">
        <v>0</v>
      </c>
      <c r="P107" t="n">
        <v>34</v>
      </c>
      <c r="Q107" t="n">
        <v>12</v>
      </c>
      <c r="R107" t="s">
        <v>298</v>
      </c>
      <c r="S107" t="s">
        <v>298</v>
      </c>
      <c r="T107" t="n">
        <v>0</v>
      </c>
    </row>
    <row r="108">
      <c r="A108" t="s">
        <v>32</v>
      </c>
      <c r="B108" t="n">
        <v>1</v>
      </c>
      <c r="C108" t="n">
        <v>1</v>
      </c>
      <c r="D108" t="n">
        <v>1</v>
      </c>
      <c r="E108" t="n">
        <v>-3.5</v>
      </c>
      <c r="F108" t="n">
        <v>-0.5</v>
      </c>
      <c r="G108" t="n">
        <v>16</v>
      </c>
      <c r="H108" t="n">
        <v>12</v>
      </c>
      <c r="I108" t="s">
        <v>297</v>
      </c>
      <c r="J108" t="n">
        <v>0</v>
      </c>
      <c r="K108" t="n">
        <v>0</v>
      </c>
      <c r="L108" t="n">
        <v>0</v>
      </c>
      <c r="M108" t="n">
        <v>12</v>
      </c>
      <c r="N108" t="n">
        <v>0.25</v>
      </c>
      <c r="O108" t="n">
        <v>-0.25</v>
      </c>
      <c r="P108" t="n">
        <v>153</v>
      </c>
      <c r="Q108" t="n">
        <v>12</v>
      </c>
      <c r="R108" t="s">
        <v>297</v>
      </c>
      <c r="S108" t="s">
        <v>297</v>
      </c>
      <c r="T108" t="n">
        <v>0.125</v>
      </c>
    </row>
    <row r="109">
      <c r="A109" t="s">
        <v>32</v>
      </c>
      <c r="B109" t="n">
        <v>1.25</v>
      </c>
      <c r="C109" t="n">
        <v>0.63</v>
      </c>
      <c r="D109" t="n">
        <v>0.8</v>
      </c>
      <c r="E109" t="n">
        <v>0</v>
      </c>
      <c r="F109" t="n">
        <v>-0.75</v>
      </c>
      <c r="G109" t="n">
        <v>8</v>
      </c>
      <c r="H109" t="n">
        <v>12</v>
      </c>
      <c r="I109" t="s">
        <v>298</v>
      </c>
      <c r="J109" t="n">
        <v>0</v>
      </c>
      <c r="K109" t="n">
        <v>0</v>
      </c>
      <c r="L109" t="n">
        <v>0</v>
      </c>
      <c r="M109" t="n">
        <v>12</v>
      </c>
      <c r="N109" t="n">
        <v>-0.25</v>
      </c>
      <c r="O109" t="n">
        <v>-0.5</v>
      </c>
      <c r="P109" t="n">
        <v>152</v>
      </c>
      <c r="Q109" t="n">
        <v>12</v>
      </c>
      <c r="R109" t="s">
        <v>296</v>
      </c>
      <c r="S109" t="s">
        <v>301</v>
      </c>
      <c r="T109" t="n">
        <v>-0.5</v>
      </c>
    </row>
    <row r="110">
      <c r="A110" t="s">
        <v>32</v>
      </c>
      <c r="B110" t="n">
        <v>1.25</v>
      </c>
      <c r="C110" t="n">
        <v>1.25</v>
      </c>
      <c r="D110" t="n">
        <v>1.25</v>
      </c>
      <c r="E110" t="n">
        <v>0</v>
      </c>
      <c r="F110" t="n">
        <v>-0.75</v>
      </c>
      <c r="G110" t="n">
        <v>174</v>
      </c>
      <c r="H110" t="n">
        <v>12</v>
      </c>
      <c r="I110" t="s">
        <v>298</v>
      </c>
      <c r="J110" t="n">
        <v>0</v>
      </c>
      <c r="K110" t="n">
        <v>0</v>
      </c>
      <c r="L110" t="n">
        <v>0</v>
      </c>
      <c r="M110" t="n">
        <v>12</v>
      </c>
      <c r="N110" t="n">
        <v>0</v>
      </c>
      <c r="O110" t="n">
        <v>0</v>
      </c>
      <c r="P110" t="n">
        <v>175</v>
      </c>
      <c r="Q110" t="n">
        <v>12</v>
      </c>
      <c r="R110" t="s">
        <v>298</v>
      </c>
      <c r="S110" t="s">
        <v>298</v>
      </c>
      <c r="T110" t="n">
        <v>0</v>
      </c>
    </row>
    <row r="111">
      <c r="A111" t="s">
        <v>32</v>
      </c>
      <c r="B111" t="n">
        <v>1</v>
      </c>
      <c r="C111" t="n">
        <v>0.8</v>
      </c>
      <c r="D111" t="n">
        <v>1</v>
      </c>
      <c r="E111" t="n">
        <v>-5</v>
      </c>
      <c r="F111" t="n">
        <v>-2</v>
      </c>
      <c r="G111" t="n">
        <v>164</v>
      </c>
      <c r="H111" t="n">
        <v>12</v>
      </c>
      <c r="I111" t="s">
        <v>297</v>
      </c>
      <c r="J111" t="n">
        <v>0</v>
      </c>
      <c r="K111" t="n">
        <v>0</v>
      </c>
      <c r="L111" t="n">
        <v>0</v>
      </c>
      <c r="M111" t="n">
        <v>12</v>
      </c>
      <c r="N111" t="n">
        <v>-0.25</v>
      </c>
      <c r="O111" t="n">
        <v>-0.5</v>
      </c>
      <c r="P111" t="n">
        <v>108</v>
      </c>
      <c r="Q111" t="n">
        <v>12</v>
      </c>
      <c r="R111" t="s">
        <v>297</v>
      </c>
      <c r="S111" t="s">
        <v>296</v>
      </c>
      <c r="T111" t="n">
        <v>-0.5</v>
      </c>
    </row>
    <row r="112">
      <c r="A112" t="s">
        <v>32</v>
      </c>
      <c r="B112" t="n">
        <v>1.25</v>
      </c>
      <c r="C112" t="n">
        <v>1.6</v>
      </c>
      <c r="D112" t="n">
        <v>1.6</v>
      </c>
      <c r="E112" t="n">
        <v>-3.75</v>
      </c>
      <c r="F112" t="n">
        <v>-2</v>
      </c>
      <c r="G112" t="n">
        <v>19</v>
      </c>
      <c r="H112" t="n">
        <v>12</v>
      </c>
      <c r="I112" t="s">
        <v>298</v>
      </c>
      <c r="J112" t="n">
        <v>0</v>
      </c>
      <c r="K112" t="n">
        <v>0</v>
      </c>
      <c r="L112" t="n">
        <v>0</v>
      </c>
      <c r="M112" t="n">
        <v>12</v>
      </c>
      <c r="N112" t="n">
        <v>0</v>
      </c>
      <c r="O112" t="n">
        <v>-0.25</v>
      </c>
      <c r="P112" t="n">
        <v>103</v>
      </c>
      <c r="Q112" t="n">
        <v>12</v>
      </c>
      <c r="R112" t="s">
        <v>299</v>
      </c>
      <c r="S112" t="s">
        <v>299</v>
      </c>
      <c r="T112" t="n">
        <v>-0.125</v>
      </c>
    </row>
    <row r="113">
      <c r="A113" t="s">
        <v>32</v>
      </c>
      <c r="B113" t="n">
        <v>1</v>
      </c>
      <c r="C113" t="n">
        <v>0.8</v>
      </c>
      <c r="D113" t="n">
        <v>0.8</v>
      </c>
      <c r="E113" t="n">
        <v>-0.75</v>
      </c>
      <c r="F113" t="n">
        <v>-1.25</v>
      </c>
      <c r="G113" t="n">
        <v>88</v>
      </c>
      <c r="H113" t="n">
        <v>12</v>
      </c>
      <c r="I113" t="s">
        <v>297</v>
      </c>
      <c r="J113" t="n">
        <v>0</v>
      </c>
      <c r="K113" t="n">
        <v>0</v>
      </c>
      <c r="L113" t="n">
        <v>0</v>
      </c>
      <c r="M113" t="n">
        <v>12</v>
      </c>
      <c r="N113" t="n">
        <v>-0.25</v>
      </c>
      <c r="O113" t="n">
        <v>-0.25</v>
      </c>
      <c r="P113" t="n">
        <v>70</v>
      </c>
      <c r="Q113" t="n">
        <v>12</v>
      </c>
      <c r="R113" t="s">
        <v>296</v>
      </c>
      <c r="S113" t="s">
        <v>296</v>
      </c>
      <c r="T113" t="n">
        <v>-0.375</v>
      </c>
    </row>
    <row r="114">
      <c r="A114" t="s">
        <v>32</v>
      </c>
      <c r="B114" t="n">
        <v>1</v>
      </c>
      <c r="C114" t="n">
        <v>1</v>
      </c>
      <c r="D114" t="n">
        <v>1</v>
      </c>
      <c r="E114" t="n">
        <v>-1</v>
      </c>
      <c r="F114" t="n">
        <v>-1.75</v>
      </c>
      <c r="G114" t="n">
        <v>109</v>
      </c>
      <c r="H114" t="n">
        <v>12</v>
      </c>
      <c r="I114" t="s">
        <v>297</v>
      </c>
      <c r="J114" t="n">
        <v>0</v>
      </c>
      <c r="K114" t="n">
        <v>0</v>
      </c>
      <c r="L114" t="n">
        <v>0</v>
      </c>
      <c r="M114" t="n">
        <v>12</v>
      </c>
      <c r="N114" t="n">
        <v>-0.25</v>
      </c>
      <c r="O114" t="n">
        <v>-0.25</v>
      </c>
      <c r="P114" t="n">
        <v>89</v>
      </c>
      <c r="Q114" t="n">
        <v>12</v>
      </c>
      <c r="R114" t="s">
        <v>297</v>
      </c>
      <c r="S114" t="s">
        <v>297</v>
      </c>
      <c r="T114" t="n">
        <v>-0.375</v>
      </c>
    </row>
    <row r="115">
      <c r="A115" t="s">
        <v>32</v>
      </c>
      <c r="B115" t="n">
        <v>1.25</v>
      </c>
      <c r="C115" t="n">
        <v>1.6</v>
      </c>
      <c r="D115" t="n">
        <v>1.6</v>
      </c>
      <c r="E115" t="n">
        <v>-0.5</v>
      </c>
      <c r="F115" t="n">
        <v>-0.75</v>
      </c>
      <c r="G115" t="n">
        <v>135</v>
      </c>
      <c r="H115" t="n">
        <v>12</v>
      </c>
      <c r="I115" t="s">
        <v>298</v>
      </c>
      <c r="J115" t="n">
        <v>0</v>
      </c>
      <c r="K115" t="n">
        <v>0</v>
      </c>
      <c r="L115" t="n">
        <v>0</v>
      </c>
      <c r="M115" t="n">
        <v>12</v>
      </c>
      <c r="N115" t="n">
        <v>0.25</v>
      </c>
      <c r="O115" t="n">
        <v>-0.25</v>
      </c>
      <c r="P115" t="n">
        <v>166</v>
      </c>
      <c r="Q115" t="n">
        <v>12</v>
      </c>
      <c r="R115" t="s">
        <v>299</v>
      </c>
      <c r="S115" t="s">
        <v>299</v>
      </c>
      <c r="T115" t="n">
        <v>0.125</v>
      </c>
    </row>
    <row r="116">
      <c r="A116" t="s">
        <v>32</v>
      </c>
      <c r="B116" t="n">
        <v>1.25</v>
      </c>
      <c r="C116" t="n">
        <v>1.6</v>
      </c>
      <c r="D116" t="n">
        <v>1.6</v>
      </c>
      <c r="E116" t="n">
        <v>-1.25</v>
      </c>
      <c r="F116" t="n">
        <v>-0.5</v>
      </c>
      <c r="G116" t="n">
        <v>46</v>
      </c>
      <c r="H116" t="n">
        <v>12</v>
      </c>
      <c r="I116" t="s">
        <v>298</v>
      </c>
      <c r="J116" t="n">
        <v>0</v>
      </c>
      <c r="K116" t="n">
        <v>0</v>
      </c>
      <c r="L116" t="n">
        <v>0</v>
      </c>
      <c r="M116" t="n">
        <v>12</v>
      </c>
      <c r="N116" t="n">
        <v>0</v>
      </c>
      <c r="O116" t="n">
        <v>-0.25</v>
      </c>
      <c r="P116" t="n">
        <v>66</v>
      </c>
      <c r="Q116" t="n">
        <v>12</v>
      </c>
      <c r="R116" t="s">
        <v>299</v>
      </c>
      <c r="S116" t="s">
        <v>299</v>
      </c>
      <c r="T116" t="n">
        <v>-0.125</v>
      </c>
    </row>
    <row r="117">
      <c r="A117" t="s">
        <v>32</v>
      </c>
      <c r="B117" t="n">
        <v>1.25</v>
      </c>
      <c r="C117" t="n">
        <v>1.6</v>
      </c>
      <c r="D117" t="n">
        <v>1.6</v>
      </c>
      <c r="E117" t="n">
        <v>-2.25</v>
      </c>
      <c r="F117" t="n">
        <v>-0.5</v>
      </c>
      <c r="G117" t="n">
        <v>104</v>
      </c>
      <c r="H117" t="n">
        <v>12</v>
      </c>
      <c r="I117" t="s">
        <v>298</v>
      </c>
      <c r="J117" t="n">
        <v>0</v>
      </c>
      <c r="K117" t="n">
        <v>0</v>
      </c>
      <c r="L117" t="n">
        <v>0</v>
      </c>
      <c r="M117" t="n">
        <v>12</v>
      </c>
      <c r="N117" t="n">
        <v>0.5</v>
      </c>
      <c r="O117" t="n">
        <v>-0.25</v>
      </c>
      <c r="P117" t="n">
        <v>169</v>
      </c>
      <c r="Q117" t="n">
        <v>12</v>
      </c>
      <c r="R117" t="s">
        <v>299</v>
      </c>
      <c r="S117" t="s">
        <v>299</v>
      </c>
      <c r="T117" t="n">
        <v>0.375</v>
      </c>
    </row>
    <row r="118">
      <c r="A118" t="s">
        <v>32</v>
      </c>
      <c r="B118" t="n">
        <v>1.25</v>
      </c>
      <c r="C118" t="n">
        <v>1.6</v>
      </c>
      <c r="D118" t="n">
        <v>1.6</v>
      </c>
      <c r="E118" t="n">
        <v>-0.25</v>
      </c>
      <c r="F118" t="n">
        <v>-1.25</v>
      </c>
      <c r="G118" t="n">
        <v>4</v>
      </c>
      <c r="H118" t="n">
        <v>12</v>
      </c>
      <c r="I118" t="s">
        <v>298</v>
      </c>
      <c r="J118" t="n">
        <v>0</v>
      </c>
      <c r="K118" t="n">
        <v>0</v>
      </c>
      <c r="L118" t="n">
        <v>0</v>
      </c>
      <c r="M118" t="n">
        <v>12</v>
      </c>
      <c r="N118" t="n">
        <v>0</v>
      </c>
      <c r="O118" t="n">
        <v>-0.25</v>
      </c>
      <c r="P118" t="n">
        <v>27</v>
      </c>
      <c r="Q118" t="n">
        <v>12</v>
      </c>
      <c r="R118" t="s">
        <v>299</v>
      </c>
      <c r="S118" t="s">
        <v>299</v>
      </c>
      <c r="T118" t="n">
        <v>-0.125</v>
      </c>
    </row>
    <row r="119">
      <c r="A119" t="s">
        <v>32</v>
      </c>
      <c r="B119" t="n">
        <v>1.25</v>
      </c>
      <c r="C119" t="n">
        <v>1.25</v>
      </c>
      <c r="D119" t="n">
        <v>1.25</v>
      </c>
      <c r="E119" t="n">
        <v>-1</v>
      </c>
      <c r="F119" t="n">
        <v>-0.75</v>
      </c>
      <c r="G119" t="n">
        <v>180</v>
      </c>
      <c r="H119" t="n">
        <v>12</v>
      </c>
      <c r="I119" t="s">
        <v>298</v>
      </c>
      <c r="J119" t="n">
        <v>0</v>
      </c>
      <c r="K119" t="n">
        <v>0</v>
      </c>
      <c r="L119" t="n">
        <v>0</v>
      </c>
      <c r="M119" t="n">
        <v>12</v>
      </c>
      <c r="N119" t="n">
        <v>0</v>
      </c>
      <c r="O119" t="n">
        <v>-0.25</v>
      </c>
      <c r="P119" t="n">
        <v>1</v>
      </c>
      <c r="Q119" t="n">
        <v>12</v>
      </c>
      <c r="R119" t="s">
        <v>298</v>
      </c>
      <c r="S119" t="s">
        <v>298</v>
      </c>
      <c r="T119" t="n">
        <v>-0.125</v>
      </c>
    </row>
    <row r="120">
      <c r="A120" t="s">
        <v>32</v>
      </c>
      <c r="B120" t="n">
        <v>1</v>
      </c>
      <c r="C120" t="n">
        <v>0.8</v>
      </c>
      <c r="D120" t="n">
        <v>1</v>
      </c>
      <c r="E120" t="n">
        <v>-3.75</v>
      </c>
      <c r="F120" t="n">
        <v>-0.25</v>
      </c>
      <c r="G120" t="n">
        <v>15</v>
      </c>
      <c r="H120" t="n">
        <v>12</v>
      </c>
      <c r="I120" t="s">
        <v>297</v>
      </c>
      <c r="J120" t="n">
        <v>0</v>
      </c>
      <c r="K120" t="n">
        <v>0</v>
      </c>
      <c r="L120" t="n">
        <v>0</v>
      </c>
      <c r="M120" t="n">
        <v>12</v>
      </c>
      <c r="N120" t="n">
        <v>0.75</v>
      </c>
      <c r="O120" t="n">
        <v>-0.25</v>
      </c>
      <c r="P120" t="n">
        <v>44</v>
      </c>
      <c r="Q120" t="n">
        <v>12</v>
      </c>
      <c r="R120" t="s">
        <v>297</v>
      </c>
      <c r="S120" t="s">
        <v>296</v>
      </c>
      <c r="T120" t="n">
        <v>0.625</v>
      </c>
    </row>
    <row r="121">
      <c r="A121" t="s">
        <v>32</v>
      </c>
      <c r="B121" t="n">
        <v>1</v>
      </c>
      <c r="C121" t="n">
        <v>1.25</v>
      </c>
      <c r="D121" t="n">
        <v>1.25</v>
      </c>
      <c r="E121" t="n">
        <v>-5</v>
      </c>
      <c r="F121" t="n">
        <v>-0.25</v>
      </c>
      <c r="G121" t="n">
        <v>166</v>
      </c>
      <c r="H121" t="n">
        <v>12</v>
      </c>
      <c r="I121" t="s">
        <v>297</v>
      </c>
      <c r="J121" t="n">
        <v>0</v>
      </c>
      <c r="K121" t="n">
        <v>0</v>
      </c>
      <c r="L121" t="n">
        <v>0</v>
      </c>
      <c r="M121" t="n">
        <v>12</v>
      </c>
      <c r="N121" t="n">
        <v>0</v>
      </c>
      <c r="O121" t="n">
        <v>-0.25</v>
      </c>
      <c r="P121" t="n">
        <v>146</v>
      </c>
      <c r="Q121" t="n">
        <v>12</v>
      </c>
      <c r="R121" t="s">
        <v>298</v>
      </c>
      <c r="S121" t="s">
        <v>298</v>
      </c>
      <c r="T121" t="n">
        <v>-0.125</v>
      </c>
    </row>
    <row r="122">
      <c r="A122" t="s">
        <v>32</v>
      </c>
      <c r="B122" t="n">
        <v>1</v>
      </c>
      <c r="C122" t="n">
        <v>1.25</v>
      </c>
      <c r="D122" t="n">
        <v>1.25</v>
      </c>
      <c r="E122" t="n">
        <v>-3</v>
      </c>
      <c r="F122" t="n">
        <v>-0.75</v>
      </c>
      <c r="G122" t="n">
        <v>37</v>
      </c>
      <c r="H122" t="n">
        <v>12</v>
      </c>
      <c r="I122" t="s">
        <v>297</v>
      </c>
      <c r="J122" t="n">
        <v>0</v>
      </c>
      <c r="K122" t="n">
        <v>0</v>
      </c>
      <c r="L122" t="n">
        <v>0</v>
      </c>
      <c r="M122" t="n">
        <v>12</v>
      </c>
      <c r="N122" t="n">
        <v>0.25</v>
      </c>
      <c r="O122" t="n">
        <v>0</v>
      </c>
      <c r="P122" t="n">
        <v>56</v>
      </c>
      <c r="Q122" t="n">
        <v>12</v>
      </c>
      <c r="R122" t="s">
        <v>298</v>
      </c>
      <c r="S122" t="s">
        <v>298</v>
      </c>
      <c r="T122" t="n">
        <v>0.25</v>
      </c>
    </row>
    <row r="123">
      <c r="A123" t="s">
        <v>32</v>
      </c>
      <c r="B123" t="n">
        <v>1</v>
      </c>
      <c r="C123"/>
      <c r="D123" t="n">
        <v>1</v>
      </c>
      <c r="E123" t="n">
        <v>-2.75</v>
      </c>
      <c r="F123" t="n">
        <v>-0.25</v>
      </c>
      <c r="G123" t="n">
        <v>145</v>
      </c>
      <c r="H123" t="n">
        <v>12</v>
      </c>
      <c r="I123" t="s">
        <v>297</v>
      </c>
      <c r="J123" t="n">
        <v>0</v>
      </c>
      <c r="K123" t="n">
        <v>0</v>
      </c>
      <c r="L123" t="n">
        <v>0</v>
      </c>
      <c r="M123" t="n">
        <v>12</v>
      </c>
      <c r="N123" t="n">
        <v>-0.25</v>
      </c>
      <c r="O123" t="n">
        <v>-0.25</v>
      </c>
      <c r="P123" t="n">
        <v>15</v>
      </c>
      <c r="Q123" t="n">
        <v>12</v>
      </c>
      <c r="R123" t="s">
        <v>297</v>
      </c>
      <c r="S123" t="s">
        <v>109</v>
      </c>
      <c r="T123" t="n">
        <v>-0.375</v>
      </c>
    </row>
    <row r="124">
      <c r="A124" t="s">
        <v>32</v>
      </c>
      <c r="B124" t="n">
        <v>1.25</v>
      </c>
      <c r="C124" t="n">
        <v>1.25</v>
      </c>
      <c r="D124" t="n">
        <v>1.25</v>
      </c>
      <c r="E124" t="n">
        <v>-6.25</v>
      </c>
      <c r="F124" t="n">
        <v>-0.75</v>
      </c>
      <c r="G124" t="n">
        <v>12</v>
      </c>
      <c r="H124" t="n">
        <v>12</v>
      </c>
      <c r="I124" t="s">
        <v>298</v>
      </c>
      <c r="J124" t="n">
        <v>0</v>
      </c>
      <c r="K124" t="n">
        <v>0</v>
      </c>
      <c r="L124" t="n">
        <v>0</v>
      </c>
      <c r="M124" t="n">
        <v>12</v>
      </c>
      <c r="N124" t="n">
        <v>-0.25</v>
      </c>
      <c r="O124" t="n">
        <v>-0.25</v>
      </c>
      <c r="P124" t="n">
        <v>91</v>
      </c>
      <c r="Q124" t="n">
        <v>12</v>
      </c>
      <c r="R124" t="s">
        <v>298</v>
      </c>
      <c r="S124" t="s">
        <v>298</v>
      </c>
      <c r="T124" t="n">
        <v>-0.375</v>
      </c>
    </row>
    <row r="125">
      <c r="A125" t="s">
        <v>32</v>
      </c>
      <c r="B125" t="n">
        <v>1</v>
      </c>
      <c r="C125" t="n">
        <v>1</v>
      </c>
      <c r="D125" t="n">
        <v>1</v>
      </c>
      <c r="E125" t="n">
        <v>-3</v>
      </c>
      <c r="F125" t="n">
        <v>-1</v>
      </c>
      <c r="G125" t="n">
        <v>166</v>
      </c>
      <c r="H125" t="n">
        <v>12</v>
      </c>
      <c r="I125" t="s">
        <v>297</v>
      </c>
      <c r="J125" t="n">
        <v>0</v>
      </c>
      <c r="K125" t="n">
        <v>0</v>
      </c>
      <c r="L125" t="n">
        <v>0</v>
      </c>
      <c r="M125" t="n">
        <v>12</v>
      </c>
      <c r="N125" t="n">
        <v>0.75</v>
      </c>
      <c r="O125" t="n">
        <v>-0.25</v>
      </c>
      <c r="P125" t="n">
        <v>112</v>
      </c>
      <c r="Q125" t="n">
        <v>12</v>
      </c>
      <c r="R125" t="s">
        <v>297</v>
      </c>
      <c r="S125" t="s">
        <v>297</v>
      </c>
      <c r="T125" t="n">
        <v>0.625</v>
      </c>
    </row>
    <row r="126">
      <c r="A126" t="s">
        <v>32</v>
      </c>
      <c r="B126" t="n">
        <v>0.8</v>
      </c>
      <c r="C126" t="n">
        <v>0.8</v>
      </c>
      <c r="D126" t="n">
        <v>0.8</v>
      </c>
      <c r="E126" t="n">
        <v>-3.25</v>
      </c>
      <c r="F126" t="n">
        <v>-0.5</v>
      </c>
      <c r="G126" t="n">
        <v>10</v>
      </c>
      <c r="H126" t="n">
        <v>12</v>
      </c>
      <c r="I126" t="s">
        <v>296</v>
      </c>
      <c r="J126" t="n">
        <v>0</v>
      </c>
      <c r="K126" t="n">
        <v>0</v>
      </c>
      <c r="L126" t="n">
        <v>0</v>
      </c>
      <c r="M126" t="n">
        <v>12</v>
      </c>
      <c r="N126" t="n">
        <v>0.75</v>
      </c>
      <c r="O126" t="n">
        <v>-0.25</v>
      </c>
      <c r="P126" t="n">
        <v>119</v>
      </c>
      <c r="Q126" t="n">
        <v>12</v>
      </c>
      <c r="R126" t="s">
        <v>296</v>
      </c>
      <c r="S126" t="s">
        <v>296</v>
      </c>
      <c r="T126" t="n">
        <v>0.625</v>
      </c>
    </row>
    <row r="127">
      <c r="A127" t="s">
        <v>32</v>
      </c>
      <c r="B127" t="n">
        <v>1</v>
      </c>
      <c r="C127" t="n">
        <v>1.25</v>
      </c>
      <c r="D127" t="n">
        <v>1.25</v>
      </c>
      <c r="E127" t="n">
        <v>-1.5</v>
      </c>
      <c r="F127" t="n">
        <v>-1.25</v>
      </c>
      <c r="G127" t="n">
        <v>90</v>
      </c>
      <c r="H127" t="n">
        <v>12</v>
      </c>
      <c r="I127" t="s">
        <v>297</v>
      </c>
      <c r="J127" t="n">
        <v>0</v>
      </c>
      <c r="K127" t="n">
        <v>0</v>
      </c>
      <c r="L127" t="n">
        <v>0</v>
      </c>
      <c r="M127" t="n">
        <v>12</v>
      </c>
      <c r="N127" t="n">
        <v>0</v>
      </c>
      <c r="O127" t="n">
        <v>-0.25</v>
      </c>
      <c r="P127" t="n">
        <v>120</v>
      </c>
      <c r="Q127" t="n">
        <v>12</v>
      </c>
      <c r="R127" t="s">
        <v>298</v>
      </c>
      <c r="S127" t="s">
        <v>298</v>
      </c>
      <c r="T127" t="n">
        <v>-0.125</v>
      </c>
    </row>
    <row r="128">
      <c r="A128" t="s">
        <v>32</v>
      </c>
      <c r="B128" t="n">
        <v>1</v>
      </c>
      <c r="C128" t="n">
        <v>0.8</v>
      </c>
      <c r="D128" t="n">
        <v>1.25</v>
      </c>
      <c r="E128" t="n">
        <v>-2.75</v>
      </c>
      <c r="F128" t="n">
        <v>-1.5</v>
      </c>
      <c r="G128" t="n">
        <v>175</v>
      </c>
      <c r="H128" t="n">
        <v>12</v>
      </c>
      <c r="I128" t="s">
        <v>297</v>
      </c>
      <c r="J128" t="n">
        <v>0</v>
      </c>
      <c r="K128" t="n">
        <v>0</v>
      </c>
      <c r="L128" t="n">
        <v>0</v>
      </c>
      <c r="M128" t="n">
        <v>12</v>
      </c>
      <c r="N128" t="n">
        <v>-0.25</v>
      </c>
      <c r="O128" t="n">
        <v>-0.5</v>
      </c>
      <c r="P128" t="n">
        <v>143</v>
      </c>
      <c r="Q128" t="n">
        <v>12</v>
      </c>
      <c r="R128" t="s">
        <v>298</v>
      </c>
      <c r="S128" t="s">
        <v>296</v>
      </c>
      <c r="T128" t="n">
        <v>-0.5</v>
      </c>
    </row>
    <row r="129">
      <c r="A129" t="s">
        <v>32</v>
      </c>
      <c r="B129" t="n">
        <v>1</v>
      </c>
      <c r="C129" t="n">
        <v>0.8</v>
      </c>
      <c r="D129" t="n">
        <v>1.25</v>
      </c>
      <c r="E129" t="n">
        <v>-3.5</v>
      </c>
      <c r="F129" t="n">
        <v>-1.5</v>
      </c>
      <c r="G129" t="n">
        <v>15</v>
      </c>
      <c r="H129" t="n">
        <v>12</v>
      </c>
      <c r="I129" t="s">
        <v>297</v>
      </c>
      <c r="J129" t="n">
        <v>0</v>
      </c>
      <c r="K129" t="n">
        <v>0</v>
      </c>
      <c r="L129" t="n">
        <v>0</v>
      </c>
      <c r="M129" t="n">
        <v>12</v>
      </c>
      <c r="N129" t="n">
        <v>0.25</v>
      </c>
      <c r="O129" t="n">
        <v>-1.25</v>
      </c>
      <c r="P129" t="n">
        <v>43</v>
      </c>
      <c r="Q129" t="n">
        <v>12</v>
      </c>
      <c r="R129" t="s">
        <v>298</v>
      </c>
      <c r="S129" t="s">
        <v>296</v>
      </c>
      <c r="T129" t="n">
        <v>-0.375</v>
      </c>
    </row>
    <row r="130">
      <c r="A130" t="s">
        <v>32</v>
      </c>
      <c r="B130" t="n">
        <v>1</v>
      </c>
      <c r="C130" t="n">
        <v>1</v>
      </c>
      <c r="D130" t="n">
        <v>1</v>
      </c>
      <c r="E130" t="n">
        <v>-6</v>
      </c>
      <c r="F130" t="n">
        <v>-0.75</v>
      </c>
      <c r="G130" t="n">
        <v>84</v>
      </c>
      <c r="H130" t="n">
        <v>12</v>
      </c>
      <c r="I130" t="s">
        <v>297</v>
      </c>
      <c r="J130" t="n">
        <v>0</v>
      </c>
      <c r="K130" t="n">
        <v>0</v>
      </c>
      <c r="L130" t="n">
        <v>0</v>
      </c>
      <c r="M130" t="n">
        <v>12</v>
      </c>
      <c r="N130" t="n">
        <v>0</v>
      </c>
      <c r="O130" t="n">
        <v>-0.25</v>
      </c>
      <c r="P130" t="n">
        <v>56</v>
      </c>
      <c r="Q130" t="n">
        <v>12</v>
      </c>
      <c r="R130" t="s">
        <v>297</v>
      </c>
      <c r="S130" t="s">
        <v>297</v>
      </c>
      <c r="T130" t="n">
        <v>-0.125</v>
      </c>
    </row>
    <row r="131">
      <c r="A131" t="s">
        <v>32</v>
      </c>
      <c r="B131" t="n">
        <v>1</v>
      </c>
      <c r="C131" t="n">
        <v>1</v>
      </c>
      <c r="D131" t="n">
        <v>1</v>
      </c>
      <c r="E131" t="n">
        <v>-7</v>
      </c>
      <c r="F131" t="n">
        <v>-0.5</v>
      </c>
      <c r="G131" t="n">
        <v>97</v>
      </c>
      <c r="H131" t="n">
        <v>12</v>
      </c>
      <c r="I131" t="s">
        <v>297</v>
      </c>
      <c r="J131" t="n">
        <v>0</v>
      </c>
      <c r="K131" t="n">
        <v>0</v>
      </c>
      <c r="L131" t="n">
        <v>0</v>
      </c>
      <c r="M131" t="n">
        <v>12</v>
      </c>
      <c r="N131" t="n">
        <v>-0.25</v>
      </c>
      <c r="O131" t="n">
        <v>0</v>
      </c>
      <c r="P131" t="n">
        <v>29</v>
      </c>
      <c r="Q131" t="n">
        <v>12</v>
      </c>
      <c r="R131" t="s">
        <v>297</v>
      </c>
      <c r="S131" t="s">
        <v>297</v>
      </c>
      <c r="T131" t="n">
        <v>-0.25</v>
      </c>
    </row>
    <row r="132">
      <c r="A132" t="s">
        <v>32</v>
      </c>
      <c r="B132" t="n">
        <v>1.25</v>
      </c>
      <c r="C132" t="n">
        <v>1.25</v>
      </c>
      <c r="D132" t="n">
        <v>1.25</v>
      </c>
      <c r="E132" t="n">
        <v>-0.25</v>
      </c>
      <c r="F132" t="n">
        <v>-2</v>
      </c>
      <c r="G132" t="n">
        <v>19</v>
      </c>
      <c r="H132" t="n">
        <v>12</v>
      </c>
      <c r="I132" t="s">
        <v>298</v>
      </c>
      <c r="J132" t="n">
        <v>0</v>
      </c>
      <c r="K132" t="n">
        <v>0</v>
      </c>
      <c r="L132" t="n">
        <v>0</v>
      </c>
      <c r="M132" t="n">
        <v>12</v>
      </c>
      <c r="N132" t="n">
        <v>0.25</v>
      </c>
      <c r="O132" t="n">
        <v>-0.25</v>
      </c>
      <c r="P132" t="n">
        <v>2</v>
      </c>
      <c r="Q132" t="n">
        <v>12</v>
      </c>
      <c r="R132" t="s">
        <v>298</v>
      </c>
      <c r="S132" t="s">
        <v>298</v>
      </c>
      <c r="T132" t="n">
        <v>0.125</v>
      </c>
    </row>
    <row r="133">
      <c r="A133" t="s">
        <v>32</v>
      </c>
      <c r="B133" t="n">
        <v>1.25</v>
      </c>
      <c r="C133" t="n">
        <v>1.25</v>
      </c>
      <c r="D133" t="n">
        <v>1.25</v>
      </c>
      <c r="E133" t="n">
        <v>-1.5</v>
      </c>
      <c r="F133" t="n">
        <v>-0.25</v>
      </c>
      <c r="G133" t="n">
        <v>168</v>
      </c>
      <c r="H133" t="n">
        <v>12</v>
      </c>
      <c r="I133" t="s">
        <v>298</v>
      </c>
      <c r="J133" t="n">
        <v>0</v>
      </c>
      <c r="K133" t="n">
        <v>0</v>
      </c>
      <c r="L133" t="n">
        <v>0</v>
      </c>
      <c r="M133" t="n">
        <v>12</v>
      </c>
      <c r="N133" t="n">
        <v>0.25</v>
      </c>
      <c r="O133" t="n">
        <v>-0.25</v>
      </c>
      <c r="P133" t="n">
        <v>165</v>
      </c>
      <c r="Q133" t="n">
        <v>12</v>
      </c>
      <c r="R133" t="s">
        <v>298</v>
      </c>
      <c r="S133" t="s">
        <v>298</v>
      </c>
      <c r="T133" t="n">
        <v>0.125</v>
      </c>
    </row>
    <row r="134">
      <c r="A134" t="s">
        <v>32</v>
      </c>
      <c r="B134" t="n">
        <v>1.25</v>
      </c>
      <c r="C134" t="n">
        <v>1.25</v>
      </c>
      <c r="D134" t="n">
        <v>1.25</v>
      </c>
      <c r="E134" t="n">
        <v>-2.75</v>
      </c>
      <c r="F134" t="n">
        <v>-0.25</v>
      </c>
      <c r="G134" t="n">
        <v>14</v>
      </c>
      <c r="H134" t="n">
        <v>12</v>
      </c>
      <c r="I134" t="s">
        <v>298</v>
      </c>
      <c r="J134" t="n">
        <v>0</v>
      </c>
      <c r="K134" t="n">
        <v>0</v>
      </c>
      <c r="L134" t="n">
        <v>0</v>
      </c>
      <c r="M134" t="n">
        <v>12</v>
      </c>
      <c r="N134" t="n">
        <v>0</v>
      </c>
      <c r="O134" t="n">
        <v>-0.25</v>
      </c>
      <c r="P134" t="n">
        <v>24</v>
      </c>
      <c r="Q134" t="n">
        <v>12</v>
      </c>
      <c r="R134" t="s">
        <v>298</v>
      </c>
      <c r="S134" t="s">
        <v>298</v>
      </c>
      <c r="T134" t="n">
        <v>-0.125</v>
      </c>
    </row>
    <row r="135">
      <c r="A135" t="s">
        <v>32</v>
      </c>
      <c r="B135" t="n">
        <v>1.25</v>
      </c>
      <c r="C135" t="n">
        <v>1.25</v>
      </c>
      <c r="D135" t="n">
        <v>1.25</v>
      </c>
      <c r="E135" t="n">
        <v>-2.75</v>
      </c>
      <c r="F135" t="n">
        <v>-0.25</v>
      </c>
      <c r="G135" t="n">
        <v>159</v>
      </c>
      <c r="H135" t="n">
        <v>12</v>
      </c>
      <c r="I135" t="s">
        <v>298</v>
      </c>
      <c r="J135" t="n">
        <v>0</v>
      </c>
      <c r="K135" t="n">
        <v>0</v>
      </c>
      <c r="L135" t="n">
        <v>0</v>
      </c>
      <c r="M135" t="n">
        <v>12</v>
      </c>
      <c r="N135" t="n">
        <v>0.25</v>
      </c>
      <c r="O135" t="n">
        <v>0</v>
      </c>
      <c r="P135" t="n">
        <v>145</v>
      </c>
      <c r="Q135" t="n">
        <v>12</v>
      </c>
      <c r="R135" t="s">
        <v>298</v>
      </c>
      <c r="S135" t="s">
        <v>298</v>
      </c>
      <c r="T135" t="n">
        <v>0.25</v>
      </c>
    </row>
    <row r="136">
      <c r="A136" t="s">
        <v>32</v>
      </c>
      <c r="B136" t="n">
        <v>1</v>
      </c>
      <c r="C136" t="n">
        <v>1</v>
      </c>
      <c r="D136" t="n">
        <v>1</v>
      </c>
      <c r="E136" t="n">
        <v>-4.25</v>
      </c>
      <c r="F136" t="n">
        <v>-0.75</v>
      </c>
      <c r="G136" t="n">
        <v>121</v>
      </c>
      <c r="H136" t="n">
        <v>12</v>
      </c>
      <c r="I136" t="s">
        <v>297</v>
      </c>
      <c r="J136" t="n">
        <v>0</v>
      </c>
      <c r="K136" t="n">
        <v>0</v>
      </c>
      <c r="L136" t="n">
        <v>0</v>
      </c>
      <c r="M136" t="n">
        <v>12</v>
      </c>
      <c r="N136" t="n">
        <v>-0.25</v>
      </c>
      <c r="O136" t="n">
        <v>0</v>
      </c>
      <c r="P136" t="n">
        <v>78</v>
      </c>
      <c r="Q136" t="n">
        <v>12</v>
      </c>
      <c r="R136" t="s">
        <v>297</v>
      </c>
      <c r="S136" t="s">
        <v>297</v>
      </c>
      <c r="T136" t="n">
        <v>-0.25</v>
      </c>
    </row>
    <row r="137">
      <c r="A137" t="s">
        <v>32</v>
      </c>
      <c r="B137" t="n">
        <v>1</v>
      </c>
      <c r="C137" t="n">
        <v>0.8</v>
      </c>
      <c r="D137" t="n">
        <v>1</v>
      </c>
      <c r="E137" t="n">
        <v>-3.75</v>
      </c>
      <c r="F137" t="n">
        <v>-1</v>
      </c>
      <c r="G137" t="n">
        <v>52</v>
      </c>
      <c r="H137" t="n">
        <v>12</v>
      </c>
      <c r="I137" t="s">
        <v>297</v>
      </c>
      <c r="J137" t="n">
        <v>0</v>
      </c>
      <c r="K137" t="n">
        <v>0</v>
      </c>
      <c r="L137" t="n">
        <v>0</v>
      </c>
      <c r="M137" t="n">
        <v>12</v>
      </c>
      <c r="N137" t="n">
        <v>-0.25</v>
      </c>
      <c r="O137" t="n">
        <v>-0.25</v>
      </c>
      <c r="P137" t="n">
        <v>159</v>
      </c>
      <c r="Q137" t="n">
        <v>12</v>
      </c>
      <c r="R137" t="s">
        <v>297</v>
      </c>
      <c r="S137" t="s">
        <v>296</v>
      </c>
      <c r="T137" t="n">
        <v>-0.375</v>
      </c>
    </row>
    <row r="138">
      <c r="A138" t="s">
        <v>32</v>
      </c>
      <c r="B138" t="n">
        <v>1</v>
      </c>
      <c r="C138" t="n">
        <v>1</v>
      </c>
      <c r="D138" t="n">
        <v>1</v>
      </c>
      <c r="E138" t="n">
        <v>-2.25</v>
      </c>
      <c r="F138" t="n">
        <v>-0.5</v>
      </c>
      <c r="G138" t="n">
        <v>141</v>
      </c>
      <c r="H138" t="n">
        <v>12</v>
      </c>
      <c r="I138" t="s">
        <v>297</v>
      </c>
      <c r="J138" t="n">
        <v>0</v>
      </c>
      <c r="K138" t="n">
        <v>0</v>
      </c>
      <c r="L138" t="n">
        <v>0</v>
      </c>
      <c r="M138" t="n">
        <v>12</v>
      </c>
      <c r="N138" t="n">
        <v>-0.25</v>
      </c>
      <c r="O138" t="n">
        <v>-0.25</v>
      </c>
      <c r="P138" t="n">
        <v>136</v>
      </c>
      <c r="Q138" t="n">
        <v>12</v>
      </c>
      <c r="R138" t="s">
        <v>297</v>
      </c>
      <c r="S138" t="s">
        <v>297</v>
      </c>
      <c r="T138" t="n">
        <v>-0.375</v>
      </c>
    </row>
  </sheetData>
  <pageMargins left="0.7" right="0.7" top="0.75" bottom="0.75" header="0.3" footer="0.3"/>
  <pageSetup paperSize="9" orientation="portrait" horizontalDpi="300" verticalDpi="300" r:id="rId2"/>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302</v>
      </c>
      <c r="B1" t="s">
        <v>303</v>
      </c>
      <c r="C1" t="s">
        <v>304</v>
      </c>
      <c r="D1" t="s">
        <v>305</v>
      </c>
      <c r="E1" t="s">
        <v>306</v>
      </c>
    </row>
    <row r="2">
      <c r="A2" t="s">
        <v>307</v>
      </c>
      <c r="B2" t="n">
        <v>-0.5</v>
      </c>
      <c r="C2" t="n">
        <v>139</v>
      </c>
      <c r="D2" t="n">
        <v>-0.25</v>
      </c>
      <c r="E2" t="n">
        <v>27</v>
      </c>
    </row>
    <row r="3">
      <c r="A3" t="s">
        <v>308</v>
      </c>
      <c r="B3" t="n">
        <v>-0.75</v>
      </c>
      <c r="C3" t="n">
        <v>41</v>
      </c>
      <c r="D3" t="n">
        <v>-0.25</v>
      </c>
      <c r="E3" t="n">
        <v>75</v>
      </c>
    </row>
    <row r="4">
      <c r="A4" t="s">
        <v>307</v>
      </c>
      <c r="B4" t="n">
        <v>-0.75</v>
      </c>
      <c r="C4" t="n">
        <v>70</v>
      </c>
      <c r="D4" t="n">
        <v>-0.5</v>
      </c>
      <c r="E4" t="n">
        <v>78</v>
      </c>
    </row>
    <row r="5">
      <c r="A5" t="s">
        <v>308</v>
      </c>
      <c r="B5" t="n">
        <v>-1</v>
      </c>
      <c r="C5" t="n">
        <v>170</v>
      </c>
      <c r="D5" t="n">
        <v>-0.75</v>
      </c>
      <c r="E5" t="n">
        <v>131</v>
      </c>
    </row>
    <row r="6">
      <c r="A6" t="s">
        <v>307</v>
      </c>
      <c r="B6" t="n">
        <v>-0.75</v>
      </c>
      <c r="C6" t="n">
        <v>95</v>
      </c>
      <c r="D6" t="n">
        <v>-0.25</v>
      </c>
      <c r="E6" t="n">
        <v>92</v>
      </c>
    </row>
    <row r="7">
      <c r="A7" t="s">
        <v>308</v>
      </c>
      <c r="B7" t="n">
        <v>-0.5</v>
      </c>
      <c r="C7" t="n">
        <v>106</v>
      </c>
      <c r="D7" t="n">
        <v>-0.25</v>
      </c>
      <c r="E7" t="n">
        <v>123</v>
      </c>
    </row>
    <row r="8">
      <c r="A8" t="s">
        <v>308</v>
      </c>
      <c r="B8" t="n">
        <v>-1.5</v>
      </c>
      <c r="C8" t="n">
        <v>172</v>
      </c>
      <c r="D8" t="n">
        <v>-0.25</v>
      </c>
      <c r="E8" t="n">
        <v>37</v>
      </c>
    </row>
    <row r="9">
      <c r="A9" t="s">
        <v>307</v>
      </c>
      <c r="B9" t="n">
        <v>-1.25</v>
      </c>
      <c r="C9" t="n">
        <v>171</v>
      </c>
      <c r="D9" t="n">
        <v>-0.25</v>
      </c>
      <c r="E9" t="n">
        <v>162</v>
      </c>
    </row>
    <row r="10">
      <c r="A10" t="s">
        <v>308</v>
      </c>
      <c r="B10" t="n">
        <v>-0.5</v>
      </c>
      <c r="C10" t="n">
        <v>22</v>
      </c>
      <c r="D10" t="n">
        <v>-0.25</v>
      </c>
      <c r="E10" t="n">
        <v>48</v>
      </c>
    </row>
    <row r="11">
      <c r="A11" t="s">
        <v>307</v>
      </c>
      <c r="B11" t="n">
        <v>-0.25</v>
      </c>
      <c r="C11" t="n">
        <v>165</v>
      </c>
      <c r="D11" t="n">
        <v>0</v>
      </c>
      <c r="E11" t="n">
        <v>114</v>
      </c>
    </row>
    <row r="12">
      <c r="A12" t="s">
        <v>308</v>
      </c>
      <c r="B12" t="n">
        <v>-0.75</v>
      </c>
      <c r="C12" t="n">
        <v>50</v>
      </c>
      <c r="D12" t="n">
        <v>-0.5</v>
      </c>
      <c r="E12" t="n">
        <v>31</v>
      </c>
    </row>
    <row r="13">
      <c r="A13" t="s">
        <v>308</v>
      </c>
      <c r="B13" t="n">
        <v>-0.5</v>
      </c>
      <c r="C13" t="n">
        <v>85</v>
      </c>
      <c r="D13" t="n">
        <v>0</v>
      </c>
      <c r="E13" t="n">
        <v>131</v>
      </c>
    </row>
    <row r="14">
      <c r="A14" t="s">
        <v>307</v>
      </c>
      <c r="B14" t="n">
        <v>-1.5</v>
      </c>
      <c r="C14" t="n">
        <v>57</v>
      </c>
      <c r="D14" t="n">
        <v>0</v>
      </c>
      <c r="E14" t="n">
        <v>84</v>
      </c>
    </row>
    <row r="15">
      <c r="A15" t="s">
        <v>308</v>
      </c>
      <c r="B15" t="n">
        <v>-1</v>
      </c>
      <c r="C15" t="n">
        <v>128</v>
      </c>
      <c r="D15" t="n">
        <v>0</v>
      </c>
      <c r="E15" t="n">
        <v>42</v>
      </c>
    </row>
    <row r="16">
      <c r="A16" t="s">
        <v>307</v>
      </c>
      <c r="B16" t="n">
        <v>-1.25</v>
      </c>
      <c r="C16" t="n">
        <v>15</v>
      </c>
      <c r="D16" t="n">
        <v>-0.5</v>
      </c>
      <c r="E16" t="n">
        <v>37</v>
      </c>
    </row>
    <row r="17">
      <c r="A17" t="s">
        <v>308</v>
      </c>
      <c r="B17" t="n">
        <v>-0.5</v>
      </c>
      <c r="C17" t="n">
        <v>6</v>
      </c>
      <c r="D17" t="n">
        <v>-0.25</v>
      </c>
      <c r="E17" t="n">
        <v>164</v>
      </c>
    </row>
    <row r="18">
      <c r="A18" t="s">
        <v>307</v>
      </c>
      <c r="B18" t="n">
        <v>-1.75</v>
      </c>
      <c r="C18" t="n">
        <v>23</v>
      </c>
      <c r="D18" t="n">
        <v>-0.5</v>
      </c>
      <c r="E18" t="n">
        <v>172</v>
      </c>
    </row>
    <row r="19">
      <c r="A19" t="s">
        <v>308</v>
      </c>
      <c r="B19" t="n">
        <v>-0.75</v>
      </c>
      <c r="C19" t="n">
        <v>149</v>
      </c>
      <c r="D19" t="n">
        <v>-0.25</v>
      </c>
      <c r="E19" t="n">
        <v>117</v>
      </c>
    </row>
    <row r="20">
      <c r="A20" t="s">
        <v>307</v>
      </c>
      <c r="B20" t="n">
        <v>-1.75</v>
      </c>
      <c r="C20" t="n">
        <v>108</v>
      </c>
      <c r="D20" t="n">
        <v>-0.25</v>
      </c>
      <c r="E20" t="n">
        <v>15</v>
      </c>
    </row>
    <row r="21">
      <c r="A21" t="s">
        <v>308</v>
      </c>
      <c r="B21" t="n">
        <v>-1</v>
      </c>
      <c r="C21" t="n">
        <v>67</v>
      </c>
      <c r="D21" t="n">
        <v>-0.25</v>
      </c>
      <c r="E21" t="n">
        <v>161</v>
      </c>
    </row>
    <row r="22">
      <c r="A22" t="s">
        <v>307</v>
      </c>
      <c r="B22" t="n">
        <v>-1</v>
      </c>
      <c r="C22" t="n">
        <v>109</v>
      </c>
      <c r="D22" t="n">
        <v>0</v>
      </c>
      <c r="E22" t="n">
        <v>159</v>
      </c>
    </row>
    <row r="23">
      <c r="A23" t="s">
        <v>308</v>
      </c>
      <c r="B23" t="n">
        <v>-0.25</v>
      </c>
      <c r="C23" t="n">
        <v>14</v>
      </c>
      <c r="D23" t="n">
        <v>-0.25</v>
      </c>
      <c r="E23" t="n">
        <v>84</v>
      </c>
    </row>
    <row r="24">
      <c r="A24" t="s">
        <v>307</v>
      </c>
      <c r="B24" t="n">
        <v>-0.5</v>
      </c>
      <c r="C24" t="n">
        <v>179</v>
      </c>
      <c r="D24"/>
      <c r="E24"/>
    </row>
    <row r="25">
      <c r="A25" t="s">
        <v>308</v>
      </c>
      <c r="B25" t="n">
        <v>-0.5</v>
      </c>
      <c r="C25" t="n">
        <v>176</v>
      </c>
      <c r="D25"/>
      <c r="E25"/>
    </row>
    <row r="26">
      <c r="A26" t="s">
        <v>308</v>
      </c>
      <c r="B26" t="n">
        <v>-1.25</v>
      </c>
      <c r="C26" t="n">
        <v>2</v>
      </c>
      <c r="D26" t="n">
        <v>-0.25</v>
      </c>
      <c r="E26" t="n">
        <v>157</v>
      </c>
    </row>
    <row r="27">
      <c r="A27" t="s">
        <v>308</v>
      </c>
      <c r="B27" t="n">
        <v>-1</v>
      </c>
      <c r="C27" t="n">
        <v>21</v>
      </c>
      <c r="D27" t="n">
        <v>-0.25</v>
      </c>
      <c r="E27" t="n">
        <v>52</v>
      </c>
    </row>
    <row r="28">
      <c r="A28" t="s">
        <v>307</v>
      </c>
      <c r="B28" t="n">
        <v>-1</v>
      </c>
      <c r="C28" t="n">
        <v>167</v>
      </c>
      <c r="D28" t="n">
        <v>-0.25</v>
      </c>
      <c r="E28" t="n">
        <v>142</v>
      </c>
    </row>
    <row r="29">
      <c r="A29" t="s">
        <v>307</v>
      </c>
      <c r="B29" t="n">
        <v>-0.75</v>
      </c>
      <c r="C29" t="n">
        <v>116</v>
      </c>
      <c r="D29"/>
      <c r="E29"/>
    </row>
    <row r="30">
      <c r="A30" t="s">
        <v>308</v>
      </c>
      <c r="B30" t="n">
        <v>-1</v>
      </c>
      <c r="C30" t="n">
        <v>83</v>
      </c>
      <c r="D30" t="n">
        <v>-0.25</v>
      </c>
      <c r="E30" t="n">
        <v>165</v>
      </c>
    </row>
    <row r="31">
      <c r="A31" t="s">
        <v>307</v>
      </c>
      <c r="B31" t="n">
        <v>-1</v>
      </c>
      <c r="C31" t="n">
        <v>170</v>
      </c>
      <c r="D31" t="n">
        <v>-0.25</v>
      </c>
      <c r="E31" t="n">
        <v>70</v>
      </c>
    </row>
    <row r="32">
      <c r="A32" t="s">
        <v>308</v>
      </c>
      <c r="B32" t="n">
        <v>-1.25</v>
      </c>
      <c r="C32" t="n">
        <v>170</v>
      </c>
      <c r="D32" t="n">
        <v>-0.25</v>
      </c>
      <c r="E32" t="n">
        <v>108</v>
      </c>
    </row>
    <row r="33">
      <c r="A33" t="s">
        <v>307</v>
      </c>
      <c r="B33" t="n">
        <v>-1.5</v>
      </c>
      <c r="C33" t="n">
        <v>160</v>
      </c>
      <c r="D33" t="n">
        <v>-0.5</v>
      </c>
      <c r="E33" t="n">
        <v>106</v>
      </c>
    </row>
    <row r="34">
      <c r="A34" t="s">
        <v>308</v>
      </c>
      <c r="B34" t="n">
        <v>-0.5</v>
      </c>
      <c r="C34" t="n">
        <v>11</v>
      </c>
      <c r="D34" t="n">
        <v>0</v>
      </c>
      <c r="E34" t="n">
        <v>111</v>
      </c>
    </row>
    <row r="35">
      <c r="A35" t="s">
        <v>307</v>
      </c>
      <c r="B35" t="n">
        <v>-0.75</v>
      </c>
      <c r="C35" t="n">
        <v>19</v>
      </c>
      <c r="D35" t="n">
        <v>-0.5</v>
      </c>
      <c r="E35" t="n">
        <v>43</v>
      </c>
    </row>
    <row r="36">
      <c r="A36" t="s">
        <v>308</v>
      </c>
      <c r="B36" t="n">
        <v>-0.5</v>
      </c>
      <c r="C36" t="n">
        <v>150</v>
      </c>
      <c r="D36" t="n">
        <v>-0.25</v>
      </c>
      <c r="E36" t="n">
        <v>148</v>
      </c>
    </row>
    <row r="37">
      <c r="A37" t="s">
        <v>307</v>
      </c>
      <c r="B37" t="n">
        <v>-2.5</v>
      </c>
      <c r="C37" t="n">
        <v>173</v>
      </c>
      <c r="D37" t="n">
        <v>-0.25</v>
      </c>
      <c r="E37" t="n">
        <v>156</v>
      </c>
    </row>
    <row r="38">
      <c r="A38" t="s">
        <v>308</v>
      </c>
      <c r="B38" t="n">
        <v>-1.5</v>
      </c>
      <c r="C38" t="n">
        <v>4</v>
      </c>
      <c r="D38" t="n">
        <v>0</v>
      </c>
      <c r="E38" t="n">
        <v>178</v>
      </c>
    </row>
    <row r="39">
      <c r="A39" t="s">
        <v>307</v>
      </c>
      <c r="B39" t="n">
        <v>-1.25</v>
      </c>
      <c r="C39" t="n">
        <v>44</v>
      </c>
      <c r="D39" t="n">
        <v>-0.5</v>
      </c>
      <c r="E39" t="n">
        <v>4</v>
      </c>
    </row>
    <row r="40">
      <c r="A40" t="s">
        <v>308</v>
      </c>
      <c r="B40" t="n">
        <v>-0.5</v>
      </c>
      <c r="C40" t="n">
        <v>142</v>
      </c>
      <c r="D40" t="n">
        <v>-0.25</v>
      </c>
      <c r="E40" t="n">
        <v>175</v>
      </c>
    </row>
    <row r="41">
      <c r="A41" t="s">
        <v>308</v>
      </c>
      <c r="B41" t="n">
        <v>-0.5</v>
      </c>
      <c r="C41" t="n">
        <v>122</v>
      </c>
      <c r="D41" t="n">
        <v>-0.25</v>
      </c>
      <c r="E41" t="n">
        <v>85</v>
      </c>
    </row>
    <row r="42">
      <c r="A42" t="s">
        <v>307</v>
      </c>
      <c r="B42" t="n">
        <v>-0.5</v>
      </c>
      <c r="C42" t="n">
        <v>11</v>
      </c>
      <c r="D42" t="n">
        <v>-0.25</v>
      </c>
      <c r="E42" t="n">
        <v>120</v>
      </c>
    </row>
    <row r="43">
      <c r="A43" t="s">
        <v>308</v>
      </c>
      <c r="B43" t="n">
        <v>-0.75</v>
      </c>
      <c r="C43" t="n">
        <v>153</v>
      </c>
      <c r="D43" t="n">
        <v>-0.25</v>
      </c>
      <c r="E43" t="n">
        <v>87</v>
      </c>
    </row>
    <row r="44">
      <c r="A44" t="s">
        <v>308</v>
      </c>
      <c r="B44" t="n">
        <v>-2.25</v>
      </c>
      <c r="C44" t="n">
        <v>152</v>
      </c>
      <c r="D44" t="n">
        <v>-0.25</v>
      </c>
      <c r="E44" t="n">
        <v>172</v>
      </c>
    </row>
    <row r="45">
      <c r="A45" t="s">
        <v>307</v>
      </c>
      <c r="B45" t="n">
        <v>-0.75</v>
      </c>
      <c r="C45" t="n">
        <v>165</v>
      </c>
      <c r="D45" t="n">
        <v>-0.25</v>
      </c>
      <c r="E45" t="n">
        <v>133</v>
      </c>
    </row>
    <row r="46">
      <c r="A46" t="s">
        <v>308</v>
      </c>
      <c r="B46" t="n">
        <v>-2</v>
      </c>
      <c r="C46" t="n">
        <v>24</v>
      </c>
      <c r="D46" t="n">
        <v>-0.5</v>
      </c>
      <c r="E46" t="n">
        <v>24</v>
      </c>
    </row>
    <row r="47">
      <c r="A47" t="s">
        <v>307</v>
      </c>
      <c r="B47" t="n">
        <v>-1</v>
      </c>
      <c r="C47" t="n">
        <v>21</v>
      </c>
      <c r="D47" t="n">
        <v>-0.5</v>
      </c>
      <c r="E47" t="n">
        <v>156</v>
      </c>
    </row>
    <row r="48">
      <c r="A48" t="s">
        <v>308</v>
      </c>
      <c r="B48" t="n">
        <v>-1.75</v>
      </c>
      <c r="C48" t="n">
        <v>164</v>
      </c>
      <c r="D48" t="n">
        <v>-0.5</v>
      </c>
      <c r="E48" t="n">
        <v>24</v>
      </c>
    </row>
    <row r="49">
      <c r="A49" t="s">
        <v>308</v>
      </c>
      <c r="B49" t="n">
        <v>-0.75</v>
      </c>
      <c r="C49" t="n">
        <v>9</v>
      </c>
      <c r="D49"/>
      <c r="E49"/>
    </row>
    <row r="50">
      <c r="A50" t="s">
        <v>307</v>
      </c>
      <c r="B50" t="n">
        <v>-0.5</v>
      </c>
      <c r="C50" t="n">
        <v>174</v>
      </c>
      <c r="D50" t="n">
        <v>0</v>
      </c>
      <c r="E50" t="n">
        <v>51</v>
      </c>
    </row>
    <row r="51">
      <c r="A51" t="s">
        <v>308</v>
      </c>
      <c r="B51" t="n">
        <v>-0.5</v>
      </c>
      <c r="C51" t="n">
        <v>2</v>
      </c>
      <c r="D51" t="n">
        <v>0</v>
      </c>
      <c r="E51" t="n">
        <v>99</v>
      </c>
    </row>
    <row r="52">
      <c r="A52" t="s">
        <v>307</v>
      </c>
      <c r="B52" t="n">
        <v>-0.5</v>
      </c>
      <c r="C52" t="n">
        <v>18</v>
      </c>
      <c r="D52" t="n">
        <v>-0.25</v>
      </c>
      <c r="E52" t="n">
        <v>37</v>
      </c>
    </row>
    <row r="53">
      <c r="A53" t="s">
        <v>308</v>
      </c>
      <c r="B53" t="n">
        <v>-0.75</v>
      </c>
      <c r="C53" t="n">
        <v>171</v>
      </c>
      <c r="D53" t="n">
        <v>-0.25</v>
      </c>
      <c r="E53" t="n">
        <v>2</v>
      </c>
    </row>
    <row r="54">
      <c r="A54" t="s">
        <v>307</v>
      </c>
      <c r="B54" t="n">
        <v>-1</v>
      </c>
      <c r="C54" t="n">
        <v>156</v>
      </c>
      <c r="D54" t="n">
        <v>-0.5</v>
      </c>
      <c r="E54" t="n">
        <v>126</v>
      </c>
    </row>
    <row r="55">
      <c r="A55" t="s">
        <v>308</v>
      </c>
      <c r="B55" t="n">
        <v>-1.25</v>
      </c>
      <c r="C55" t="n">
        <v>7</v>
      </c>
      <c r="D55" t="n">
        <v>-0.25</v>
      </c>
      <c r="E55" t="n">
        <v>35</v>
      </c>
    </row>
    <row r="56">
      <c r="A56" t="s">
        <v>307</v>
      </c>
      <c r="B56" t="n">
        <v>-0.25</v>
      </c>
      <c r="C56" t="n">
        <v>52</v>
      </c>
      <c r="D56" t="n">
        <v>-0.25</v>
      </c>
      <c r="E56" t="n">
        <v>144</v>
      </c>
    </row>
    <row r="57">
      <c r="A57" t="s">
        <v>308</v>
      </c>
      <c r="B57" t="n">
        <v>-0.25</v>
      </c>
      <c r="C57" t="n">
        <v>133</v>
      </c>
      <c r="D57" t="n">
        <v>-0.25</v>
      </c>
      <c r="E57" t="n">
        <v>19</v>
      </c>
    </row>
    <row r="58">
      <c r="A58" t="s">
        <v>307</v>
      </c>
      <c r="B58" t="n">
        <v>-0.5</v>
      </c>
      <c r="C58" t="n">
        <v>176</v>
      </c>
      <c r="D58" t="n">
        <v>-0.25</v>
      </c>
      <c r="E58" t="n">
        <v>123</v>
      </c>
    </row>
    <row r="59">
      <c r="A59" t="s">
        <v>308</v>
      </c>
      <c r="B59" t="n">
        <v>-0.5</v>
      </c>
      <c r="C59" t="n">
        <v>11</v>
      </c>
      <c r="D59" t="n">
        <v>-0.25</v>
      </c>
      <c r="E59" t="n">
        <v>61</v>
      </c>
    </row>
    <row r="60">
      <c r="A60" t="s">
        <v>307</v>
      </c>
      <c r="B60" t="n">
        <v>-0.75</v>
      </c>
      <c r="C60" t="n">
        <v>177</v>
      </c>
      <c r="D60"/>
      <c r="E60"/>
    </row>
    <row r="61">
      <c r="A61" t="s">
        <v>308</v>
      </c>
      <c r="B61" t="n">
        <v>-0.5</v>
      </c>
      <c r="C61" t="n">
        <v>19</v>
      </c>
      <c r="D61"/>
      <c r="E61"/>
    </row>
    <row r="62">
      <c r="A62" t="s">
        <v>307</v>
      </c>
      <c r="B62" t="n">
        <v>-3</v>
      </c>
      <c r="C62" t="n">
        <v>158</v>
      </c>
      <c r="D62" t="n">
        <v>-0.5</v>
      </c>
      <c r="E62" t="n">
        <v>122</v>
      </c>
    </row>
    <row r="63">
      <c r="A63" t="s">
        <v>308</v>
      </c>
      <c r="B63" t="n">
        <v>-1.75</v>
      </c>
      <c r="C63" t="n">
        <v>24</v>
      </c>
      <c r="D63" t="n">
        <v>-0.25</v>
      </c>
      <c r="E63" t="n">
        <v>52</v>
      </c>
    </row>
    <row r="64">
      <c r="A64" t="s">
        <v>307</v>
      </c>
      <c r="B64" t="n">
        <v>-0.5</v>
      </c>
      <c r="C64" t="n">
        <v>18</v>
      </c>
      <c r="D64" t="n">
        <v>-0.25</v>
      </c>
      <c r="E64" t="n">
        <v>141</v>
      </c>
    </row>
    <row r="65">
      <c r="A65" t="s">
        <v>307</v>
      </c>
      <c r="B65" t="n">
        <v>-0.25</v>
      </c>
      <c r="C65" t="n">
        <v>36</v>
      </c>
      <c r="D65"/>
      <c r="E65"/>
    </row>
    <row r="66">
      <c r="A66" t="s">
        <v>308</v>
      </c>
      <c r="B66" t="n">
        <v>-0.5</v>
      </c>
      <c r="C66" t="n">
        <v>145</v>
      </c>
      <c r="D66"/>
      <c r="E66"/>
    </row>
    <row r="67">
      <c r="A67" t="s">
        <v>307</v>
      </c>
      <c r="B67" t="n">
        <v>-1.75</v>
      </c>
      <c r="C67" t="n">
        <v>179</v>
      </c>
      <c r="D67" t="n">
        <v>-0.5</v>
      </c>
      <c r="E67" t="n">
        <v>127</v>
      </c>
    </row>
    <row r="68">
      <c r="A68" t="s">
        <v>308</v>
      </c>
      <c r="B68" t="n">
        <v>-2</v>
      </c>
      <c r="C68" t="n">
        <v>1</v>
      </c>
      <c r="D68" t="n">
        <v>-0.25</v>
      </c>
      <c r="E68" t="n">
        <v>71</v>
      </c>
    </row>
    <row r="69">
      <c r="A69" t="s">
        <v>307</v>
      </c>
      <c r="B69" t="n">
        <v>-1</v>
      </c>
      <c r="C69" t="n">
        <v>12</v>
      </c>
      <c r="D69" t="n">
        <v>-0.25</v>
      </c>
      <c r="E69" t="n">
        <v>31</v>
      </c>
    </row>
    <row r="70">
      <c r="A70" t="s">
        <v>307</v>
      </c>
      <c r="B70" t="n">
        <v>-1</v>
      </c>
      <c r="C70" t="n">
        <v>174</v>
      </c>
      <c r="D70" t="n">
        <v>-0.5</v>
      </c>
      <c r="E70" t="n">
        <v>130</v>
      </c>
    </row>
    <row r="71">
      <c r="A71" t="s">
        <v>308</v>
      </c>
      <c r="B71" t="n">
        <v>-0.75</v>
      </c>
      <c r="C71" t="n">
        <v>172</v>
      </c>
      <c r="D71"/>
      <c r="E71"/>
    </row>
    <row r="72">
      <c r="A72" t="s">
        <v>307</v>
      </c>
      <c r="B72" t="n">
        <v>-1.25</v>
      </c>
      <c r="C72" t="n">
        <v>13</v>
      </c>
      <c r="D72" t="n">
        <v>-0.25</v>
      </c>
      <c r="E72" t="n">
        <v>77</v>
      </c>
    </row>
    <row r="73">
      <c r="A73" t="s">
        <v>308</v>
      </c>
      <c r="B73" t="n">
        <v>-1</v>
      </c>
      <c r="C73" t="n">
        <v>178</v>
      </c>
      <c r="D73" t="n">
        <v>-0.25</v>
      </c>
      <c r="E73" t="n">
        <v>84</v>
      </c>
    </row>
    <row r="74">
      <c r="A74" t="s">
        <v>307</v>
      </c>
      <c r="B74" t="n">
        <v>-3.5</v>
      </c>
      <c r="C74" t="n">
        <v>156</v>
      </c>
      <c r="D74" t="n">
        <v>-1</v>
      </c>
      <c r="E74" t="n">
        <v>3</v>
      </c>
    </row>
    <row r="75">
      <c r="A75" t="s">
        <v>308</v>
      </c>
      <c r="B75" t="n">
        <v>-3</v>
      </c>
      <c r="C75" t="n">
        <v>19</v>
      </c>
      <c r="D75" t="n">
        <v>-0.75</v>
      </c>
      <c r="E75" t="n">
        <v>166</v>
      </c>
    </row>
    <row r="76">
      <c r="A76" t="s">
        <v>307</v>
      </c>
      <c r="B76" t="n">
        <v>-0.5</v>
      </c>
      <c r="C76" t="n">
        <v>156</v>
      </c>
      <c r="D76" t="n">
        <v>-0.25</v>
      </c>
      <c r="E76" t="n">
        <v>30</v>
      </c>
    </row>
    <row r="77">
      <c r="A77" t="s">
        <v>308</v>
      </c>
      <c r="B77" t="n">
        <v>-0.5</v>
      </c>
      <c r="C77" t="n">
        <v>11</v>
      </c>
      <c r="D77" t="n">
        <v>-0.25</v>
      </c>
      <c r="E77" t="n">
        <v>143</v>
      </c>
    </row>
    <row r="78">
      <c r="A78" t="s">
        <v>307</v>
      </c>
      <c r="B78" t="n">
        <v>-0.5</v>
      </c>
      <c r="C78" t="n">
        <v>41</v>
      </c>
      <c r="D78" t="n">
        <v>0</v>
      </c>
      <c r="E78" t="n">
        <v>82</v>
      </c>
    </row>
    <row r="79">
      <c r="A79" t="s">
        <v>307</v>
      </c>
      <c r="B79" t="n">
        <v>-0.75</v>
      </c>
      <c r="C79" t="n">
        <v>100</v>
      </c>
      <c r="D79" t="n">
        <v>0</v>
      </c>
      <c r="E79" t="n">
        <v>166</v>
      </c>
    </row>
    <row r="80">
      <c r="A80" t="s">
        <v>308</v>
      </c>
      <c r="B80" t="n">
        <v>-0.5</v>
      </c>
      <c r="C80" t="n">
        <v>96</v>
      </c>
      <c r="D80" t="n">
        <v>0</v>
      </c>
      <c r="E80" t="n">
        <v>6</v>
      </c>
    </row>
    <row r="81">
      <c r="A81" t="s">
        <v>307</v>
      </c>
      <c r="B81" t="n">
        <v>-0.75</v>
      </c>
      <c r="C81" t="n">
        <v>31</v>
      </c>
      <c r="D81" t="n">
        <v>0</v>
      </c>
      <c r="E81" t="n">
        <v>166</v>
      </c>
    </row>
    <row r="82">
      <c r="A82" t="s">
        <v>308</v>
      </c>
      <c r="B82" t="n">
        <v>-0.25</v>
      </c>
      <c r="C82" t="n">
        <v>156</v>
      </c>
      <c r="D82" t="n">
        <v>-0.25</v>
      </c>
      <c r="E82" t="n">
        <v>180</v>
      </c>
    </row>
    <row r="83">
      <c r="A83" t="s">
        <v>308</v>
      </c>
      <c r="B83" t="n">
        <v>-2</v>
      </c>
      <c r="C83" t="n">
        <v>23</v>
      </c>
      <c r="D83" t="n">
        <v>-0.75</v>
      </c>
      <c r="E83" t="n">
        <v>42</v>
      </c>
    </row>
    <row r="84">
      <c r="A84" t="s">
        <v>307</v>
      </c>
      <c r="B84" t="n">
        <v>-0.5</v>
      </c>
      <c r="C84" t="n">
        <v>140</v>
      </c>
      <c r="D84" t="n">
        <v>-0.25</v>
      </c>
      <c r="E84" t="n">
        <v>77</v>
      </c>
    </row>
    <row r="85">
      <c r="A85" t="s">
        <v>308</v>
      </c>
      <c r="B85" t="n">
        <v>-0.25</v>
      </c>
      <c r="C85" t="n">
        <v>42</v>
      </c>
      <c r="D85" t="n">
        <v>-0.25</v>
      </c>
      <c r="E85" t="n">
        <v>92</v>
      </c>
    </row>
    <row r="86">
      <c r="A86" t="s">
        <v>307</v>
      </c>
      <c r="B86" t="n">
        <v>-0.75</v>
      </c>
      <c r="C86" t="n">
        <v>4</v>
      </c>
      <c r="D86" t="n">
        <v>0</v>
      </c>
      <c r="E86" t="n">
        <v>130</v>
      </c>
    </row>
    <row r="87">
      <c r="A87" t="s">
        <v>307</v>
      </c>
      <c r="B87" t="n">
        <v>-0.5</v>
      </c>
      <c r="C87" t="n">
        <v>107</v>
      </c>
      <c r="D87" t="n">
        <v>0</v>
      </c>
      <c r="E87" t="n">
        <v>71</v>
      </c>
    </row>
    <row r="88">
      <c r="A88" t="s">
        <v>307</v>
      </c>
      <c r="B88" t="n">
        <v>-0.25</v>
      </c>
      <c r="C88" t="n">
        <v>170</v>
      </c>
      <c r="D88" t="n">
        <v>-0.25</v>
      </c>
      <c r="E88" t="n">
        <v>24</v>
      </c>
    </row>
    <row r="89">
      <c r="A89" t="s">
        <v>308</v>
      </c>
      <c r="B89" t="n">
        <v>-0.25</v>
      </c>
      <c r="C89" t="n">
        <v>179</v>
      </c>
      <c r="D89" t="n">
        <v>-0.25</v>
      </c>
      <c r="E89" t="n">
        <v>21</v>
      </c>
    </row>
    <row r="90">
      <c r="A90" t="s">
        <v>308</v>
      </c>
      <c r="B90" t="n">
        <v>-2</v>
      </c>
      <c r="C90" t="n">
        <v>36</v>
      </c>
      <c r="D90" t="n">
        <v>-0.25</v>
      </c>
      <c r="E90" t="n">
        <v>80</v>
      </c>
    </row>
    <row r="91">
      <c r="A91" t="s">
        <v>307</v>
      </c>
      <c r="B91" t="n">
        <v>-0.75</v>
      </c>
      <c r="C91" t="n">
        <v>35</v>
      </c>
      <c r="D91" t="n">
        <v>-0.25</v>
      </c>
      <c r="E91" t="n">
        <v>7</v>
      </c>
    </row>
    <row r="92">
      <c r="A92" t="s">
        <v>308</v>
      </c>
      <c r="B92" t="n">
        <v>-0.5</v>
      </c>
      <c r="C92" t="n">
        <v>143</v>
      </c>
      <c r="D92" t="n">
        <v>-0.25</v>
      </c>
      <c r="E92" t="n">
        <v>33</v>
      </c>
    </row>
    <row r="93">
      <c r="A93" t="s">
        <v>308</v>
      </c>
      <c r="B93" t="n">
        <v>-0.5</v>
      </c>
      <c r="C93" t="n">
        <v>68</v>
      </c>
      <c r="D93" t="n">
        <v>-0.25</v>
      </c>
      <c r="E93" t="n">
        <v>126</v>
      </c>
    </row>
    <row r="94">
      <c r="A94" t="s">
        <v>307</v>
      </c>
      <c r="B94" t="n">
        <v>-1.25</v>
      </c>
      <c r="C94" t="n">
        <v>118</v>
      </c>
      <c r="D94"/>
      <c r="E94"/>
    </row>
    <row r="95">
      <c r="A95" t="s">
        <v>308</v>
      </c>
      <c r="B95" t="n">
        <v>-0.75</v>
      </c>
      <c r="C95" t="n">
        <v>45</v>
      </c>
      <c r="D95"/>
      <c r="E95"/>
    </row>
    <row r="96">
      <c r="A96" t="s">
        <v>308</v>
      </c>
      <c r="B96" t="n">
        <v>-1.25</v>
      </c>
      <c r="C96" t="n">
        <v>79</v>
      </c>
      <c r="D96" t="n">
        <v>-0.5</v>
      </c>
      <c r="E96" t="n">
        <v>40</v>
      </c>
    </row>
    <row r="97">
      <c r="A97" t="s">
        <v>307</v>
      </c>
      <c r="B97" t="n">
        <v>-0.75</v>
      </c>
      <c r="C97" t="n">
        <v>81</v>
      </c>
      <c r="D97" t="n">
        <v>-0.25</v>
      </c>
      <c r="E97" t="n">
        <v>130</v>
      </c>
    </row>
    <row r="98">
      <c r="A98" t="s">
        <v>308</v>
      </c>
      <c r="B98" t="n">
        <v>-0.75</v>
      </c>
      <c r="C98" t="n">
        <v>93</v>
      </c>
      <c r="D98" t="n">
        <v>0</v>
      </c>
      <c r="E98" t="n">
        <v>102</v>
      </c>
    </row>
    <row r="99">
      <c r="A99" t="s">
        <v>307</v>
      </c>
      <c r="B99" t="n">
        <v>-0.25</v>
      </c>
      <c r="C99" t="n">
        <v>13</v>
      </c>
      <c r="D99" t="n">
        <v>0</v>
      </c>
      <c r="E99" t="n">
        <v>58</v>
      </c>
    </row>
    <row r="100">
      <c r="A100" t="s">
        <v>308</v>
      </c>
      <c r="B100" t="n">
        <v>-1</v>
      </c>
      <c r="C100" t="n">
        <v>180</v>
      </c>
      <c r="D100" t="n">
        <v>-0.25</v>
      </c>
      <c r="E100" t="n">
        <v>135</v>
      </c>
    </row>
    <row r="101">
      <c r="A101" t="s">
        <v>307</v>
      </c>
      <c r="B101" t="n">
        <v>-1</v>
      </c>
      <c r="C101" t="n">
        <v>4</v>
      </c>
      <c r="D101" t="n">
        <v>-0.5</v>
      </c>
      <c r="E101" t="n">
        <v>17</v>
      </c>
    </row>
    <row r="102">
      <c r="A102" t="s">
        <v>307</v>
      </c>
      <c r="B102" t="n">
        <v>-0.75</v>
      </c>
      <c r="C102" t="n">
        <v>8</v>
      </c>
      <c r="D102" t="n">
        <v>-0.25</v>
      </c>
      <c r="E102" t="n">
        <v>8</v>
      </c>
    </row>
    <row r="103">
      <c r="A103" t="s">
        <v>308</v>
      </c>
      <c r="B103" t="n">
        <v>-1.75</v>
      </c>
      <c r="C103" t="n">
        <v>168</v>
      </c>
      <c r="D103" t="n">
        <v>-0.5</v>
      </c>
      <c r="E103" t="n">
        <v>7</v>
      </c>
    </row>
    <row r="104">
      <c r="A104" t="s">
        <v>308</v>
      </c>
      <c r="B104" t="n">
        <v>-1.25</v>
      </c>
      <c r="C104" t="n">
        <v>13</v>
      </c>
      <c r="D104" t="n">
        <v>-0.5</v>
      </c>
      <c r="E104" t="n">
        <v>153</v>
      </c>
    </row>
    <row r="105">
      <c r="A105" t="s">
        <v>307</v>
      </c>
      <c r="B105" t="n">
        <v>-0.75</v>
      </c>
      <c r="C105" t="n">
        <v>2</v>
      </c>
      <c r="D105" t="n">
        <v>-0.25</v>
      </c>
      <c r="E105" t="n">
        <v>1</v>
      </c>
    </row>
    <row r="106">
      <c r="A106" t="s">
        <v>308</v>
      </c>
      <c r="B106" t="n">
        <v>-0.75</v>
      </c>
      <c r="C106" t="n">
        <v>180</v>
      </c>
      <c r="D106" t="n">
        <v>-0.25</v>
      </c>
      <c r="E106" t="n">
        <v>173</v>
      </c>
    </row>
    <row r="107">
      <c r="A107" t="s">
        <v>307</v>
      </c>
      <c r="B107" t="n">
        <v>-0.5</v>
      </c>
      <c r="C107" t="n">
        <v>44</v>
      </c>
      <c r="D107" t="n">
        <v>-0.25</v>
      </c>
      <c r="E107" t="n">
        <v>21</v>
      </c>
    </row>
    <row r="108">
      <c r="A108" t="s">
        <v>308</v>
      </c>
      <c r="B108" t="n">
        <v>-0.5</v>
      </c>
      <c r="C108" t="n">
        <v>125</v>
      </c>
      <c r="D108" t="n">
        <v>-0.5</v>
      </c>
      <c r="E108" t="n">
        <v>158</v>
      </c>
    </row>
    <row r="109">
      <c r="A109" t="s">
        <v>307</v>
      </c>
      <c r="B109" t="n">
        <v>-1.25</v>
      </c>
      <c r="C109" t="n">
        <v>16</v>
      </c>
      <c r="D109" t="n">
        <v>-0.5</v>
      </c>
      <c r="E109" t="n">
        <v>29</v>
      </c>
    </row>
    <row r="110">
      <c r="A110" t="s">
        <v>308</v>
      </c>
      <c r="B110" t="n">
        <v>-1.5</v>
      </c>
      <c r="C110" t="n">
        <v>166</v>
      </c>
      <c r="D110" t="n">
        <v>-0.5</v>
      </c>
      <c r="E110" t="n">
        <v>162</v>
      </c>
    </row>
    <row r="111">
      <c r="A111" t="s">
        <v>308</v>
      </c>
      <c r="B111" t="n">
        <v>-0.75</v>
      </c>
      <c r="C111" t="n">
        <v>7</v>
      </c>
      <c r="D111" t="n">
        <v>0</v>
      </c>
      <c r="E111" t="n">
        <v>139</v>
      </c>
    </row>
    <row r="112">
      <c r="A112" t="s">
        <v>308</v>
      </c>
      <c r="B112" t="n">
        <v>-0.75</v>
      </c>
      <c r="C112" t="n">
        <v>89</v>
      </c>
      <c r="D112" t="n">
        <v>-0.25</v>
      </c>
      <c r="E112" t="n">
        <v>80</v>
      </c>
    </row>
    <row r="113">
      <c r="A113" t="s">
        <v>307</v>
      </c>
      <c r="B113" t="n">
        <v>-0.5</v>
      </c>
      <c r="C113" t="n">
        <v>165</v>
      </c>
      <c r="D113" t="n">
        <v>-0.25</v>
      </c>
      <c r="E113" t="n">
        <v>170</v>
      </c>
    </row>
    <row r="114">
      <c r="A114" t="s">
        <v>308</v>
      </c>
      <c r="B114" t="n">
        <v>-1</v>
      </c>
      <c r="C114" t="n">
        <v>167</v>
      </c>
      <c r="D114" t="n">
        <v>0</v>
      </c>
      <c r="E114" t="n">
        <v>20</v>
      </c>
    </row>
    <row r="115">
      <c r="A115" t="s">
        <v>308</v>
      </c>
      <c r="B115" t="n">
        <v>-0.5</v>
      </c>
      <c r="C115" t="n">
        <v>10</v>
      </c>
      <c r="D115" t="n">
        <v>0</v>
      </c>
      <c r="E115" t="n">
        <v>82</v>
      </c>
    </row>
    <row r="116">
      <c r="A116" t="s">
        <v>307</v>
      </c>
      <c r="B116" t="n">
        <v>-0.75</v>
      </c>
      <c r="C116" t="n">
        <v>145</v>
      </c>
      <c r="D116" t="n">
        <v>-0.25</v>
      </c>
      <c r="E116" t="n">
        <v>155</v>
      </c>
    </row>
    <row r="117">
      <c r="A117" t="s">
        <v>308</v>
      </c>
      <c r="B117" t="n">
        <v>-1.25</v>
      </c>
      <c r="C117" t="n">
        <v>31</v>
      </c>
      <c r="D117" t="n">
        <v>-0.5</v>
      </c>
      <c r="E117" t="n">
        <v>20</v>
      </c>
    </row>
    <row r="118">
      <c r="A118" t="s">
        <v>307</v>
      </c>
      <c r="B118" t="n">
        <v>-0.5</v>
      </c>
      <c r="C118" t="n">
        <v>166</v>
      </c>
      <c r="D118" t="n">
        <v>-0.25</v>
      </c>
      <c r="E118" t="n">
        <v>149</v>
      </c>
    </row>
    <row r="119">
      <c r="A119" t="s">
        <v>308</v>
      </c>
      <c r="B119" t="n">
        <v>-0.25</v>
      </c>
      <c r="C119" t="n">
        <v>12</v>
      </c>
      <c r="D119" t="n">
        <v>-0.25</v>
      </c>
      <c r="E119" t="n">
        <v>28</v>
      </c>
    </row>
    <row r="120">
      <c r="A120" t="s">
        <v>307</v>
      </c>
      <c r="B120" t="n">
        <v>-0.5</v>
      </c>
      <c r="C120" t="n">
        <v>160</v>
      </c>
      <c r="D120"/>
      <c r="E120"/>
    </row>
    <row r="121">
      <c r="A121" t="s">
        <v>308</v>
      </c>
      <c r="B121" t="n">
        <v>-0.5</v>
      </c>
      <c r="C121" t="n">
        <v>23</v>
      </c>
      <c r="D121"/>
      <c r="E121"/>
    </row>
    <row r="122">
      <c r="A122" t="s">
        <v>307</v>
      </c>
      <c r="B122" t="n">
        <v>-0.25</v>
      </c>
      <c r="C122" t="n">
        <v>35</v>
      </c>
      <c r="D122" t="n">
        <v>0</v>
      </c>
      <c r="E122" t="n">
        <v>20</v>
      </c>
    </row>
    <row r="123">
      <c r="A123" t="s">
        <v>308</v>
      </c>
      <c r="B123" t="n">
        <v>-0.25</v>
      </c>
      <c r="C123" t="n">
        <v>147</v>
      </c>
      <c r="D123" t="n">
        <v>0</v>
      </c>
      <c r="E123" t="n">
        <v>29</v>
      </c>
    </row>
    <row r="124">
      <c r="A124" t="s">
        <v>307</v>
      </c>
      <c r="B124" t="n">
        <v>-0.25</v>
      </c>
      <c r="C124" t="n">
        <v>97</v>
      </c>
      <c r="D124" t="n">
        <v>0</v>
      </c>
      <c r="E124" t="n">
        <v>141</v>
      </c>
    </row>
    <row r="125">
      <c r="A125" t="s">
        <v>308</v>
      </c>
      <c r="B125" t="n">
        <v>-0.75</v>
      </c>
      <c r="C125" t="n">
        <v>93</v>
      </c>
      <c r="D125" t="n">
        <v>-0.25</v>
      </c>
      <c r="E125" t="n">
        <v>155</v>
      </c>
    </row>
    <row r="126">
      <c r="A126" t="s">
        <v>307</v>
      </c>
      <c r="B126" t="n">
        <v>-0.75</v>
      </c>
      <c r="C126" t="n">
        <v>166</v>
      </c>
      <c r="D126" t="n">
        <v>-0.25</v>
      </c>
      <c r="E126" t="n">
        <v>110</v>
      </c>
    </row>
    <row r="127">
      <c r="A127" t="s">
        <v>308</v>
      </c>
      <c r="B127" t="n">
        <v>-1</v>
      </c>
      <c r="C127" t="n">
        <v>180</v>
      </c>
      <c r="D127" t="n">
        <v>-0.25</v>
      </c>
      <c r="E127" t="n">
        <v>69</v>
      </c>
    </row>
    <row r="128">
      <c r="A128" t="s">
        <v>307</v>
      </c>
      <c r="B128" t="n">
        <v>-1.75</v>
      </c>
      <c r="C128" t="n">
        <v>61</v>
      </c>
      <c r="D128" t="n">
        <v>-0.25</v>
      </c>
      <c r="E128" t="n">
        <v>6</v>
      </c>
    </row>
    <row r="129">
      <c r="A129" t="s">
        <v>308</v>
      </c>
      <c r="B129" t="n">
        <v>-2</v>
      </c>
      <c r="C129" t="n">
        <v>134</v>
      </c>
      <c r="D129" t="n">
        <v>-0.25</v>
      </c>
      <c r="E129" t="n">
        <v>79</v>
      </c>
    </row>
    <row r="130">
      <c r="A130" t="s">
        <v>308</v>
      </c>
      <c r="B130" t="n">
        <v>-1</v>
      </c>
      <c r="C130" t="n">
        <v>15</v>
      </c>
      <c r="D130" t="n">
        <v>-0.25</v>
      </c>
      <c r="E130" t="n">
        <v>177</v>
      </c>
    </row>
    <row r="131">
      <c r="A131" t="s">
        <v>307</v>
      </c>
      <c r="B131" t="n">
        <v>-0.25</v>
      </c>
      <c r="C131" t="n">
        <v>7</v>
      </c>
      <c r="D131"/>
      <c r="E131"/>
    </row>
    <row r="132">
      <c r="A132" t="s">
        <v>308</v>
      </c>
      <c r="B132" t="n">
        <v>-0.25</v>
      </c>
      <c r="C132" t="n">
        <v>169</v>
      </c>
      <c r="D132"/>
      <c r="E132"/>
    </row>
    <row r="133">
      <c r="A133" t="s">
        <v>308</v>
      </c>
      <c r="B133" t="n">
        <v>-2.75</v>
      </c>
      <c r="C133" t="n">
        <v>154</v>
      </c>
      <c r="D133" t="n">
        <v>-1</v>
      </c>
      <c r="E133" t="n">
        <v>122</v>
      </c>
    </row>
    <row r="134">
      <c r="A134" t="s">
        <v>307</v>
      </c>
      <c r="B134" t="n">
        <v>-0.75</v>
      </c>
      <c r="C134" t="n">
        <v>14</v>
      </c>
      <c r="D134" t="n">
        <v>0</v>
      </c>
      <c r="E134" t="n">
        <v>14</v>
      </c>
    </row>
    <row r="135">
      <c r="A135" t="s">
        <v>307</v>
      </c>
      <c r="B135" t="n">
        <v>-1.25</v>
      </c>
      <c r="C135" t="n">
        <v>16</v>
      </c>
      <c r="D135" t="n">
        <v>-0.5</v>
      </c>
      <c r="E135" t="n">
        <v>174</v>
      </c>
    </row>
    <row r="136">
      <c r="A136" t="s">
        <v>308</v>
      </c>
      <c r="B136" t="n">
        <v>-1.5</v>
      </c>
      <c r="C136" t="n">
        <v>156</v>
      </c>
      <c r="D136" t="n">
        <v>-0.75</v>
      </c>
      <c r="E136" t="n">
        <v>1</v>
      </c>
    </row>
    <row r="137">
      <c r="A137" t="s">
        <v>307</v>
      </c>
      <c r="B137" t="n">
        <v>-1.25</v>
      </c>
      <c r="C137" t="n">
        <v>4</v>
      </c>
      <c r="D137" t="n">
        <v>-0.5</v>
      </c>
      <c r="E137" t="n">
        <v>161</v>
      </c>
    </row>
    <row r="138">
      <c r="A138" t="s">
        <v>307</v>
      </c>
      <c r="B138" t="n">
        <v>-3</v>
      </c>
      <c r="C138" t="n">
        <v>8</v>
      </c>
      <c r="D138" t="n">
        <v>-1.5</v>
      </c>
      <c r="E138" t="n">
        <v>55</v>
      </c>
    </row>
    <row r="139">
      <c r="A139" t="s">
        <v>308</v>
      </c>
      <c r="B139" t="n">
        <v>-2.25</v>
      </c>
      <c r="C139" t="n">
        <v>10</v>
      </c>
      <c r="D139" t="n">
        <v>-0.5</v>
      </c>
      <c r="E139" t="n">
        <v>77</v>
      </c>
    </row>
    <row r="140">
      <c r="A140" t="s">
        <v>307</v>
      </c>
      <c r="B140" t="n">
        <v>-2.25</v>
      </c>
      <c r="C140" t="n">
        <v>79</v>
      </c>
      <c r="D140" t="n">
        <v>-0.75</v>
      </c>
      <c r="E140" t="n">
        <v>60</v>
      </c>
    </row>
    <row r="141">
      <c r="A141" t="s">
        <v>308</v>
      </c>
      <c r="B141" t="n">
        <v>-1.75</v>
      </c>
      <c r="C141" t="n">
        <v>91</v>
      </c>
      <c r="D141" t="n">
        <v>-0.25</v>
      </c>
      <c r="E141" t="n">
        <v>78</v>
      </c>
    </row>
    <row r="142">
      <c r="A142" t="s">
        <v>307</v>
      </c>
      <c r="B142" t="n">
        <v>-0.5</v>
      </c>
      <c r="C142" t="n">
        <v>91</v>
      </c>
      <c r="D142" t="n">
        <v>-0.25</v>
      </c>
      <c r="E142" t="n">
        <v>76</v>
      </c>
    </row>
    <row r="143">
      <c r="A143" t="s">
        <v>307</v>
      </c>
      <c r="B143" t="n">
        <v>-0.75</v>
      </c>
      <c r="C143" t="n">
        <v>168</v>
      </c>
      <c r="D143" t="n">
        <v>0</v>
      </c>
      <c r="E143" t="n">
        <v>137</v>
      </c>
    </row>
    <row r="144">
      <c r="A144" t="s">
        <v>308</v>
      </c>
      <c r="B144" t="n">
        <v>-0.75</v>
      </c>
      <c r="C144" t="n">
        <v>17</v>
      </c>
      <c r="D144" t="n">
        <v>0</v>
      </c>
      <c r="E144" t="n">
        <v>31</v>
      </c>
    </row>
    <row r="145">
      <c r="A145" t="s">
        <v>307</v>
      </c>
      <c r="B145" t="n">
        <v>-1</v>
      </c>
      <c r="C145" t="n">
        <v>180</v>
      </c>
      <c r="D145" t="n">
        <v>-0.5</v>
      </c>
      <c r="E145" t="n">
        <v>159</v>
      </c>
    </row>
    <row r="146">
      <c r="A146" t="s">
        <v>308</v>
      </c>
      <c r="B146" t="n">
        <v>-0.75</v>
      </c>
      <c r="C146" t="n">
        <v>176</v>
      </c>
      <c r="D146" t="n">
        <v>-0.25</v>
      </c>
      <c r="E146" t="n">
        <v>160</v>
      </c>
    </row>
    <row r="147">
      <c r="A147" t="s">
        <v>307</v>
      </c>
      <c r="B147" t="n">
        <v>-0.25</v>
      </c>
      <c r="C147" t="n">
        <v>129</v>
      </c>
      <c r="D147" t="n">
        <v>-0.25</v>
      </c>
      <c r="E147" t="n">
        <v>122</v>
      </c>
    </row>
    <row r="148">
      <c r="A148" t="s">
        <v>308</v>
      </c>
      <c r="B148" t="n">
        <v>-0.5</v>
      </c>
      <c r="C148" t="n">
        <v>60</v>
      </c>
      <c r="D148" t="n">
        <v>-0.25</v>
      </c>
      <c r="E148" t="n">
        <v>78</v>
      </c>
    </row>
    <row r="149">
      <c r="A149" t="s">
        <v>308</v>
      </c>
      <c r="B149" t="n">
        <v>-0.75</v>
      </c>
      <c r="C149" t="n">
        <v>167</v>
      </c>
      <c r="D149" t="n">
        <v>-0.5</v>
      </c>
      <c r="E149" t="n">
        <v>39</v>
      </c>
    </row>
    <row r="150">
      <c r="A150" t="s">
        <v>308</v>
      </c>
      <c r="B150" t="n">
        <v>-1.5</v>
      </c>
      <c r="C150" t="n">
        <v>8</v>
      </c>
      <c r="D150" t="n">
        <v>-0.25</v>
      </c>
      <c r="E150" t="n">
        <v>34</v>
      </c>
    </row>
    <row r="151">
      <c r="A151" t="s">
        <v>307</v>
      </c>
      <c r="B151" t="n">
        <v>-0.75</v>
      </c>
      <c r="C151" t="n">
        <v>171</v>
      </c>
      <c r="D151" t="n">
        <v>0</v>
      </c>
      <c r="E151" t="n">
        <v>138</v>
      </c>
    </row>
    <row r="152">
      <c r="A152" t="s">
        <v>308</v>
      </c>
      <c r="B152" t="n">
        <v>-0.5</v>
      </c>
      <c r="C152" t="n">
        <v>6</v>
      </c>
      <c r="D152" t="n">
        <v>-0.25</v>
      </c>
      <c r="E152" t="n">
        <v>31</v>
      </c>
    </row>
    <row r="153">
      <c r="A153" t="s">
        <v>307</v>
      </c>
      <c r="B153" t="n">
        <v>-0.75</v>
      </c>
      <c r="C153" t="n">
        <v>179</v>
      </c>
      <c r="D153" t="n">
        <v>-0.25</v>
      </c>
      <c r="E153" t="n">
        <v>138</v>
      </c>
    </row>
    <row r="154">
      <c r="A154" t="s">
        <v>307</v>
      </c>
      <c r="B154" t="n">
        <v>-1.5</v>
      </c>
      <c r="C154" t="n">
        <v>7</v>
      </c>
      <c r="D154" t="n">
        <v>-0.25</v>
      </c>
      <c r="E154" t="n">
        <v>123</v>
      </c>
    </row>
    <row r="155">
      <c r="A155" t="s">
        <v>308</v>
      </c>
      <c r="B155" t="n">
        <v>-1</v>
      </c>
      <c r="C155" t="n">
        <v>4</v>
      </c>
      <c r="D155" t="n">
        <v>0</v>
      </c>
      <c r="E155" t="n">
        <v>71</v>
      </c>
    </row>
    <row r="156">
      <c r="A156" t="s">
        <v>307</v>
      </c>
      <c r="B156" t="n">
        <v>-0.75</v>
      </c>
      <c r="C156" t="n">
        <v>152</v>
      </c>
      <c r="D156" t="n">
        <v>-0.25</v>
      </c>
      <c r="E156" t="n">
        <v>13</v>
      </c>
    </row>
    <row r="157">
      <c r="A157" t="s">
        <v>308</v>
      </c>
      <c r="B157" t="n">
        <v>-1</v>
      </c>
      <c r="C157" t="n">
        <v>29</v>
      </c>
      <c r="D157" t="n">
        <v>-0.25</v>
      </c>
      <c r="E157" t="n">
        <v>47</v>
      </c>
    </row>
    <row r="158">
      <c r="A158" t="s">
        <v>307</v>
      </c>
      <c r="B158" t="n">
        <v>-1.75</v>
      </c>
      <c r="C158" t="n">
        <v>71</v>
      </c>
      <c r="D158"/>
      <c r="E158"/>
    </row>
    <row r="159">
      <c r="A159" t="s">
        <v>308</v>
      </c>
      <c r="B159" t="n">
        <v>-0.75</v>
      </c>
      <c r="C159" t="n">
        <v>116</v>
      </c>
      <c r="D159"/>
      <c r="E159"/>
    </row>
    <row r="160">
      <c r="A160" t="s">
        <v>307</v>
      </c>
      <c r="B160" t="n">
        <v>-2.25</v>
      </c>
      <c r="C160" t="n">
        <v>6</v>
      </c>
      <c r="D160"/>
      <c r="E160"/>
    </row>
    <row r="161">
      <c r="A161" t="s">
        <v>307</v>
      </c>
      <c r="B161" t="n">
        <v>-0.25</v>
      </c>
      <c r="C161" t="n">
        <v>175</v>
      </c>
      <c r="D161" t="n">
        <v>0</v>
      </c>
      <c r="E161" t="n">
        <v>132</v>
      </c>
    </row>
    <row r="162">
      <c r="A162" t="s">
        <v>308</v>
      </c>
      <c r="B162" t="n">
        <v>-0.25</v>
      </c>
      <c r="C162" t="n">
        <v>1</v>
      </c>
      <c r="D162" t="n">
        <v>0</v>
      </c>
      <c r="E162" t="n">
        <v>1</v>
      </c>
    </row>
    <row r="163">
      <c r="A163" t="s">
        <v>308</v>
      </c>
      <c r="B163" t="n">
        <v>0</v>
      </c>
      <c r="C163" t="n">
        <v>64</v>
      </c>
      <c r="D163" t="n">
        <v>-0.25</v>
      </c>
      <c r="E163" t="n">
        <v>145</v>
      </c>
    </row>
    <row r="164">
      <c r="A164" t="s">
        <v>307</v>
      </c>
      <c r="B164" t="n">
        <v>-1</v>
      </c>
      <c r="C164" t="n">
        <v>88</v>
      </c>
      <c r="D164" t="n">
        <v>-0.25</v>
      </c>
      <c r="E164" t="n">
        <v>132</v>
      </c>
    </row>
    <row r="165">
      <c r="A165" t="s">
        <v>307</v>
      </c>
      <c r="B165" t="n">
        <v>-0.5</v>
      </c>
      <c r="C165" t="n">
        <v>163</v>
      </c>
      <c r="D165" t="n">
        <v>-0.5</v>
      </c>
      <c r="E165" t="n">
        <v>127</v>
      </c>
    </row>
    <row r="166">
      <c r="A166" t="s">
        <v>307</v>
      </c>
      <c r="B166" t="n">
        <v>-0.75</v>
      </c>
      <c r="C166" t="n">
        <v>26</v>
      </c>
      <c r="D166" t="n">
        <v>0</v>
      </c>
      <c r="E166" t="n">
        <v>66</v>
      </c>
    </row>
    <row r="167">
      <c r="A167" t="s">
        <v>308</v>
      </c>
      <c r="B167" t="n">
        <v>-1.75</v>
      </c>
      <c r="C167" t="n">
        <v>148</v>
      </c>
      <c r="D167" t="n">
        <v>-0.25</v>
      </c>
      <c r="E167" t="n">
        <v>112</v>
      </c>
    </row>
    <row r="168">
      <c r="A168" t="s">
        <v>307</v>
      </c>
      <c r="B168" t="n">
        <v>-0.75</v>
      </c>
      <c r="C168" t="n">
        <v>38</v>
      </c>
      <c r="D168" t="n">
        <v>-0.25</v>
      </c>
      <c r="E168" t="n">
        <v>156</v>
      </c>
    </row>
    <row r="169">
      <c r="A169" t="s">
        <v>308</v>
      </c>
      <c r="B169" t="n">
        <v>-0.25</v>
      </c>
      <c r="C169" t="n">
        <v>97</v>
      </c>
      <c r="D169" t="n">
        <v>0</v>
      </c>
      <c r="E169" t="n">
        <v>166</v>
      </c>
    </row>
    <row r="170">
      <c r="A170" t="s">
        <v>307</v>
      </c>
      <c r="B170" t="n">
        <v>-1.25</v>
      </c>
      <c r="C170" t="n">
        <v>3</v>
      </c>
      <c r="D170" t="n">
        <v>-0.5</v>
      </c>
      <c r="E170" t="n">
        <v>168</v>
      </c>
    </row>
    <row r="171">
      <c r="A171" t="s">
        <v>308</v>
      </c>
      <c r="B171" t="n">
        <v>-1.5</v>
      </c>
      <c r="C171" t="n">
        <v>16</v>
      </c>
      <c r="D171" t="n">
        <v>-0.5</v>
      </c>
      <c r="E171" t="n">
        <v>40</v>
      </c>
    </row>
    <row r="172">
      <c r="A172" t="s">
        <v>307</v>
      </c>
      <c r="B172" t="n">
        <v>-0.5</v>
      </c>
      <c r="C172" t="n">
        <v>42</v>
      </c>
      <c r="D172" t="n">
        <v>-0.5</v>
      </c>
      <c r="E172" t="n">
        <v>91</v>
      </c>
    </row>
    <row r="173">
      <c r="A173" t="s">
        <v>308</v>
      </c>
      <c r="B173" t="n">
        <v>-0.75</v>
      </c>
      <c r="C173" t="n">
        <v>139</v>
      </c>
      <c r="D173" t="n">
        <v>-0.25</v>
      </c>
      <c r="E173" t="n">
        <v>87</v>
      </c>
    </row>
    <row r="174">
      <c r="A174" t="s">
        <v>307</v>
      </c>
      <c r="B174" t="n">
        <v>-1</v>
      </c>
      <c r="C174" t="n">
        <v>129</v>
      </c>
      <c r="D174"/>
      <c r="E174"/>
    </row>
    <row r="175">
      <c r="A175" t="s">
        <v>308</v>
      </c>
      <c r="B175" t="n">
        <v>-0.75</v>
      </c>
      <c r="C175" t="n">
        <v>54</v>
      </c>
      <c r="D175"/>
      <c r="E175"/>
    </row>
    <row r="176">
      <c r="A176" t="s">
        <v>307</v>
      </c>
      <c r="B176" t="n">
        <v>-1.25</v>
      </c>
      <c r="C176" t="n">
        <v>180</v>
      </c>
      <c r="D176" t="n">
        <v>-0.75</v>
      </c>
      <c r="E176" t="n">
        <v>152</v>
      </c>
    </row>
    <row r="177">
      <c r="A177" t="s">
        <v>308</v>
      </c>
      <c r="B177" t="n">
        <v>-1.25</v>
      </c>
      <c r="C177" t="n">
        <v>171</v>
      </c>
      <c r="D177" t="n">
        <v>-0.75</v>
      </c>
      <c r="E177" t="n">
        <v>26</v>
      </c>
    </row>
    <row r="178">
      <c r="A178" t="s">
        <v>307</v>
      </c>
      <c r="B178" t="n">
        <v>-1</v>
      </c>
      <c r="C178" t="n">
        <v>18</v>
      </c>
      <c r="D178" t="n">
        <v>-0.25</v>
      </c>
      <c r="E178" t="n">
        <v>48</v>
      </c>
    </row>
    <row r="179">
      <c r="A179" t="s">
        <v>308</v>
      </c>
      <c r="B179" t="n">
        <v>-1.5</v>
      </c>
      <c r="C179" t="n">
        <v>157</v>
      </c>
      <c r="D179" t="n">
        <v>-0.5</v>
      </c>
      <c r="E179" t="n">
        <v>177</v>
      </c>
    </row>
    <row r="180">
      <c r="A180" t="s">
        <v>307</v>
      </c>
      <c r="B180" t="n">
        <v>-1.5</v>
      </c>
      <c r="C180" t="n">
        <v>165</v>
      </c>
      <c r="D180" t="n">
        <v>-0.25</v>
      </c>
      <c r="E180" t="n">
        <v>157</v>
      </c>
    </row>
    <row r="181">
      <c r="A181" t="s">
        <v>308</v>
      </c>
      <c r="B181" t="n">
        <v>-0.75</v>
      </c>
      <c r="C181" t="n">
        <v>15</v>
      </c>
      <c r="D181" t="n">
        <v>0</v>
      </c>
      <c r="E181" t="n">
        <v>110</v>
      </c>
    </row>
    <row r="182">
      <c r="A182" t="s">
        <v>307</v>
      </c>
      <c r="B182" t="n">
        <v>-0.5</v>
      </c>
      <c r="C182" t="n">
        <v>84</v>
      </c>
      <c r="D182" t="n">
        <v>-0.25</v>
      </c>
      <c r="E182" t="n">
        <v>54</v>
      </c>
    </row>
    <row r="183">
      <c r="A183" t="s">
        <v>308</v>
      </c>
      <c r="B183" t="n">
        <v>-0.25</v>
      </c>
      <c r="C183" t="n">
        <v>83</v>
      </c>
      <c r="D183" t="n">
        <v>-0.25</v>
      </c>
      <c r="E183" t="n">
        <v>154</v>
      </c>
    </row>
    <row r="184">
      <c r="A184" t="s">
        <v>307</v>
      </c>
      <c r="B184" t="n">
        <v>-0.75</v>
      </c>
      <c r="C184" t="n">
        <v>10</v>
      </c>
      <c r="D184" t="n">
        <v>-0.25</v>
      </c>
      <c r="E184" t="n">
        <v>68</v>
      </c>
    </row>
    <row r="185">
      <c r="A185" t="s">
        <v>308</v>
      </c>
      <c r="B185" t="n">
        <v>-1.25</v>
      </c>
      <c r="C185" t="n">
        <v>171</v>
      </c>
      <c r="D185" t="n">
        <v>-0.25</v>
      </c>
      <c r="E185" t="n">
        <v>41</v>
      </c>
    </row>
    <row r="186">
      <c r="A186" t="s">
        <v>307</v>
      </c>
      <c r="B186" t="n">
        <v>-0.25</v>
      </c>
      <c r="C186" t="n">
        <v>165</v>
      </c>
      <c r="D186" t="n">
        <v>-0.25</v>
      </c>
      <c r="E186" t="n">
        <v>117</v>
      </c>
    </row>
    <row r="187">
      <c r="A187" t="s">
        <v>307</v>
      </c>
      <c r="B187" t="n">
        <v>-0.5</v>
      </c>
      <c r="C187" t="n">
        <v>157</v>
      </c>
      <c r="D187" t="n">
        <v>0</v>
      </c>
      <c r="E187" t="n">
        <v>108</v>
      </c>
    </row>
    <row r="188">
      <c r="A188" t="s">
        <v>308</v>
      </c>
      <c r="B188" t="n">
        <v>-0.75</v>
      </c>
      <c r="C188" t="n">
        <v>28</v>
      </c>
      <c r="D188" t="n">
        <v>0</v>
      </c>
      <c r="E188" t="n">
        <v>97</v>
      </c>
    </row>
    <row r="189">
      <c r="A189" t="s">
        <v>307</v>
      </c>
      <c r="B189" t="n">
        <v>-0.5</v>
      </c>
      <c r="C189" t="n">
        <v>53</v>
      </c>
      <c r="D189" t="n">
        <v>-0.25</v>
      </c>
      <c r="E189" t="n">
        <v>72</v>
      </c>
    </row>
    <row r="190">
      <c r="A190" t="s">
        <v>308</v>
      </c>
      <c r="B190" t="n">
        <v>-0.25</v>
      </c>
      <c r="C190" t="n">
        <v>130</v>
      </c>
      <c r="D190" t="n">
        <v>0</v>
      </c>
      <c r="E190" t="n">
        <v>132</v>
      </c>
    </row>
    <row r="191">
      <c r="A191" t="s">
        <v>308</v>
      </c>
      <c r="B191" t="n">
        <v>-0.5</v>
      </c>
      <c r="C191" t="n">
        <v>126</v>
      </c>
      <c r="D191"/>
      <c r="E191"/>
    </row>
    <row r="192">
      <c r="A192" t="s">
        <v>307</v>
      </c>
      <c r="B192" t="n">
        <v>-0.25</v>
      </c>
      <c r="C192" t="n">
        <v>9</v>
      </c>
      <c r="D192" t="n">
        <v>0</v>
      </c>
      <c r="E192" t="n">
        <v>142</v>
      </c>
    </row>
    <row r="193">
      <c r="A193" t="s">
        <v>308</v>
      </c>
      <c r="B193" t="n">
        <v>-0.5</v>
      </c>
      <c r="C193" t="n">
        <v>165</v>
      </c>
      <c r="D193" t="n">
        <v>-0.25</v>
      </c>
      <c r="E193" t="n">
        <v>138</v>
      </c>
    </row>
    <row r="194">
      <c r="A194" t="s">
        <v>307</v>
      </c>
      <c r="B194" t="n">
        <v>-0.5</v>
      </c>
      <c r="C194" t="n">
        <v>4</v>
      </c>
      <c r="D194" t="n">
        <v>-0.25</v>
      </c>
      <c r="E194" t="n">
        <v>141</v>
      </c>
    </row>
    <row r="195">
      <c r="A195" t="s">
        <v>307</v>
      </c>
      <c r="B195" t="n">
        <v>-0.25</v>
      </c>
      <c r="C195" t="n">
        <v>10</v>
      </c>
      <c r="D195" t="n">
        <v>-0.25</v>
      </c>
      <c r="E195" t="n">
        <v>66</v>
      </c>
    </row>
    <row r="196">
      <c r="A196" t="s">
        <v>308</v>
      </c>
      <c r="B196" t="n">
        <v>-0.25</v>
      </c>
      <c r="C196" t="n">
        <v>174</v>
      </c>
      <c r="D196" t="n">
        <v>0</v>
      </c>
      <c r="E196" t="n">
        <v>31</v>
      </c>
    </row>
    <row r="197">
      <c r="A197" t="s">
        <v>307</v>
      </c>
      <c r="B197" t="n">
        <v>-0.5</v>
      </c>
      <c r="C197" t="n">
        <v>162</v>
      </c>
      <c r="D197" t="n">
        <v>-0.25</v>
      </c>
      <c r="E197" t="n">
        <v>96</v>
      </c>
    </row>
    <row r="198">
      <c r="A198" t="s">
        <v>307</v>
      </c>
      <c r="B198" t="n">
        <v>-0.25</v>
      </c>
      <c r="C198" t="n">
        <v>48</v>
      </c>
      <c r="D198" t="n">
        <v>0</v>
      </c>
      <c r="E198" t="n">
        <v>9</v>
      </c>
    </row>
    <row r="199">
      <c r="A199" t="s">
        <v>308</v>
      </c>
      <c r="B199" t="n">
        <v>-0.5</v>
      </c>
      <c r="C199" t="n">
        <v>141</v>
      </c>
      <c r="D199" t="n">
        <v>-0.25</v>
      </c>
      <c r="E199" t="n">
        <v>145</v>
      </c>
    </row>
    <row r="200">
      <c r="A200" t="s">
        <v>307</v>
      </c>
      <c r="B200" t="n">
        <v>-0.5</v>
      </c>
      <c r="C200" t="n">
        <v>3</v>
      </c>
      <c r="D200" t="n">
        <v>-0.25</v>
      </c>
      <c r="E200" t="n">
        <v>70</v>
      </c>
    </row>
    <row r="201">
      <c r="A201" t="s">
        <v>308</v>
      </c>
      <c r="B201" t="n">
        <v>-0.5</v>
      </c>
      <c r="C201" t="n">
        <v>177</v>
      </c>
      <c r="D201" t="n">
        <v>-0.25</v>
      </c>
      <c r="E201" t="n">
        <v>110</v>
      </c>
    </row>
    <row r="202">
      <c r="A202" t="s">
        <v>307</v>
      </c>
      <c r="B202" t="n">
        <v>-0.5</v>
      </c>
      <c r="C202" t="n">
        <v>12</v>
      </c>
      <c r="D202" t="n">
        <v>-0.25</v>
      </c>
      <c r="E202" t="n">
        <v>157</v>
      </c>
    </row>
    <row r="203">
      <c r="A203" t="s">
        <v>308</v>
      </c>
      <c r="B203" t="n">
        <v>-0.75</v>
      </c>
      <c r="C203" t="n">
        <v>171</v>
      </c>
      <c r="D203" t="n">
        <v>-0.25</v>
      </c>
      <c r="E203" t="n">
        <v>42</v>
      </c>
    </row>
    <row r="204">
      <c r="A204" t="s">
        <v>307</v>
      </c>
      <c r="B204" t="n">
        <v>-0.75</v>
      </c>
      <c r="C204" t="n">
        <v>131</v>
      </c>
      <c r="D204" t="n">
        <v>-0.25</v>
      </c>
      <c r="E204" t="n">
        <v>71</v>
      </c>
    </row>
    <row r="205">
      <c r="A205" t="s">
        <v>308</v>
      </c>
      <c r="B205" t="n">
        <v>-0.25</v>
      </c>
      <c r="C205" t="n">
        <v>53</v>
      </c>
      <c r="D205" t="n">
        <v>-0.25</v>
      </c>
      <c r="E205" t="n">
        <v>136</v>
      </c>
    </row>
    <row r="206">
      <c r="A206" t="s">
        <v>308</v>
      </c>
      <c r="B206" t="n">
        <v>-0.5</v>
      </c>
      <c r="C206" t="n">
        <v>14</v>
      </c>
      <c r="D206" t="n">
        <v>-0.25</v>
      </c>
      <c r="E206" t="n">
        <v>165</v>
      </c>
    </row>
    <row r="207">
      <c r="A207" t="s">
        <v>307</v>
      </c>
      <c r="B207" t="n">
        <v>-0.5</v>
      </c>
      <c r="C207" t="n">
        <v>152</v>
      </c>
      <c r="D207" t="n">
        <v>-0.25</v>
      </c>
      <c r="E207" t="n">
        <v>1</v>
      </c>
    </row>
    <row r="208">
      <c r="A208" t="s">
        <v>308</v>
      </c>
      <c r="B208" t="n">
        <v>-0.75</v>
      </c>
      <c r="C208" t="n">
        <v>93</v>
      </c>
      <c r="D208" t="n">
        <v>-0.5</v>
      </c>
      <c r="E208" t="n">
        <v>64</v>
      </c>
    </row>
    <row r="209">
      <c r="A209" t="s">
        <v>307</v>
      </c>
      <c r="B209" t="n">
        <v>-1.5</v>
      </c>
      <c r="C209" t="n">
        <v>166</v>
      </c>
      <c r="D209" t="n">
        <v>-0.25</v>
      </c>
      <c r="E209" t="n">
        <v>5</v>
      </c>
    </row>
  </sheetData>
  <pageMargins left="0.7" right="0.7" top="0.75" bottom="0.75" header="0.3" footer="0.3"/>
  <pageSetup paperSize="9" orientation="portrait" horizontalDpi="300" verticalDpi="300" r:id="rId2"/>
  <tableParts count="1">
    <tablePart r:id="rId9"/>
  </tableParts>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302</v>
      </c>
      <c r="B1" t="s">
        <v>303</v>
      </c>
      <c r="C1" t="s">
        <v>304</v>
      </c>
      <c r="D1" t="s">
        <v>305</v>
      </c>
      <c r="E1" t="s">
        <v>306</v>
      </c>
    </row>
    <row r="2">
      <c r="A2" t="s">
        <v>307</v>
      </c>
      <c r="B2" t="n">
        <v>-0.5</v>
      </c>
      <c r="C2" t="n">
        <v>170</v>
      </c>
      <c r="D2"/>
      <c r="E2"/>
    </row>
    <row r="3">
      <c r="A3" t="s">
        <v>307</v>
      </c>
      <c r="B3" t="n">
        <v>-0.25</v>
      </c>
      <c r="C3" t="n">
        <v>147</v>
      </c>
      <c r="D3" t="n">
        <v>0</v>
      </c>
      <c r="E3" t="n">
        <v>169</v>
      </c>
    </row>
    <row r="4">
      <c r="A4" t="s">
        <v>307</v>
      </c>
      <c r="B4" t="n">
        <v>-0.75</v>
      </c>
      <c r="C4" t="n">
        <v>156</v>
      </c>
      <c r="D4" t="n">
        <v>0</v>
      </c>
      <c r="E4" t="n">
        <v>149</v>
      </c>
    </row>
    <row r="5">
      <c r="A5" t="s">
        <v>308</v>
      </c>
      <c r="B5" t="n">
        <v>-1</v>
      </c>
      <c r="C5" t="n">
        <v>26</v>
      </c>
      <c r="D5" t="n">
        <v>-0.25</v>
      </c>
      <c r="E5" t="n">
        <v>42</v>
      </c>
    </row>
    <row r="6">
      <c r="A6" t="s">
        <v>307</v>
      </c>
      <c r="B6" t="n">
        <v>-0.75</v>
      </c>
      <c r="C6" t="n">
        <v>2</v>
      </c>
      <c r="D6" t="n">
        <v>-0.25</v>
      </c>
      <c r="E6" t="n">
        <v>48</v>
      </c>
    </row>
    <row r="7">
      <c r="A7" t="s">
        <v>308</v>
      </c>
      <c r="B7" t="n">
        <v>-1.75</v>
      </c>
      <c r="C7" t="n">
        <v>176</v>
      </c>
      <c r="D7" t="n">
        <v>-0.5</v>
      </c>
      <c r="E7" t="n">
        <v>129</v>
      </c>
    </row>
    <row r="8">
      <c r="A8" t="s">
        <v>307</v>
      </c>
      <c r="B8" t="n">
        <v>-0.75</v>
      </c>
      <c r="C8" t="n">
        <v>165</v>
      </c>
      <c r="D8" t="n">
        <v>-0.25</v>
      </c>
      <c r="E8" t="n">
        <v>100</v>
      </c>
    </row>
    <row r="9">
      <c r="A9" t="s">
        <v>308</v>
      </c>
      <c r="B9" t="n">
        <v>-1</v>
      </c>
      <c r="C9" t="n">
        <v>18</v>
      </c>
      <c r="D9" t="n">
        <v>-0.25</v>
      </c>
      <c r="E9" t="n">
        <v>129</v>
      </c>
    </row>
    <row r="10">
      <c r="A10" t="s">
        <v>307</v>
      </c>
      <c r="B10" t="n">
        <v>-2.75</v>
      </c>
      <c r="C10" t="n">
        <v>146</v>
      </c>
      <c r="D10"/>
      <c r="E10"/>
    </row>
    <row r="11">
      <c r="A11" t="s">
        <v>308</v>
      </c>
      <c r="B11" t="n">
        <v>-2.25</v>
      </c>
      <c r="C11" t="n">
        <v>30</v>
      </c>
      <c r="D11"/>
      <c r="E11"/>
    </row>
    <row r="12">
      <c r="A12" t="s">
        <v>307</v>
      </c>
      <c r="B12" t="n">
        <v>-0.75</v>
      </c>
      <c r="C12" t="n">
        <v>112</v>
      </c>
      <c r="D12"/>
      <c r="E12"/>
    </row>
    <row r="13">
      <c r="A13" t="s">
        <v>308</v>
      </c>
      <c r="B13" t="n">
        <v>-1.25</v>
      </c>
      <c r="C13" t="n">
        <v>75</v>
      </c>
      <c r="D13"/>
      <c r="E13"/>
    </row>
    <row r="14">
      <c r="A14" t="s">
        <v>307</v>
      </c>
      <c r="B14" t="n">
        <v>-1</v>
      </c>
      <c r="C14" t="n">
        <v>147</v>
      </c>
      <c r="D14" t="n">
        <v>-0.5</v>
      </c>
      <c r="E14" t="n">
        <v>129</v>
      </c>
    </row>
    <row r="15">
      <c r="A15" t="s">
        <v>308</v>
      </c>
      <c r="B15" t="n">
        <v>-1.75</v>
      </c>
      <c r="C15" t="n">
        <v>36</v>
      </c>
      <c r="D15" t="n">
        <v>-0.75</v>
      </c>
      <c r="E15" t="n">
        <v>18</v>
      </c>
    </row>
    <row r="16">
      <c r="A16" t="s">
        <v>307</v>
      </c>
      <c r="B16" t="n">
        <v>-1</v>
      </c>
      <c r="C16" t="n">
        <v>171</v>
      </c>
      <c r="D16"/>
      <c r="E16"/>
    </row>
    <row r="17">
      <c r="A17" t="s">
        <v>308</v>
      </c>
      <c r="B17" t="n">
        <v>-0.25</v>
      </c>
      <c r="C17" t="n">
        <v>14</v>
      </c>
      <c r="D17"/>
      <c r="E17"/>
    </row>
    <row r="18">
      <c r="A18" t="s">
        <v>307</v>
      </c>
      <c r="B18" t="n">
        <v>-0.5</v>
      </c>
      <c r="C18" t="n">
        <v>112</v>
      </c>
      <c r="D18" t="n">
        <v>-0.25</v>
      </c>
      <c r="E18" t="n">
        <v>170</v>
      </c>
    </row>
    <row r="19">
      <c r="A19" t="s">
        <v>308</v>
      </c>
      <c r="B19" t="n">
        <v>-0.25</v>
      </c>
      <c r="C19" t="n">
        <v>64</v>
      </c>
      <c r="D19" t="n">
        <v>0</v>
      </c>
      <c r="E19" t="n">
        <v>23</v>
      </c>
    </row>
    <row r="20">
      <c r="A20" t="s">
        <v>307</v>
      </c>
      <c r="B20" t="n">
        <v>-3.25</v>
      </c>
      <c r="C20" t="n">
        <v>178</v>
      </c>
      <c r="D20" t="n">
        <v>-1.5</v>
      </c>
      <c r="E20" t="n">
        <v>28</v>
      </c>
    </row>
    <row r="21">
      <c r="A21" t="s">
        <v>308</v>
      </c>
      <c r="B21" t="n">
        <v>-2.25</v>
      </c>
      <c r="C21" t="n">
        <v>173</v>
      </c>
      <c r="D21" t="n">
        <v>-0.25</v>
      </c>
      <c r="E21" t="n">
        <v>7</v>
      </c>
    </row>
    <row r="22">
      <c r="A22" t="s">
        <v>308</v>
      </c>
      <c r="B22" t="n">
        <v>-0.5</v>
      </c>
      <c r="C22" t="n">
        <v>63</v>
      </c>
      <c r="D22" t="n">
        <v>-0.25</v>
      </c>
      <c r="E22" t="n">
        <v>96</v>
      </c>
    </row>
    <row r="23">
      <c r="A23" t="s">
        <v>307</v>
      </c>
      <c r="B23" t="n">
        <v>-0.5</v>
      </c>
      <c r="C23" t="n">
        <v>55</v>
      </c>
      <c r="D23" t="n">
        <v>-0.25</v>
      </c>
      <c r="E23" t="n">
        <v>91</v>
      </c>
    </row>
    <row r="24">
      <c r="A24" t="s">
        <v>307</v>
      </c>
      <c r="B24" t="n">
        <v>-0.5</v>
      </c>
      <c r="C24" t="n">
        <v>19</v>
      </c>
      <c r="D24" t="n">
        <v>0</v>
      </c>
      <c r="E24" t="n">
        <v>148</v>
      </c>
    </row>
    <row r="25">
      <c r="A25" t="s">
        <v>308</v>
      </c>
      <c r="B25" t="n">
        <v>-0.5</v>
      </c>
      <c r="C25" t="n">
        <v>167</v>
      </c>
      <c r="D25" t="n">
        <v>-0.25</v>
      </c>
      <c r="E25" t="n">
        <v>56</v>
      </c>
    </row>
    <row r="26">
      <c r="A26" t="s">
        <v>307</v>
      </c>
      <c r="B26" t="n">
        <v>-1.75</v>
      </c>
      <c r="C26" t="n">
        <v>18</v>
      </c>
      <c r="D26" t="n">
        <v>-1</v>
      </c>
      <c r="E26" t="n">
        <v>158</v>
      </c>
    </row>
    <row r="27">
      <c r="A27" t="s">
        <v>308</v>
      </c>
      <c r="B27" t="n">
        <v>-1.25</v>
      </c>
      <c r="C27" t="n">
        <v>171</v>
      </c>
      <c r="D27" t="n">
        <v>-0.25</v>
      </c>
      <c r="E27" t="n">
        <v>28</v>
      </c>
    </row>
    <row r="28">
      <c r="A28" t="s">
        <v>307</v>
      </c>
      <c r="B28" t="n">
        <v>-0.5</v>
      </c>
      <c r="C28" t="n">
        <v>11</v>
      </c>
      <c r="D28" t="n">
        <v>0</v>
      </c>
      <c r="E28" t="n">
        <v>91</v>
      </c>
    </row>
    <row r="29">
      <c r="A29" t="s">
        <v>308</v>
      </c>
      <c r="B29" t="n">
        <v>-1</v>
      </c>
      <c r="C29" t="n">
        <v>159</v>
      </c>
      <c r="D29" t="n">
        <v>0</v>
      </c>
      <c r="E29" t="n">
        <v>100</v>
      </c>
    </row>
    <row r="30">
      <c r="A30" t="s">
        <v>307</v>
      </c>
      <c r="B30" t="n">
        <v>-0.25</v>
      </c>
      <c r="C30" t="n">
        <v>55</v>
      </c>
      <c r="D30" t="n">
        <v>-0.25</v>
      </c>
      <c r="E30" t="n">
        <v>30</v>
      </c>
    </row>
    <row r="31">
      <c r="A31" t="s">
        <v>307</v>
      </c>
      <c r="B31" t="n">
        <v>-1.5</v>
      </c>
      <c r="C31" t="n">
        <v>30</v>
      </c>
      <c r="D31" t="n">
        <v>-0.5</v>
      </c>
      <c r="E31" t="n">
        <v>2</v>
      </c>
    </row>
    <row r="32">
      <c r="A32" t="s">
        <v>308</v>
      </c>
      <c r="B32" t="n">
        <v>-1.25</v>
      </c>
      <c r="C32" t="n">
        <v>136</v>
      </c>
      <c r="D32" t="n">
        <v>-0.5</v>
      </c>
      <c r="E32" t="n">
        <v>164</v>
      </c>
    </row>
    <row r="33">
      <c r="A33" t="s">
        <v>307</v>
      </c>
      <c r="B33" t="n">
        <v>-0.5</v>
      </c>
      <c r="C33" t="n">
        <v>8</v>
      </c>
      <c r="D33" t="n">
        <v>-0.25</v>
      </c>
      <c r="E33" t="n">
        <v>12</v>
      </c>
    </row>
    <row r="34">
      <c r="A34" t="s">
        <v>308</v>
      </c>
      <c r="B34" t="n">
        <v>-0.5</v>
      </c>
      <c r="C34" t="n">
        <v>163</v>
      </c>
      <c r="D34" t="n">
        <v>-0.25</v>
      </c>
      <c r="E34" t="n">
        <v>9</v>
      </c>
    </row>
    <row r="35">
      <c r="A35" t="s">
        <v>307</v>
      </c>
      <c r="B35" t="n">
        <v>-1</v>
      </c>
      <c r="C35" t="n">
        <v>70</v>
      </c>
      <c r="D35" t="n">
        <v>-0.25</v>
      </c>
      <c r="E35" t="n">
        <v>30</v>
      </c>
    </row>
    <row r="36">
      <c r="A36" t="s">
        <v>308</v>
      </c>
      <c r="B36" t="n">
        <v>-1</v>
      </c>
      <c r="C36" t="n">
        <v>107</v>
      </c>
      <c r="D36" t="n">
        <v>-0.25</v>
      </c>
      <c r="E36" t="n">
        <v>139</v>
      </c>
    </row>
    <row r="37">
      <c r="A37" t="s">
        <v>308</v>
      </c>
      <c r="B37" t="n">
        <v>-1.5</v>
      </c>
      <c r="C37" t="n">
        <v>42</v>
      </c>
      <c r="D37"/>
      <c r="E37"/>
    </row>
    <row r="38">
      <c r="A38" t="s">
        <v>307</v>
      </c>
      <c r="B38" t="n">
        <v>-0.25</v>
      </c>
      <c r="C38" t="n">
        <v>148</v>
      </c>
      <c r="D38" t="n">
        <v>-0.25</v>
      </c>
      <c r="E38" t="n">
        <v>87</v>
      </c>
    </row>
    <row r="39">
      <c r="A39" t="s">
        <v>308</v>
      </c>
      <c r="B39" t="n">
        <v>-0.5</v>
      </c>
      <c r="C39" t="n">
        <v>43</v>
      </c>
      <c r="D39" t="n">
        <v>-0.25</v>
      </c>
      <c r="E39" t="n">
        <v>112</v>
      </c>
    </row>
    <row r="40">
      <c r="A40" t="s">
        <v>307</v>
      </c>
      <c r="B40" t="n">
        <v>-1.5</v>
      </c>
      <c r="C40" t="n">
        <v>86</v>
      </c>
      <c r="D40" t="n">
        <v>0</v>
      </c>
      <c r="E40" t="n">
        <v>56</v>
      </c>
    </row>
    <row r="41">
      <c r="A41" t="s">
        <v>308</v>
      </c>
      <c r="B41" t="n">
        <v>-2</v>
      </c>
      <c r="C41" t="n">
        <v>84</v>
      </c>
      <c r="D41" t="n">
        <v>-0.5</v>
      </c>
      <c r="E41" t="n">
        <v>41</v>
      </c>
    </row>
    <row r="42">
      <c r="A42" t="s">
        <v>307</v>
      </c>
      <c r="B42" t="n">
        <v>-0.25</v>
      </c>
      <c r="C42" t="n">
        <v>6</v>
      </c>
      <c r="D42" t="n">
        <v>-0.25</v>
      </c>
      <c r="E42" t="n">
        <v>153</v>
      </c>
    </row>
    <row r="43">
      <c r="A43" t="s">
        <v>308</v>
      </c>
      <c r="B43" t="n">
        <v>-0.75</v>
      </c>
      <c r="C43" t="n">
        <v>167</v>
      </c>
      <c r="D43" t="n">
        <v>-0.25</v>
      </c>
      <c r="E43" t="n">
        <v>6</v>
      </c>
    </row>
    <row r="44">
      <c r="A44" t="s">
        <v>307</v>
      </c>
      <c r="B44" t="n">
        <v>-1.5</v>
      </c>
      <c r="C44" t="n">
        <v>34</v>
      </c>
      <c r="D44" t="n">
        <v>-0.25</v>
      </c>
      <c r="E44" t="n">
        <v>41</v>
      </c>
    </row>
    <row r="45">
      <c r="A45" t="s">
        <v>308</v>
      </c>
      <c r="B45" t="n">
        <v>-0.5</v>
      </c>
      <c r="C45" t="n">
        <v>145</v>
      </c>
      <c r="D45" t="n">
        <v>-0.25</v>
      </c>
      <c r="E45" t="n">
        <v>107</v>
      </c>
    </row>
    <row r="46">
      <c r="A46" t="s">
        <v>307</v>
      </c>
      <c r="B46" t="n">
        <v>-1.25</v>
      </c>
      <c r="C46" t="n">
        <v>2</v>
      </c>
      <c r="D46" t="n">
        <v>-0.25</v>
      </c>
      <c r="E46" t="n">
        <v>105</v>
      </c>
    </row>
    <row r="47">
      <c r="A47" t="s">
        <v>307</v>
      </c>
      <c r="B47" t="n">
        <v>-2.25</v>
      </c>
      <c r="C47" t="n">
        <v>3</v>
      </c>
      <c r="D47" t="n">
        <v>-0.75</v>
      </c>
      <c r="E47" t="n">
        <v>170</v>
      </c>
    </row>
    <row r="48">
      <c r="A48" t="s">
        <v>307</v>
      </c>
      <c r="B48" t="n">
        <v>-2</v>
      </c>
      <c r="C48" t="n">
        <v>178</v>
      </c>
      <c r="D48" t="n">
        <v>-0.75</v>
      </c>
      <c r="E48" t="n">
        <v>147</v>
      </c>
    </row>
    <row r="49">
      <c r="A49" t="s">
        <v>308</v>
      </c>
      <c r="B49" t="n">
        <v>-1.25</v>
      </c>
      <c r="C49" t="n">
        <v>171</v>
      </c>
      <c r="D49" t="n">
        <v>-0.5</v>
      </c>
      <c r="E49" t="n">
        <v>49</v>
      </c>
    </row>
    <row r="50">
      <c r="A50" t="s">
        <v>307</v>
      </c>
      <c r="B50" t="n">
        <v>-0.25</v>
      </c>
      <c r="C50" t="n">
        <v>29</v>
      </c>
      <c r="D50" t="n">
        <v>-0.25</v>
      </c>
      <c r="E50" t="n">
        <v>43</v>
      </c>
    </row>
    <row r="51">
      <c r="A51" t="s">
        <v>308</v>
      </c>
      <c r="B51" t="n">
        <v>-0.5</v>
      </c>
      <c r="C51" t="n">
        <v>150</v>
      </c>
      <c r="D51" t="n">
        <v>-0.25</v>
      </c>
      <c r="E51" t="n">
        <v>129</v>
      </c>
    </row>
    <row r="52">
      <c r="A52" t="s">
        <v>308</v>
      </c>
      <c r="B52" t="n">
        <v>-0.5</v>
      </c>
      <c r="C52" t="n">
        <v>72</v>
      </c>
      <c r="D52" t="n">
        <v>-0.25</v>
      </c>
      <c r="E52" t="n">
        <v>173</v>
      </c>
    </row>
    <row r="53">
      <c r="A53" t="s">
        <v>307</v>
      </c>
      <c r="B53" t="n">
        <v>-0.75</v>
      </c>
      <c r="C53" t="n">
        <v>163</v>
      </c>
      <c r="D53" t="n">
        <v>-0.25</v>
      </c>
      <c r="E53" t="n">
        <v>75</v>
      </c>
    </row>
    <row r="54">
      <c r="A54" t="s">
        <v>308</v>
      </c>
      <c r="B54" t="n">
        <v>-0.25</v>
      </c>
      <c r="C54" t="n">
        <v>15</v>
      </c>
      <c r="D54" t="n">
        <v>-0.25</v>
      </c>
      <c r="E54" t="n">
        <v>97</v>
      </c>
    </row>
    <row r="55">
      <c r="A55" t="s">
        <v>307</v>
      </c>
      <c r="B55" t="n">
        <v>-1.75</v>
      </c>
      <c r="C55" t="n">
        <v>180</v>
      </c>
      <c r="D55" t="n">
        <v>0</v>
      </c>
      <c r="E55" t="n">
        <v>114</v>
      </c>
    </row>
    <row r="56">
      <c r="A56" t="s">
        <v>308</v>
      </c>
      <c r="B56" t="n">
        <v>-0.75</v>
      </c>
      <c r="C56" t="n">
        <v>174</v>
      </c>
      <c r="D56" t="n">
        <v>-0.25</v>
      </c>
      <c r="E56" t="n">
        <v>35</v>
      </c>
    </row>
    <row r="57">
      <c r="A57" t="s">
        <v>307</v>
      </c>
      <c r="B57" t="n">
        <v>-1.25</v>
      </c>
      <c r="C57" t="n">
        <v>105</v>
      </c>
      <c r="D57" t="n">
        <v>-0.25</v>
      </c>
      <c r="E57" t="n">
        <v>95</v>
      </c>
    </row>
    <row r="58">
      <c r="A58" t="s">
        <v>308</v>
      </c>
      <c r="B58" t="n">
        <v>-2.25</v>
      </c>
      <c r="C58" t="n">
        <v>82</v>
      </c>
      <c r="D58" t="n">
        <v>-0.25</v>
      </c>
      <c r="E58" t="n">
        <v>75</v>
      </c>
    </row>
    <row r="59">
      <c r="A59" t="s">
        <v>308</v>
      </c>
      <c r="B59" t="n">
        <v>-1.25</v>
      </c>
      <c r="C59" t="n">
        <v>42</v>
      </c>
      <c r="D59" t="n">
        <v>-0.5</v>
      </c>
      <c r="E59" t="n">
        <v>5</v>
      </c>
    </row>
    <row r="60">
      <c r="A60" t="s">
        <v>307</v>
      </c>
      <c r="B60" t="n">
        <v>-0.5</v>
      </c>
      <c r="C60" t="n">
        <v>45</v>
      </c>
      <c r="D60" t="n">
        <v>-0.25</v>
      </c>
      <c r="E60" t="n">
        <v>149</v>
      </c>
    </row>
    <row r="61">
      <c r="A61" t="s">
        <v>308</v>
      </c>
      <c r="B61" t="n">
        <v>-0.5</v>
      </c>
      <c r="C61" t="n">
        <v>139</v>
      </c>
      <c r="D61" t="n">
        <v>-0.25</v>
      </c>
      <c r="E61" t="n">
        <v>17</v>
      </c>
    </row>
    <row r="62">
      <c r="A62" t="s">
        <v>307</v>
      </c>
      <c r="B62" t="n">
        <v>-0.25</v>
      </c>
      <c r="C62" t="n">
        <v>176</v>
      </c>
      <c r="D62" t="n">
        <v>0</v>
      </c>
      <c r="E62" t="n">
        <v>108</v>
      </c>
    </row>
    <row r="63">
      <c r="A63" t="s">
        <v>307</v>
      </c>
      <c r="B63" t="n">
        <v>-0.25</v>
      </c>
      <c r="C63" t="n">
        <v>129</v>
      </c>
      <c r="D63" t="n">
        <v>0</v>
      </c>
      <c r="E63" t="n">
        <v>77</v>
      </c>
    </row>
    <row r="64">
      <c r="A64" t="s">
        <v>308</v>
      </c>
      <c r="B64" t="n">
        <v>-0.75</v>
      </c>
      <c r="C64" t="n">
        <v>49</v>
      </c>
      <c r="D64" t="n">
        <v>-0.25</v>
      </c>
      <c r="E64" t="n">
        <v>87</v>
      </c>
    </row>
    <row r="65">
      <c r="A65" t="s">
        <v>307</v>
      </c>
      <c r="B65" t="n">
        <v>-1</v>
      </c>
      <c r="C65" t="n">
        <v>9</v>
      </c>
      <c r="D65" t="n">
        <v>-0.25</v>
      </c>
      <c r="E65" t="n">
        <v>165</v>
      </c>
    </row>
    <row r="66">
      <c r="A66" t="s">
        <v>308</v>
      </c>
      <c r="B66" t="n">
        <v>-1</v>
      </c>
      <c r="C66" t="n">
        <v>176</v>
      </c>
      <c r="D66" t="n">
        <v>0</v>
      </c>
      <c r="E66" t="n">
        <v>69</v>
      </c>
    </row>
    <row r="67">
      <c r="A67" t="s">
        <v>307</v>
      </c>
      <c r="B67" t="n">
        <v>-0.5</v>
      </c>
      <c r="C67" t="n">
        <v>36</v>
      </c>
      <c r="D67" t="n">
        <v>-0.25</v>
      </c>
      <c r="E67" t="n">
        <v>156</v>
      </c>
    </row>
    <row r="68">
      <c r="A68" t="s">
        <v>308</v>
      </c>
      <c r="B68" t="n">
        <v>-0.5</v>
      </c>
      <c r="C68" t="n">
        <v>156</v>
      </c>
      <c r="D68" t="n">
        <v>0</v>
      </c>
      <c r="E68" t="n">
        <v>41</v>
      </c>
    </row>
    <row r="69">
      <c r="A69" t="s">
        <v>307</v>
      </c>
      <c r="B69" t="n">
        <v>-0.5</v>
      </c>
      <c r="C69" t="n">
        <v>171</v>
      </c>
      <c r="D69" t="n">
        <v>0</v>
      </c>
      <c r="E69" t="n">
        <v>12</v>
      </c>
    </row>
    <row r="70">
      <c r="A70" t="s">
        <v>307</v>
      </c>
      <c r="B70" t="n">
        <v>-0.25</v>
      </c>
      <c r="C70" t="n">
        <v>177</v>
      </c>
      <c r="D70" t="n">
        <v>-0.5</v>
      </c>
      <c r="E70" t="n">
        <v>166</v>
      </c>
    </row>
    <row r="71">
      <c r="A71" t="s">
        <v>308</v>
      </c>
      <c r="B71" t="n">
        <v>0</v>
      </c>
      <c r="C71" t="n">
        <v>100</v>
      </c>
      <c r="D71" t="n">
        <v>-0.25</v>
      </c>
      <c r="E71" t="n">
        <v>9</v>
      </c>
    </row>
    <row r="72">
      <c r="A72" t="s">
        <v>307</v>
      </c>
      <c r="B72" t="n">
        <v>-1.25</v>
      </c>
      <c r="C72" t="n">
        <v>91</v>
      </c>
      <c r="D72" t="n">
        <v>-0.25</v>
      </c>
      <c r="E72" t="n">
        <v>80</v>
      </c>
    </row>
    <row r="73">
      <c r="A73" t="s">
        <v>308</v>
      </c>
      <c r="B73" t="n">
        <v>-1.25</v>
      </c>
      <c r="C73" t="n">
        <v>86</v>
      </c>
      <c r="D73" t="n">
        <v>-0.25</v>
      </c>
      <c r="E73" t="n">
        <v>76</v>
      </c>
    </row>
    <row r="74">
      <c r="A74" t="s">
        <v>307</v>
      </c>
      <c r="B74" t="n">
        <v>-0.25</v>
      </c>
      <c r="C74" t="n">
        <v>5</v>
      </c>
      <c r="D74" t="n">
        <v>-0.25</v>
      </c>
      <c r="E74" t="n">
        <v>59</v>
      </c>
    </row>
    <row r="75">
      <c r="A75" t="s">
        <v>308</v>
      </c>
      <c r="B75" t="n">
        <v>-0.5</v>
      </c>
      <c r="C75" t="n">
        <v>130</v>
      </c>
      <c r="D75" t="n">
        <v>-0.25</v>
      </c>
      <c r="E75" t="n">
        <v>157</v>
      </c>
    </row>
    <row r="76">
      <c r="A76" t="s">
        <v>307</v>
      </c>
      <c r="B76" t="n">
        <v>-0.75</v>
      </c>
      <c r="C76" t="n">
        <v>154</v>
      </c>
      <c r="D76" t="n">
        <v>0</v>
      </c>
      <c r="E76" t="n">
        <v>147</v>
      </c>
    </row>
    <row r="77">
      <c r="A77" t="s">
        <v>308</v>
      </c>
      <c r="B77" t="n">
        <v>-0.5</v>
      </c>
      <c r="C77" t="n">
        <v>15</v>
      </c>
      <c r="D77" t="n">
        <v>-0.25</v>
      </c>
      <c r="E77" t="n">
        <v>49</v>
      </c>
    </row>
    <row r="78">
      <c r="A78" t="s">
        <v>307</v>
      </c>
      <c r="B78" t="n">
        <v>-0.75</v>
      </c>
      <c r="C78" t="n">
        <v>57</v>
      </c>
      <c r="D78" t="n">
        <v>-0.25</v>
      </c>
      <c r="E78" t="n">
        <v>70</v>
      </c>
    </row>
    <row r="79">
      <c r="A79" t="s">
        <v>308</v>
      </c>
      <c r="B79" t="n">
        <v>-0.75</v>
      </c>
      <c r="C79" t="n">
        <v>115</v>
      </c>
      <c r="D79" t="n">
        <v>-0.25</v>
      </c>
      <c r="E79" t="n">
        <v>147</v>
      </c>
    </row>
    <row r="80">
      <c r="A80" t="s">
        <v>308</v>
      </c>
      <c r="B80" t="n">
        <v>-0.25</v>
      </c>
      <c r="C80" t="n">
        <v>162</v>
      </c>
      <c r="D80" t="n">
        <v>0</v>
      </c>
      <c r="E80" t="n">
        <v>7</v>
      </c>
    </row>
    <row r="81">
      <c r="A81" t="s">
        <v>307</v>
      </c>
      <c r="B81" t="n">
        <v>-0.5</v>
      </c>
      <c r="C81" t="n">
        <v>176</v>
      </c>
      <c r="D81" t="n">
        <v>0</v>
      </c>
      <c r="E81" t="n">
        <v>36</v>
      </c>
    </row>
    <row r="82">
      <c r="A82" t="s">
        <v>308</v>
      </c>
      <c r="B82" t="n">
        <v>-2.5</v>
      </c>
      <c r="C82" t="n">
        <v>172</v>
      </c>
      <c r="D82" t="n">
        <v>-0.75</v>
      </c>
      <c r="E82" t="n">
        <v>142</v>
      </c>
    </row>
    <row r="83">
      <c r="A83" t="s">
        <v>308</v>
      </c>
      <c r="B83" t="n">
        <v>-1</v>
      </c>
      <c r="C83" t="n">
        <v>145</v>
      </c>
      <c r="D83" t="n">
        <v>-0.25</v>
      </c>
      <c r="E83" t="n">
        <v>129</v>
      </c>
    </row>
    <row r="84">
      <c r="A84" t="s">
        <v>307</v>
      </c>
      <c r="B84" t="n">
        <v>-0.25</v>
      </c>
      <c r="C84" t="n">
        <v>44</v>
      </c>
      <c r="D84" t="n">
        <v>-0.25</v>
      </c>
      <c r="E84" t="n">
        <v>163</v>
      </c>
    </row>
    <row r="85">
      <c r="A85" t="s">
        <v>308</v>
      </c>
      <c r="B85" t="n">
        <v>-0.5</v>
      </c>
      <c r="C85" t="n">
        <v>133</v>
      </c>
      <c r="D85" t="n">
        <v>-0.25</v>
      </c>
      <c r="E85" t="n">
        <v>46</v>
      </c>
    </row>
    <row r="86">
      <c r="A86" t="s">
        <v>307</v>
      </c>
      <c r="B86" t="n">
        <v>-0.25</v>
      </c>
      <c r="C86" t="n">
        <v>7</v>
      </c>
      <c r="D86" t="n">
        <v>-0.25</v>
      </c>
      <c r="E86" t="n">
        <v>52</v>
      </c>
    </row>
    <row r="87">
      <c r="A87" t="s">
        <v>308</v>
      </c>
      <c r="B87" t="n">
        <v>-0.5</v>
      </c>
      <c r="C87" t="n">
        <v>168</v>
      </c>
      <c r="D87" t="n">
        <v>-0.25</v>
      </c>
      <c r="E87" t="n">
        <v>2</v>
      </c>
    </row>
    <row r="88">
      <c r="A88" t="s">
        <v>307</v>
      </c>
      <c r="B88" t="n">
        <v>-1</v>
      </c>
      <c r="C88" t="n">
        <v>127</v>
      </c>
      <c r="D88" t="n">
        <v>-0.25</v>
      </c>
      <c r="E88" t="n">
        <v>99</v>
      </c>
    </row>
    <row r="89">
      <c r="A89" t="s">
        <v>308</v>
      </c>
      <c r="B89" t="n">
        <v>-0.75</v>
      </c>
      <c r="C89" t="n">
        <v>42</v>
      </c>
      <c r="D89" t="n">
        <v>-0.25</v>
      </c>
      <c r="E89" t="n">
        <v>81</v>
      </c>
    </row>
    <row r="90">
      <c r="A90" t="s">
        <v>307</v>
      </c>
      <c r="B90" t="n">
        <v>-0.5</v>
      </c>
      <c r="C90" t="n">
        <v>8</v>
      </c>
      <c r="D90" t="n">
        <v>0</v>
      </c>
      <c r="E90" t="n">
        <v>145</v>
      </c>
    </row>
    <row r="91">
      <c r="A91" t="s">
        <v>308</v>
      </c>
      <c r="B91" t="n">
        <v>-0.75</v>
      </c>
      <c r="C91" t="n">
        <v>171</v>
      </c>
      <c r="D91" t="n">
        <v>0</v>
      </c>
      <c r="E91" t="n">
        <v>119</v>
      </c>
    </row>
    <row r="92">
      <c r="A92" t="s">
        <v>307</v>
      </c>
      <c r="B92" t="n">
        <v>-0.75</v>
      </c>
      <c r="C92" t="n">
        <v>48</v>
      </c>
      <c r="D92" t="n">
        <v>-0.25</v>
      </c>
      <c r="E92" t="n">
        <v>74</v>
      </c>
    </row>
    <row r="93">
      <c r="A93" t="s">
        <v>308</v>
      </c>
      <c r="B93" t="n">
        <v>-1.5</v>
      </c>
      <c r="C93" t="n">
        <v>114</v>
      </c>
      <c r="D93" t="n">
        <v>-0.25</v>
      </c>
      <c r="E93" t="n">
        <v>135</v>
      </c>
    </row>
    <row r="94">
      <c r="A94" t="s">
        <v>307</v>
      </c>
      <c r="B94" t="n">
        <v>-0.5</v>
      </c>
      <c r="C94" t="n">
        <v>11</v>
      </c>
      <c r="D94" t="n">
        <v>-0.25</v>
      </c>
      <c r="E94" t="n">
        <v>38</v>
      </c>
    </row>
    <row r="95">
      <c r="A95" t="s">
        <v>308</v>
      </c>
      <c r="B95" t="n">
        <v>-0.5</v>
      </c>
      <c r="C95" t="n">
        <v>165</v>
      </c>
      <c r="D95" t="n">
        <v>-0.25</v>
      </c>
      <c r="E95" t="n">
        <v>144</v>
      </c>
    </row>
    <row r="96">
      <c r="A96" t="s">
        <v>307</v>
      </c>
      <c r="B96" t="n">
        <v>-0.25</v>
      </c>
      <c r="C96" t="n">
        <v>102</v>
      </c>
      <c r="D96" t="n">
        <v>0</v>
      </c>
      <c r="E96" t="n">
        <v>122</v>
      </c>
    </row>
    <row r="97">
      <c r="A97" t="s">
        <v>307</v>
      </c>
      <c r="B97" t="n">
        <v>-0.5</v>
      </c>
      <c r="C97" t="n">
        <v>20</v>
      </c>
      <c r="D97" t="n">
        <v>0</v>
      </c>
      <c r="E97" t="n">
        <v>63</v>
      </c>
    </row>
    <row r="98">
      <c r="A98" t="s">
        <v>307</v>
      </c>
      <c r="B98" t="n">
        <v>-1.25</v>
      </c>
      <c r="C98" t="n">
        <v>176</v>
      </c>
      <c r="D98" t="n">
        <v>-0.25</v>
      </c>
      <c r="E98" t="n">
        <v>135</v>
      </c>
    </row>
    <row r="99">
      <c r="A99" t="s">
        <v>308</v>
      </c>
      <c r="B99" t="n">
        <v>-1</v>
      </c>
      <c r="C99" t="n">
        <v>8</v>
      </c>
      <c r="D99" t="n">
        <v>-0.25</v>
      </c>
      <c r="E99" t="n">
        <v>42</v>
      </c>
    </row>
    <row r="100">
      <c r="A100" t="s">
        <v>307</v>
      </c>
      <c r="B100" t="n">
        <v>-1</v>
      </c>
      <c r="C100" t="n">
        <v>7</v>
      </c>
      <c r="D100" t="n">
        <v>-0.25</v>
      </c>
      <c r="E100" t="n">
        <v>39</v>
      </c>
    </row>
    <row r="101">
      <c r="A101" t="s">
        <v>308</v>
      </c>
      <c r="B101" t="n">
        <v>-1.25</v>
      </c>
      <c r="C101" t="n">
        <v>169</v>
      </c>
      <c r="D101" t="n">
        <v>-0.5</v>
      </c>
      <c r="E101" t="n">
        <v>24</v>
      </c>
    </row>
    <row r="102">
      <c r="A102" t="s">
        <v>308</v>
      </c>
      <c r="B102" t="n">
        <v>-0.75</v>
      </c>
      <c r="C102" t="n">
        <v>107</v>
      </c>
      <c r="D102" t="n">
        <v>-0.25</v>
      </c>
      <c r="E102" t="n">
        <v>116</v>
      </c>
    </row>
    <row r="103">
      <c r="A103" t="s">
        <v>307</v>
      </c>
      <c r="B103" t="n">
        <v>-3</v>
      </c>
      <c r="C103" t="n">
        <v>159</v>
      </c>
      <c r="D103" t="n">
        <v>-0.5</v>
      </c>
      <c r="E103" t="n">
        <v>133</v>
      </c>
    </row>
    <row r="104">
      <c r="A104" t="s">
        <v>308</v>
      </c>
      <c r="B104" t="n">
        <v>-2.5</v>
      </c>
      <c r="C104" t="n">
        <v>23</v>
      </c>
      <c r="D104" t="n">
        <v>-0.5</v>
      </c>
      <c r="E104" t="n">
        <v>35</v>
      </c>
    </row>
    <row r="105">
      <c r="A105" t="s">
        <v>307</v>
      </c>
      <c r="B105" t="n">
        <v>-0.25</v>
      </c>
      <c r="C105" t="n">
        <v>4</v>
      </c>
      <c r="D105" t="n">
        <v>-0.5</v>
      </c>
      <c r="E105" t="n">
        <v>24</v>
      </c>
    </row>
    <row r="106">
      <c r="A106" t="s">
        <v>308</v>
      </c>
      <c r="B106" t="n">
        <v>-0.25</v>
      </c>
      <c r="C106" t="n">
        <v>175</v>
      </c>
      <c r="D106" t="n">
        <v>-0.25</v>
      </c>
      <c r="E106" t="n">
        <v>155</v>
      </c>
    </row>
    <row r="107">
      <c r="A107" t="s">
        <v>307</v>
      </c>
      <c r="B107" t="n">
        <v>-0.25</v>
      </c>
      <c r="C107" t="n">
        <v>175</v>
      </c>
      <c r="D107" t="n">
        <v>0</v>
      </c>
      <c r="E107" t="n">
        <v>34</v>
      </c>
    </row>
    <row r="108">
      <c r="A108" t="s">
        <v>308</v>
      </c>
      <c r="B108" t="n">
        <v>-0.5</v>
      </c>
      <c r="C108" t="n">
        <v>16</v>
      </c>
      <c r="D108" t="n">
        <v>-0.25</v>
      </c>
      <c r="E108" t="n">
        <v>153</v>
      </c>
    </row>
    <row r="109">
      <c r="A109" t="s">
        <v>307</v>
      </c>
      <c r="B109" t="n">
        <v>-0.75</v>
      </c>
      <c r="C109" t="n">
        <v>8</v>
      </c>
      <c r="D109" t="n">
        <v>-0.5</v>
      </c>
      <c r="E109" t="n">
        <v>152</v>
      </c>
    </row>
    <row r="110">
      <c r="A110" t="s">
        <v>307</v>
      </c>
      <c r="B110" t="n">
        <v>-0.75</v>
      </c>
      <c r="C110" t="n">
        <v>174</v>
      </c>
      <c r="D110" t="n">
        <v>0</v>
      </c>
      <c r="E110" t="n">
        <v>175</v>
      </c>
    </row>
    <row r="111">
      <c r="A111" t="s">
        <v>307</v>
      </c>
      <c r="B111" t="n">
        <v>-2</v>
      </c>
      <c r="C111" t="n">
        <v>164</v>
      </c>
      <c r="D111" t="n">
        <v>-0.5</v>
      </c>
      <c r="E111" t="n">
        <v>108</v>
      </c>
    </row>
    <row r="112">
      <c r="A112" t="s">
        <v>308</v>
      </c>
      <c r="B112" t="n">
        <v>-2</v>
      </c>
      <c r="C112" t="n">
        <v>19</v>
      </c>
      <c r="D112" t="n">
        <v>-0.25</v>
      </c>
      <c r="E112" t="n">
        <v>103</v>
      </c>
    </row>
    <row r="113">
      <c r="A113" t="s">
        <v>307</v>
      </c>
      <c r="B113" t="n">
        <v>-1.25</v>
      </c>
      <c r="C113" t="n">
        <v>88</v>
      </c>
      <c r="D113" t="n">
        <v>-0.25</v>
      </c>
      <c r="E113" t="n">
        <v>70</v>
      </c>
    </row>
    <row r="114">
      <c r="A114" t="s">
        <v>308</v>
      </c>
      <c r="B114" t="n">
        <v>-1.75</v>
      </c>
      <c r="C114" t="n">
        <v>109</v>
      </c>
      <c r="D114" t="n">
        <v>-0.25</v>
      </c>
      <c r="E114" t="n">
        <v>89</v>
      </c>
    </row>
    <row r="115">
      <c r="A115" t="s">
        <v>307</v>
      </c>
      <c r="B115" t="n">
        <v>-0.75</v>
      </c>
      <c r="C115" t="n">
        <v>135</v>
      </c>
      <c r="D115" t="n">
        <v>-0.25</v>
      </c>
      <c r="E115" t="n">
        <v>166</v>
      </c>
    </row>
    <row r="116">
      <c r="A116" t="s">
        <v>308</v>
      </c>
      <c r="B116" t="n">
        <v>-0.5</v>
      </c>
      <c r="C116" t="n">
        <v>46</v>
      </c>
      <c r="D116" t="n">
        <v>-0.25</v>
      </c>
      <c r="E116" t="n">
        <v>66</v>
      </c>
    </row>
    <row r="117">
      <c r="A117" t="s">
        <v>307</v>
      </c>
      <c r="B117" t="n">
        <v>-0.5</v>
      </c>
      <c r="C117" t="n">
        <v>104</v>
      </c>
      <c r="D117" t="n">
        <v>-0.25</v>
      </c>
      <c r="E117" t="n">
        <v>169</v>
      </c>
    </row>
    <row r="118">
      <c r="A118" t="s">
        <v>307</v>
      </c>
      <c r="B118" t="n">
        <v>-1.25</v>
      </c>
      <c r="C118" t="n">
        <v>4</v>
      </c>
      <c r="D118" t="n">
        <v>-0.25</v>
      </c>
      <c r="E118" t="n">
        <v>27</v>
      </c>
    </row>
    <row r="119">
      <c r="A119" t="s">
        <v>308</v>
      </c>
      <c r="B119" t="n">
        <v>-0.75</v>
      </c>
      <c r="C119" t="n">
        <v>180</v>
      </c>
      <c r="D119" t="n">
        <v>-0.25</v>
      </c>
      <c r="E119" t="n">
        <v>1</v>
      </c>
    </row>
    <row r="120">
      <c r="A120" t="s">
        <v>307</v>
      </c>
      <c r="B120" t="n">
        <v>-0.25</v>
      </c>
      <c r="C120" t="n">
        <v>15</v>
      </c>
      <c r="D120" t="n">
        <v>-0.25</v>
      </c>
      <c r="E120" t="n">
        <v>44</v>
      </c>
    </row>
    <row r="121">
      <c r="A121" t="s">
        <v>308</v>
      </c>
      <c r="B121" t="n">
        <v>-0.25</v>
      </c>
      <c r="C121" t="n">
        <v>166</v>
      </c>
      <c r="D121" t="n">
        <v>-0.25</v>
      </c>
      <c r="E121" t="n">
        <v>146</v>
      </c>
    </row>
    <row r="122">
      <c r="A122" t="s">
        <v>307</v>
      </c>
      <c r="B122" t="n">
        <v>-0.75</v>
      </c>
      <c r="C122" t="n">
        <v>37</v>
      </c>
      <c r="D122" t="n">
        <v>0</v>
      </c>
      <c r="E122" t="n">
        <v>56</v>
      </c>
    </row>
    <row r="123">
      <c r="A123" t="s">
        <v>308</v>
      </c>
      <c r="B123" t="n">
        <v>-0.25</v>
      </c>
      <c r="C123" t="n">
        <v>145</v>
      </c>
      <c r="D123" t="n">
        <v>-0.25</v>
      </c>
      <c r="E123" t="n">
        <v>15</v>
      </c>
    </row>
    <row r="124">
      <c r="A124" t="s">
        <v>307</v>
      </c>
      <c r="B124" t="n">
        <v>-0.75</v>
      </c>
      <c r="C124" t="n">
        <v>12</v>
      </c>
      <c r="D124" t="n">
        <v>-0.25</v>
      </c>
      <c r="E124" t="n">
        <v>91</v>
      </c>
    </row>
    <row r="125">
      <c r="A125" t="s">
        <v>307</v>
      </c>
      <c r="B125" t="n">
        <v>-1</v>
      </c>
      <c r="C125" t="n">
        <v>166</v>
      </c>
      <c r="D125" t="n">
        <v>-0.25</v>
      </c>
      <c r="E125" t="n">
        <v>112</v>
      </c>
    </row>
    <row r="126">
      <c r="A126" t="s">
        <v>308</v>
      </c>
      <c r="B126" t="n">
        <v>-0.5</v>
      </c>
      <c r="C126" t="n">
        <v>10</v>
      </c>
      <c r="D126" t="n">
        <v>-0.25</v>
      </c>
      <c r="E126" t="n">
        <v>119</v>
      </c>
    </row>
    <row r="127">
      <c r="A127" t="s">
        <v>308</v>
      </c>
      <c r="B127" t="n">
        <v>-1.25</v>
      </c>
      <c r="C127" t="n">
        <v>90</v>
      </c>
      <c r="D127" t="n">
        <v>-0.25</v>
      </c>
      <c r="E127" t="n">
        <v>120</v>
      </c>
    </row>
    <row r="128">
      <c r="A128" t="s">
        <v>307</v>
      </c>
      <c r="B128" t="n">
        <v>-1.5</v>
      </c>
      <c r="C128" t="n">
        <v>175</v>
      </c>
      <c r="D128" t="n">
        <v>-0.5</v>
      </c>
      <c r="E128" t="n">
        <v>143</v>
      </c>
    </row>
    <row r="129">
      <c r="A129" t="s">
        <v>308</v>
      </c>
      <c r="B129" t="n">
        <v>-1.5</v>
      </c>
      <c r="C129" t="n">
        <v>15</v>
      </c>
      <c r="D129" t="n">
        <v>-1.25</v>
      </c>
      <c r="E129" t="n">
        <v>43</v>
      </c>
    </row>
    <row r="130">
      <c r="A130" t="s">
        <v>307</v>
      </c>
      <c r="B130" t="n">
        <v>-0.75</v>
      </c>
      <c r="C130" t="n">
        <v>84</v>
      </c>
      <c r="D130" t="n">
        <v>-0.25</v>
      </c>
      <c r="E130" t="n">
        <v>56</v>
      </c>
    </row>
    <row r="131">
      <c r="A131" t="s">
        <v>308</v>
      </c>
      <c r="B131" t="n">
        <v>-0.5</v>
      </c>
      <c r="C131" t="n">
        <v>97</v>
      </c>
      <c r="D131" t="n">
        <v>0</v>
      </c>
      <c r="E131" t="n">
        <v>29</v>
      </c>
    </row>
    <row r="132">
      <c r="A132" t="s">
        <v>307</v>
      </c>
      <c r="B132" t="n">
        <v>-2</v>
      </c>
      <c r="C132" t="n">
        <v>19</v>
      </c>
      <c r="D132" t="n">
        <v>-0.25</v>
      </c>
      <c r="E132" t="n">
        <v>2</v>
      </c>
    </row>
    <row r="133">
      <c r="A133" t="s">
        <v>308</v>
      </c>
      <c r="B133" t="n">
        <v>-0.25</v>
      </c>
      <c r="C133" t="n">
        <v>168</v>
      </c>
      <c r="D133" t="n">
        <v>-0.25</v>
      </c>
      <c r="E133" t="n">
        <v>165</v>
      </c>
    </row>
    <row r="134">
      <c r="A134" t="s">
        <v>307</v>
      </c>
      <c r="B134" t="n">
        <v>-0.25</v>
      </c>
      <c r="C134" t="n">
        <v>14</v>
      </c>
      <c r="D134" t="n">
        <v>-0.25</v>
      </c>
      <c r="E134" t="n">
        <v>24</v>
      </c>
    </row>
    <row r="135">
      <c r="A135" t="s">
        <v>308</v>
      </c>
      <c r="B135" t="n">
        <v>-0.25</v>
      </c>
      <c r="C135" t="n">
        <v>159</v>
      </c>
      <c r="D135" t="n">
        <v>0</v>
      </c>
      <c r="E135" t="n">
        <v>145</v>
      </c>
    </row>
    <row r="136">
      <c r="A136" t="s">
        <v>307</v>
      </c>
      <c r="B136" t="n">
        <v>-0.75</v>
      </c>
      <c r="C136" t="n">
        <v>121</v>
      </c>
      <c r="D136" t="n">
        <v>0</v>
      </c>
      <c r="E136" t="n">
        <v>78</v>
      </c>
    </row>
    <row r="137">
      <c r="A137" t="s">
        <v>308</v>
      </c>
      <c r="B137" t="n">
        <v>-1</v>
      </c>
      <c r="C137" t="n">
        <v>52</v>
      </c>
      <c r="D137" t="n">
        <v>-0.25</v>
      </c>
      <c r="E137" t="n">
        <v>159</v>
      </c>
    </row>
    <row r="138">
      <c r="A138" t="s">
        <v>307</v>
      </c>
      <c r="B138" t="n">
        <v>-0.5</v>
      </c>
      <c r="C138" t="n">
        <v>141</v>
      </c>
      <c r="D138" t="n">
        <v>-0.25</v>
      </c>
      <c r="E138" t="n">
        <v>136</v>
      </c>
    </row>
  </sheetData>
  <pageMargins left="0.7" right="0.7" top="0.75" bottom="0.75" header="0.3" footer="0.3"/>
  <pageSetup paperSize="9" orientation="portrait" horizontalDpi="300" verticalDpi="300" r:id="rId2"/>
  <tableParts count="1">
    <tablePart r:id="rId10"/>
  </tableParts>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0" t="s">
        <v>2206</v>
      </c>
    </row>
    <row r="3">
      <c r="A3" s="1" t="s">
        <v>310</v>
      </c>
    </row>
    <row r="4">
      <c r="A4" t="s">
        <v>311</v>
      </c>
      <c r="B4" t="s">
        <v>312</v>
      </c>
      <c r="C4" t="s">
        <v>313</v>
      </c>
      <c r="D4" t="s">
        <v>314</v>
      </c>
      <c r="E4" t="s">
        <v>315</v>
      </c>
      <c r="F4" t="s">
        <v>316</v>
      </c>
      <c r="G4" t="s">
        <v>317</v>
      </c>
      <c r="H4" t="s">
        <v>318</v>
      </c>
      <c r="I4" t="s">
        <v>319</v>
      </c>
      <c r="J4" t="s">
        <v>320</v>
      </c>
      <c r="K4" t="s">
        <v>321</v>
      </c>
      <c r="L4" t="s">
        <v>322</v>
      </c>
      <c r="M4" t="s">
        <v>323</v>
      </c>
      <c r="N4" t="s">
        <v>324</v>
      </c>
      <c r="O4" t="s">
        <v>325</v>
      </c>
      <c r="P4" t="s">
        <v>326</v>
      </c>
      <c r="Q4" t="s">
        <v>327</v>
      </c>
      <c r="R4" t="s">
        <v>328</v>
      </c>
      <c r="S4" t="s">
        <v>329</v>
      </c>
    </row>
    <row r="5">
      <c r="A5" t="s">
        <v>330</v>
      </c>
      <c r="B5" t="s">
        <v>30</v>
      </c>
      <c r="C5" t="n">
        <v>208</v>
      </c>
      <c r="D5" t="n">
        <v>132</v>
      </c>
      <c r="E5" s="36" t="n">
        <v>-0.436750214352937</v>
      </c>
      <c r="F5" s="36" t="n">
        <v>0.00188013678780556</v>
      </c>
      <c r="G5" s="36" t="n">
        <v>0.436754261171746</v>
      </c>
      <c r="H5" s="37" t="n">
        <v>89.8766763771555</v>
      </c>
      <c r="I5" t="s">
        <v>570</v>
      </c>
      <c r="J5" s="36" t="n">
        <v>0.992333857418506</v>
      </c>
      <c r="K5" s="36" t="n">
        <v>0.901442307692308</v>
      </c>
      <c r="L5" s="36" t="n">
        <v>0.603850636215958</v>
      </c>
      <c r="M5" s="36" t="n">
        <v>0.75</v>
      </c>
      <c r="N5" s="36" t="n">
        <v>0</v>
      </c>
      <c r="O5" s="36" t="n">
        <v>3.5</v>
      </c>
      <c r="P5" s="36" t="n">
        <v>1.08419590906384</v>
      </c>
      <c r="Q5" t="s">
        <v>2207</v>
      </c>
      <c r="R5" t="n">
        <v>200</v>
      </c>
      <c r="S5" t="s">
        <v>2208</v>
      </c>
    </row>
    <row r="6">
      <c r="A6" t="s">
        <v>330</v>
      </c>
      <c r="B6" t="s">
        <v>32</v>
      </c>
      <c r="C6" t="n">
        <v>137</v>
      </c>
      <c r="D6" t="n">
        <v>82</v>
      </c>
      <c r="E6" s="36" t="n">
        <v>-0.337187026989305</v>
      </c>
      <c r="F6" s="36" t="n">
        <v>-0.0116346643537581</v>
      </c>
      <c r="G6" s="36" t="n">
        <v>0.337387694773403</v>
      </c>
      <c r="H6" s="37" t="n">
        <v>90.9881056221123</v>
      </c>
      <c r="I6" t="s">
        <v>2209</v>
      </c>
      <c r="J6" s="36" t="n">
        <v>1.06355596714057</v>
      </c>
      <c r="K6" s="36" t="n">
        <v>0.910583941605839</v>
      </c>
      <c r="L6" s="36" t="n">
        <v>0.647206402234382</v>
      </c>
      <c r="M6" s="36" t="n">
        <v>0.75</v>
      </c>
      <c r="N6" s="36" t="n">
        <v>0</v>
      </c>
      <c r="O6" s="36" t="n">
        <v>3.25</v>
      </c>
      <c r="P6" s="36" t="n">
        <v>1.11578750298828</v>
      </c>
      <c r="Q6" t="s">
        <v>1966</v>
      </c>
      <c r="R6" t="n">
        <v>137</v>
      </c>
      <c r="S6" t="s">
        <v>2210</v>
      </c>
    </row>
    <row r="7">
      <c r="A7" t="s">
        <v>340</v>
      </c>
      <c r="B7" t="s">
        <v>30</v>
      </c>
      <c r="C7" t="n">
        <v>187</v>
      </c>
      <c r="D7" t="n">
        <v>119</v>
      </c>
      <c r="E7" s="36" t="n">
        <v>0.425393380339302</v>
      </c>
      <c r="F7" s="36" t="n">
        <v>-0.000371559902701438</v>
      </c>
      <c r="G7" s="36" t="n">
        <v>0.425393542608793</v>
      </c>
      <c r="H7" s="37" t="n">
        <v>179.974977503376</v>
      </c>
      <c r="I7" t="s">
        <v>2211</v>
      </c>
      <c r="J7" s="36" t="n">
        <v>0.971332450159285</v>
      </c>
      <c r="K7" s="36" t="n">
        <v>0.881423828659446</v>
      </c>
      <c r="L7" s="36" t="n">
        <v>0.59110651770638</v>
      </c>
      <c r="M7" s="36" t="n">
        <v>0.75</v>
      </c>
      <c r="N7" s="36" t="n">
        <v>0.0609346717025738</v>
      </c>
      <c r="O7" s="36" t="n">
        <v>3.44641962965875</v>
      </c>
      <c r="P7" s="36" t="n">
        <v>1.06039916768437</v>
      </c>
      <c r="Q7" t="s">
        <v>2212</v>
      </c>
      <c r="R7" t="n">
        <v>180</v>
      </c>
      <c r="S7" t="s">
        <v>2213</v>
      </c>
    </row>
    <row r="8">
      <c r="A8" t="s">
        <v>340</v>
      </c>
      <c r="B8" t="s">
        <v>32</v>
      </c>
      <c r="C8" t="n">
        <v>129</v>
      </c>
      <c r="D8" t="n">
        <v>77</v>
      </c>
      <c r="E8" s="36" t="n">
        <v>0.294115159105352</v>
      </c>
      <c r="F8" s="36" t="n">
        <v>0.00673638660788211</v>
      </c>
      <c r="G8" s="36" t="n">
        <v>0.294192293780951</v>
      </c>
      <c r="H8" s="37" t="n">
        <v>0.656033937427293</v>
      </c>
      <c r="I8" t="s">
        <v>2214</v>
      </c>
      <c r="J8" s="36" t="n">
        <v>0.979276650688497</v>
      </c>
      <c r="K8" s="36" t="n">
        <v>0.849307944563076</v>
      </c>
      <c r="L8" s="36" t="n">
        <v>0.571612415597528</v>
      </c>
      <c r="M8" s="36" t="n">
        <v>0.730944108089069</v>
      </c>
      <c r="N8" s="36" t="n">
        <v>0.0261679781214719</v>
      </c>
      <c r="O8" s="36" t="n">
        <v>2.81735691739616</v>
      </c>
      <c r="P8" s="36" t="n">
        <v>1.02251252525521</v>
      </c>
      <c r="Q8" t="s">
        <v>2215</v>
      </c>
      <c r="R8" t="n">
        <v>129</v>
      </c>
      <c r="S8" t="s">
        <v>2216</v>
      </c>
    </row>
    <row r="9">
      <c r="A9" t="s">
        <v>350</v>
      </c>
      <c r="B9" t="s">
        <v>30</v>
      </c>
      <c r="C9" t="n">
        <v>187</v>
      </c>
      <c r="D9" t="n">
        <v>119</v>
      </c>
      <c r="E9" s="36" t="n">
        <v>-0.0410074060299158</v>
      </c>
      <c r="F9" s="36" t="n">
        <v>-0.0021467666935482</v>
      </c>
      <c r="G9" s="36" t="n">
        <v>0.0410635599593959</v>
      </c>
      <c r="H9" s="37" t="n">
        <v>91.4983694699839</v>
      </c>
      <c r="I9" t="s">
        <v>2217</v>
      </c>
      <c r="J9" s="36" t="n">
        <v>0.34829360667385</v>
      </c>
      <c r="K9" s="36" t="n">
        <v>0.275401069518717</v>
      </c>
      <c r="L9" s="36" t="n">
        <v>0.217720904007541</v>
      </c>
      <c r="M9" s="36" t="n">
        <v>0.25</v>
      </c>
      <c r="N9" s="36" t="n">
        <v>0</v>
      </c>
      <c r="O9" s="36" t="n">
        <v>1.5</v>
      </c>
      <c r="P9" s="36" t="n">
        <v>0.35070593437582</v>
      </c>
      <c r="Q9" t="s">
        <v>2212</v>
      </c>
      <c r="R9" t="n">
        <v>180</v>
      </c>
      <c r="S9" t="s">
        <v>2213</v>
      </c>
    </row>
    <row r="10">
      <c r="A10" t="s">
        <v>350</v>
      </c>
      <c r="B10" t="s">
        <v>32</v>
      </c>
      <c r="C10" t="n">
        <v>129</v>
      </c>
      <c r="D10" t="n">
        <v>77</v>
      </c>
      <c r="E10" s="36" t="n">
        <v>-0.0459085521413243</v>
      </c>
      <c r="F10" s="36" t="n">
        <v>-0.000721113920347916</v>
      </c>
      <c r="G10" s="36" t="n">
        <v>0.0459142152824026</v>
      </c>
      <c r="H10" s="37" t="n">
        <v>90.4499530560306</v>
      </c>
      <c r="I10" t="s">
        <v>353</v>
      </c>
      <c r="J10" s="36" t="n">
        <v>0.347784272702026</v>
      </c>
      <c r="K10" s="36" t="n">
        <v>0.267441860465116</v>
      </c>
      <c r="L10" s="36" t="n">
        <v>0.22790238819835</v>
      </c>
      <c r="M10" s="36" t="n">
        <v>0.25</v>
      </c>
      <c r="N10" s="36" t="n">
        <v>0</v>
      </c>
      <c r="O10" s="36" t="n">
        <v>1.5</v>
      </c>
      <c r="P10" s="36" t="n">
        <v>0.35080196051886</v>
      </c>
      <c r="Q10" t="s">
        <v>2218</v>
      </c>
      <c r="R10" t="n">
        <v>124</v>
      </c>
      <c r="S10" t="s">
        <v>2216</v>
      </c>
    </row>
    <row r="12">
      <c r="A12" s="1" t="s">
        <v>355</v>
      </c>
    </row>
    <row r="13">
      <c r="A13" t="s">
        <v>311</v>
      </c>
      <c r="B13" t="s">
        <v>312</v>
      </c>
      <c r="C13" t="s">
        <v>313</v>
      </c>
      <c r="D13" t="s">
        <v>356</v>
      </c>
      <c r="E13" t="s">
        <v>357</v>
      </c>
      <c r="F13" t="s">
        <v>358</v>
      </c>
      <c r="G13" t="s">
        <v>359</v>
      </c>
      <c r="H13" t="s">
        <v>360</v>
      </c>
      <c r="I13" t="s">
        <v>361</v>
      </c>
      <c r="J13" t="s">
        <v>362</v>
      </c>
      <c r="K13" t="s">
        <v>363</v>
      </c>
      <c r="L13" t="s">
        <v>364</v>
      </c>
    </row>
    <row r="14">
      <c r="A14" t="s">
        <v>330</v>
      </c>
      <c r="B14" t="s">
        <v>30</v>
      </c>
      <c r="C14" t="n">
        <v>208</v>
      </c>
      <c r="D14" s="38" t="n">
        <v>13.9423076923077</v>
      </c>
      <c r="E14" s="38" t="n">
        <v>39.4230769230769</v>
      </c>
      <c r="F14" s="38" t="n">
        <v>62.0192307692308</v>
      </c>
      <c r="G14" s="38" t="n">
        <v>73.5576923076923</v>
      </c>
      <c r="H14" s="38" t="n">
        <v>82.2115384615385</v>
      </c>
      <c r="I14" s="38" t="n">
        <v>87.9807692307692</v>
      </c>
      <c r="J14" s="38" t="n">
        <v>92.7884615384615</v>
      </c>
      <c r="K14" s="38" t="n">
        <v>95.1923076923077</v>
      </c>
      <c r="L14" s="38" t="n">
        <v>26.4423076923077</v>
      </c>
    </row>
    <row r="15">
      <c r="A15" t="s">
        <v>330</v>
      </c>
      <c r="B15" t="s">
        <v>32</v>
      </c>
      <c r="C15" t="n">
        <v>137</v>
      </c>
      <c r="D15" s="38" t="n">
        <v>18.978102189781</v>
      </c>
      <c r="E15" s="38" t="n">
        <v>43.0656934306569</v>
      </c>
      <c r="F15" s="38" t="n">
        <v>59.8540145985402</v>
      </c>
      <c r="G15" s="38" t="n">
        <v>70.8029197080292</v>
      </c>
      <c r="H15" s="38" t="n">
        <v>81.021897810219</v>
      </c>
      <c r="I15" s="38" t="n">
        <v>86.1313868613139</v>
      </c>
      <c r="J15" s="38" t="n">
        <v>89.7810218978102</v>
      </c>
      <c r="K15" s="38" t="n">
        <v>93.4306569343066</v>
      </c>
      <c r="L15" s="38" t="n">
        <v>29.1970802919708</v>
      </c>
    </row>
    <row r="16">
      <c r="A16" t="s">
        <v>340</v>
      </c>
      <c r="B16" t="s">
        <v>30</v>
      </c>
      <c r="C16" t="n">
        <v>187</v>
      </c>
      <c r="D16" s="38" t="n">
        <v>9.09090909090909</v>
      </c>
      <c r="E16" s="38" t="n">
        <v>31.0160427807487</v>
      </c>
      <c r="F16" s="38" t="n">
        <v>54.0106951871658</v>
      </c>
      <c r="G16" s="38" t="n">
        <v>70.0534759358289</v>
      </c>
      <c r="H16" s="38" t="n">
        <v>80.7486631016043</v>
      </c>
      <c r="I16" s="38" t="n">
        <v>87.7005347593583</v>
      </c>
      <c r="J16" s="38" t="n">
        <v>92.5133689839572</v>
      </c>
      <c r="K16" s="38" t="n">
        <v>94.1176470588235</v>
      </c>
      <c r="L16" s="38" t="n">
        <v>29.9465240641711</v>
      </c>
    </row>
    <row r="17">
      <c r="A17" t="s">
        <v>340</v>
      </c>
      <c r="B17" t="s">
        <v>32</v>
      </c>
      <c r="C17" t="n">
        <v>129</v>
      </c>
      <c r="D17" s="38" t="n">
        <v>12.4031007751938</v>
      </c>
      <c r="E17" s="38" t="n">
        <v>34.8837209302326</v>
      </c>
      <c r="F17" s="38" t="n">
        <v>57.3643410852713</v>
      </c>
      <c r="G17" s="38" t="n">
        <v>69.7674418604651</v>
      </c>
      <c r="H17" s="38" t="n">
        <v>81.3953488372093</v>
      </c>
      <c r="I17" s="38" t="n">
        <v>86.8217054263566</v>
      </c>
      <c r="J17" s="38" t="n">
        <v>89.922480620155</v>
      </c>
      <c r="K17" s="38" t="n">
        <v>93.0232558139535</v>
      </c>
      <c r="L17" s="38" t="n">
        <v>30.2325581395349</v>
      </c>
    </row>
    <row r="18">
      <c r="A18" t="s">
        <v>350</v>
      </c>
      <c r="B18" t="s">
        <v>30</v>
      </c>
      <c r="C18" t="n">
        <v>187</v>
      </c>
      <c r="D18" s="38" t="n">
        <v>77.0053475935829</v>
      </c>
      <c r="E18" s="38" t="n">
        <v>94.6524064171123</v>
      </c>
      <c r="F18" s="38" t="n">
        <v>98.3957219251337</v>
      </c>
      <c r="G18" s="38" t="n">
        <v>99.4652406417112</v>
      </c>
      <c r="H18" s="38" t="n">
        <v>99.4652406417112</v>
      </c>
      <c r="I18" s="38" t="n">
        <v>100</v>
      </c>
      <c r="J18" s="38" t="n">
        <v>100</v>
      </c>
      <c r="K18" s="38" t="n">
        <v>100</v>
      </c>
      <c r="L18" s="38" t="n">
        <v>0.53475935828877</v>
      </c>
    </row>
    <row r="19">
      <c r="A19" t="s">
        <v>350</v>
      </c>
      <c r="B19" t="s">
        <v>32</v>
      </c>
      <c r="C19" t="n">
        <v>129</v>
      </c>
      <c r="D19" s="38" t="n">
        <v>82.9457364341085</v>
      </c>
      <c r="E19" s="38" t="n">
        <v>94.5736434108527</v>
      </c>
      <c r="F19" s="38" t="n">
        <v>97.6744186046512</v>
      </c>
      <c r="G19" s="38" t="n">
        <v>98.4496124031008</v>
      </c>
      <c r="H19" s="38" t="n">
        <v>99.2248062015504</v>
      </c>
      <c r="I19" s="38" t="n">
        <v>100</v>
      </c>
      <c r="J19" s="38" t="n">
        <v>100</v>
      </c>
      <c r="K19" s="38" t="n">
        <v>100</v>
      </c>
      <c r="L19" s="38" t="n">
        <v>1.55038759689922</v>
      </c>
    </row>
    <row r="21">
      <c r="A21" s="1" t="s">
        <v>365</v>
      </c>
    </row>
    <row r="22">
      <c r="A22" t="s">
        <v>311</v>
      </c>
      <c r="B22" t="s">
        <v>312</v>
      </c>
      <c r="C22" t="s">
        <v>313</v>
      </c>
      <c r="D22" t="s">
        <v>314</v>
      </c>
      <c r="E22" t="s">
        <v>42</v>
      </c>
      <c r="F22" t="s">
        <v>41</v>
      </c>
      <c r="G22" t="s">
        <v>366</v>
      </c>
      <c r="H22" t="s">
        <v>1</v>
      </c>
    </row>
    <row r="23">
      <c r="A23" t="s">
        <v>330</v>
      </c>
      <c r="B23" t="s">
        <v>30</v>
      </c>
      <c r="C23" t="n">
        <v>208</v>
      </c>
      <c r="D23" t="n">
        <v>132</v>
      </c>
      <c r="E23" t="s">
        <v>367</v>
      </c>
      <c r="F23" t="s">
        <v>368</v>
      </c>
      <c r="G23" t="s">
        <v>567</v>
      </c>
      <c r="H23" t="s">
        <v>370</v>
      </c>
    </row>
    <row r="24">
      <c r="A24" t="s">
        <v>330</v>
      </c>
      <c r="B24" t="s">
        <v>32</v>
      </c>
      <c r="C24" t="n">
        <v>137</v>
      </c>
      <c r="D24" t="n">
        <v>82</v>
      </c>
      <c r="E24" t="s">
        <v>367</v>
      </c>
      <c r="F24" t="s">
        <v>368</v>
      </c>
      <c r="G24" t="s">
        <v>567</v>
      </c>
      <c r="H24" t="s">
        <v>370</v>
      </c>
    </row>
    <row r="25">
      <c r="A25" t="s">
        <v>340</v>
      </c>
      <c r="B25" t="s">
        <v>30</v>
      </c>
      <c r="C25" t="n">
        <v>187</v>
      </c>
      <c r="D25" t="n">
        <v>119</v>
      </c>
      <c r="E25" t="s">
        <v>367</v>
      </c>
      <c r="F25" t="s">
        <v>368</v>
      </c>
      <c r="G25" t="s">
        <v>567</v>
      </c>
      <c r="H25" t="s">
        <v>370</v>
      </c>
    </row>
    <row r="26">
      <c r="A26" t="s">
        <v>340</v>
      </c>
      <c r="B26" t="s">
        <v>32</v>
      </c>
      <c r="C26" t="n">
        <v>129</v>
      </c>
      <c r="D26" t="n">
        <v>77</v>
      </c>
      <c r="E26" t="s">
        <v>367</v>
      </c>
      <c r="F26" t="s">
        <v>536</v>
      </c>
      <c r="G26" t="s">
        <v>536</v>
      </c>
      <c r="H26" t="s">
        <v>109</v>
      </c>
    </row>
    <row r="27">
      <c r="A27" t="s">
        <v>350</v>
      </c>
      <c r="B27" t="s">
        <v>30</v>
      </c>
      <c r="C27" t="n">
        <v>187</v>
      </c>
      <c r="D27" t="n">
        <v>119</v>
      </c>
      <c r="E27" t="s">
        <v>367</v>
      </c>
      <c r="F27" t="s">
        <v>373</v>
      </c>
      <c r="G27" t="s">
        <v>400</v>
      </c>
      <c r="H27" t="s">
        <v>109</v>
      </c>
    </row>
    <row r="28">
      <c r="A28" t="s">
        <v>350</v>
      </c>
      <c r="B28" t="s">
        <v>32</v>
      </c>
      <c r="C28" t="n">
        <v>129</v>
      </c>
      <c r="D28" t="n">
        <v>77</v>
      </c>
      <c r="E28" t="s">
        <v>367</v>
      </c>
      <c r="F28" t="s">
        <v>189</v>
      </c>
      <c r="G28" t="s">
        <v>400</v>
      </c>
      <c r="H28" t="s">
        <v>109</v>
      </c>
    </row>
    <row r="30">
      <c r="A30" s="1" t="s">
        <v>376</v>
      </c>
    </row>
    <row r="31">
      <c r="A31" t="s">
        <v>311</v>
      </c>
      <c r="B31" t="s">
        <v>377</v>
      </c>
      <c r="C31" t="s">
        <v>378</v>
      </c>
      <c r="D31" t="s">
        <v>379</v>
      </c>
      <c r="E31" t="s">
        <v>42</v>
      </c>
      <c r="F31" t="s">
        <v>41</v>
      </c>
      <c r="G31" t="s">
        <v>380</v>
      </c>
      <c r="H31" t="s">
        <v>381</v>
      </c>
      <c r="I31" t="s">
        <v>1</v>
      </c>
    </row>
    <row r="32">
      <c r="A32" t="s">
        <v>330</v>
      </c>
      <c r="B32" t="s">
        <v>440</v>
      </c>
      <c r="C32" t="s">
        <v>319</v>
      </c>
      <c r="D32" t="s">
        <v>2219</v>
      </c>
      <c r="E32" t="s">
        <v>384</v>
      </c>
      <c r="F32" t="s">
        <v>524</v>
      </c>
      <c r="G32" t="s">
        <v>109</v>
      </c>
      <c r="H32" t="s">
        <v>386</v>
      </c>
      <c r="I32" t="s">
        <v>109</v>
      </c>
    </row>
    <row r="33">
      <c r="A33" t="s">
        <v>330</v>
      </c>
      <c r="B33" t="s">
        <v>440</v>
      </c>
      <c r="C33" t="s">
        <v>387</v>
      </c>
      <c r="D33" t="s">
        <v>2220</v>
      </c>
      <c r="E33" t="s">
        <v>389</v>
      </c>
      <c r="F33" t="s">
        <v>1657</v>
      </c>
      <c r="G33" t="s">
        <v>109</v>
      </c>
      <c r="H33" t="s">
        <v>386</v>
      </c>
      <c r="I33" t="s">
        <v>109</v>
      </c>
    </row>
    <row r="34">
      <c r="A34" t="s">
        <v>330</v>
      </c>
      <c r="B34" t="s">
        <v>440</v>
      </c>
      <c r="C34" t="s">
        <v>391</v>
      </c>
      <c r="D34" t="s">
        <v>2221</v>
      </c>
      <c r="E34" t="s">
        <v>389</v>
      </c>
      <c r="F34" t="s">
        <v>544</v>
      </c>
      <c r="G34" t="s">
        <v>109</v>
      </c>
      <c r="H34" t="s">
        <v>386</v>
      </c>
      <c r="I34" t="s">
        <v>109</v>
      </c>
    </row>
    <row r="35">
      <c r="A35" t="s">
        <v>330</v>
      </c>
      <c r="B35" t="s">
        <v>440</v>
      </c>
      <c r="C35" t="s">
        <v>394</v>
      </c>
      <c r="D35" t="s">
        <v>2222</v>
      </c>
      <c r="E35" t="s">
        <v>396</v>
      </c>
      <c r="F35" t="s">
        <v>438</v>
      </c>
      <c r="G35" t="s">
        <v>109</v>
      </c>
      <c r="H35" t="s">
        <v>386</v>
      </c>
      <c r="I35" t="s">
        <v>109</v>
      </c>
    </row>
    <row r="36">
      <c r="A36" t="s">
        <v>330</v>
      </c>
      <c r="B36" t="s">
        <v>440</v>
      </c>
      <c r="C36" t="s">
        <v>398</v>
      </c>
      <c r="D36" t="s">
        <v>2223</v>
      </c>
      <c r="E36" t="s">
        <v>396</v>
      </c>
      <c r="F36" t="s">
        <v>492</v>
      </c>
      <c r="G36" t="s">
        <v>109</v>
      </c>
      <c r="H36" t="s">
        <v>386</v>
      </c>
      <c r="I36" t="s">
        <v>109</v>
      </c>
    </row>
    <row r="37">
      <c r="A37" t="s">
        <v>330</v>
      </c>
      <c r="B37" t="s">
        <v>440</v>
      </c>
      <c r="C37" t="s">
        <v>401</v>
      </c>
      <c r="D37" t="s">
        <v>2224</v>
      </c>
      <c r="E37" t="s">
        <v>396</v>
      </c>
      <c r="F37" t="s">
        <v>1766</v>
      </c>
      <c r="G37" t="s">
        <v>109</v>
      </c>
      <c r="H37" t="s">
        <v>386</v>
      </c>
      <c r="I37" t="s">
        <v>109</v>
      </c>
    </row>
    <row r="38">
      <c r="A38" t="s">
        <v>330</v>
      </c>
      <c r="B38" t="s">
        <v>440</v>
      </c>
      <c r="C38" t="s">
        <v>404</v>
      </c>
      <c r="D38" t="s">
        <v>2225</v>
      </c>
      <c r="E38" t="s">
        <v>396</v>
      </c>
      <c r="F38" t="s">
        <v>99</v>
      </c>
      <c r="G38" t="s">
        <v>109</v>
      </c>
      <c r="H38" t="s">
        <v>386</v>
      </c>
      <c r="I38" t="s">
        <v>109</v>
      </c>
    </row>
    <row r="39">
      <c r="A39" t="s">
        <v>330</v>
      </c>
      <c r="B39" t="s">
        <v>440</v>
      </c>
      <c r="C39" t="s">
        <v>407</v>
      </c>
      <c r="D39" t="s">
        <v>2226</v>
      </c>
      <c r="E39" t="s">
        <v>396</v>
      </c>
      <c r="F39" t="s">
        <v>507</v>
      </c>
      <c r="G39" t="s">
        <v>109</v>
      </c>
      <c r="H39" t="s">
        <v>386</v>
      </c>
      <c r="I39" t="s">
        <v>109</v>
      </c>
    </row>
    <row r="40">
      <c r="A40" t="s">
        <v>330</v>
      </c>
      <c r="B40" t="s">
        <v>440</v>
      </c>
      <c r="C40" t="s">
        <v>409</v>
      </c>
      <c r="D40" t="s">
        <v>2227</v>
      </c>
      <c r="E40" t="s">
        <v>396</v>
      </c>
      <c r="F40" t="s">
        <v>458</v>
      </c>
      <c r="G40" t="s">
        <v>109</v>
      </c>
      <c r="H40" t="s">
        <v>386</v>
      </c>
      <c r="I40" t="s">
        <v>109</v>
      </c>
    </row>
    <row r="41">
      <c r="A41" t="s">
        <v>330</v>
      </c>
      <c r="B41" t="s">
        <v>440</v>
      </c>
      <c r="C41" t="s">
        <v>412</v>
      </c>
      <c r="D41" t="s">
        <v>2228</v>
      </c>
      <c r="E41" t="s">
        <v>396</v>
      </c>
      <c r="F41" t="s">
        <v>1615</v>
      </c>
      <c r="G41" t="s">
        <v>109</v>
      </c>
      <c r="H41" t="s">
        <v>386</v>
      </c>
      <c r="I41" t="s">
        <v>109</v>
      </c>
    </row>
    <row r="42">
      <c r="A42" t="s">
        <v>330</v>
      </c>
      <c r="B42" t="s">
        <v>440</v>
      </c>
      <c r="C42" t="s">
        <v>415</v>
      </c>
      <c r="D42" t="s">
        <v>2229</v>
      </c>
      <c r="E42" t="s">
        <v>396</v>
      </c>
      <c r="F42" t="s">
        <v>465</v>
      </c>
      <c r="G42" t="s">
        <v>109</v>
      </c>
      <c r="H42" t="s">
        <v>386</v>
      </c>
      <c r="I42" t="s">
        <v>109</v>
      </c>
    </row>
    <row r="43">
      <c r="A43" t="s">
        <v>340</v>
      </c>
      <c r="B43" t="s">
        <v>440</v>
      </c>
      <c r="C43" t="s">
        <v>319</v>
      </c>
      <c r="D43" t="s">
        <v>2230</v>
      </c>
      <c r="E43" t="s">
        <v>384</v>
      </c>
      <c r="F43" t="s">
        <v>122</v>
      </c>
      <c r="G43" t="s">
        <v>109</v>
      </c>
      <c r="H43" t="s">
        <v>453</v>
      </c>
      <c r="I43" t="s">
        <v>109</v>
      </c>
    </row>
    <row r="44">
      <c r="A44" t="s">
        <v>340</v>
      </c>
      <c r="B44" t="s">
        <v>440</v>
      </c>
      <c r="C44" t="s">
        <v>387</v>
      </c>
      <c r="D44" t="s">
        <v>2231</v>
      </c>
      <c r="E44" t="s">
        <v>389</v>
      </c>
      <c r="F44" t="s">
        <v>471</v>
      </c>
      <c r="G44" t="s">
        <v>109</v>
      </c>
      <c r="H44" t="s">
        <v>386</v>
      </c>
      <c r="I44" t="s">
        <v>109</v>
      </c>
    </row>
    <row r="45">
      <c r="A45" t="s">
        <v>340</v>
      </c>
      <c r="B45" t="s">
        <v>440</v>
      </c>
      <c r="C45" t="s">
        <v>391</v>
      </c>
      <c r="D45" t="s">
        <v>2232</v>
      </c>
      <c r="E45" t="s">
        <v>389</v>
      </c>
      <c r="F45" t="s">
        <v>1766</v>
      </c>
      <c r="G45" t="s">
        <v>109</v>
      </c>
      <c r="H45" t="s">
        <v>386</v>
      </c>
      <c r="I45" t="s">
        <v>109</v>
      </c>
    </row>
    <row r="46">
      <c r="A46" t="s">
        <v>340</v>
      </c>
      <c r="B46" t="s">
        <v>440</v>
      </c>
      <c r="C46" t="s">
        <v>394</v>
      </c>
      <c r="D46" t="s">
        <v>2233</v>
      </c>
      <c r="E46" t="s">
        <v>396</v>
      </c>
      <c r="F46" t="s">
        <v>456</v>
      </c>
      <c r="G46" t="s">
        <v>109</v>
      </c>
      <c r="H46" t="s">
        <v>386</v>
      </c>
      <c r="I46" t="s">
        <v>109</v>
      </c>
    </row>
    <row r="47">
      <c r="A47" t="s">
        <v>340</v>
      </c>
      <c r="B47" t="s">
        <v>440</v>
      </c>
      <c r="C47" t="s">
        <v>398</v>
      </c>
      <c r="D47" t="s">
        <v>2234</v>
      </c>
      <c r="E47" t="s">
        <v>396</v>
      </c>
      <c r="F47" t="s">
        <v>1623</v>
      </c>
      <c r="G47" t="s">
        <v>109</v>
      </c>
      <c r="H47" t="s">
        <v>386</v>
      </c>
      <c r="I47" t="s">
        <v>109</v>
      </c>
    </row>
    <row r="48">
      <c r="A48" t="s">
        <v>340</v>
      </c>
      <c r="B48" t="s">
        <v>440</v>
      </c>
      <c r="C48" t="s">
        <v>401</v>
      </c>
      <c r="D48" t="s">
        <v>2235</v>
      </c>
      <c r="E48" t="s">
        <v>396</v>
      </c>
      <c r="F48" t="s">
        <v>494</v>
      </c>
      <c r="G48" t="s">
        <v>109</v>
      </c>
      <c r="H48" t="s">
        <v>386</v>
      </c>
      <c r="I48" t="s">
        <v>109</v>
      </c>
    </row>
    <row r="49">
      <c r="A49" t="s">
        <v>340</v>
      </c>
      <c r="B49" t="s">
        <v>440</v>
      </c>
      <c r="C49" t="s">
        <v>404</v>
      </c>
      <c r="D49" t="s">
        <v>2236</v>
      </c>
      <c r="E49" t="s">
        <v>396</v>
      </c>
      <c r="F49" t="s">
        <v>423</v>
      </c>
      <c r="G49" t="s">
        <v>109</v>
      </c>
      <c r="H49" t="s">
        <v>386</v>
      </c>
      <c r="I49" t="s">
        <v>109</v>
      </c>
    </row>
    <row r="50">
      <c r="A50" t="s">
        <v>340</v>
      </c>
      <c r="B50" t="s">
        <v>440</v>
      </c>
      <c r="C50" t="s">
        <v>407</v>
      </c>
      <c r="D50" t="s">
        <v>2237</v>
      </c>
      <c r="E50" t="s">
        <v>396</v>
      </c>
      <c r="F50" t="s">
        <v>1830</v>
      </c>
      <c r="G50" t="s">
        <v>109</v>
      </c>
      <c r="H50" t="s">
        <v>386</v>
      </c>
      <c r="I50" t="s">
        <v>109</v>
      </c>
    </row>
    <row r="51">
      <c r="A51" t="s">
        <v>340</v>
      </c>
      <c r="B51" t="s">
        <v>440</v>
      </c>
      <c r="C51" t="s">
        <v>409</v>
      </c>
      <c r="D51" t="s">
        <v>2238</v>
      </c>
      <c r="E51" t="s">
        <v>396</v>
      </c>
      <c r="F51" t="s">
        <v>1648</v>
      </c>
      <c r="G51" t="s">
        <v>109</v>
      </c>
      <c r="H51" t="s">
        <v>386</v>
      </c>
      <c r="I51" t="s">
        <v>109</v>
      </c>
    </row>
    <row r="52">
      <c r="A52" t="s">
        <v>340</v>
      </c>
      <c r="B52" t="s">
        <v>440</v>
      </c>
      <c r="C52" t="s">
        <v>412</v>
      </c>
      <c r="D52" t="s">
        <v>2239</v>
      </c>
      <c r="E52" t="s">
        <v>396</v>
      </c>
      <c r="F52" t="s">
        <v>431</v>
      </c>
      <c r="G52" t="s">
        <v>109</v>
      </c>
      <c r="H52" t="s">
        <v>386</v>
      </c>
      <c r="I52" t="s">
        <v>109</v>
      </c>
    </row>
    <row r="53">
      <c r="A53" t="s">
        <v>340</v>
      </c>
      <c r="B53" t="s">
        <v>440</v>
      </c>
      <c r="C53" t="s">
        <v>415</v>
      </c>
      <c r="D53" t="s">
        <v>2240</v>
      </c>
      <c r="E53" t="s">
        <v>396</v>
      </c>
      <c r="F53" t="s">
        <v>1513</v>
      </c>
      <c r="G53" t="s">
        <v>109</v>
      </c>
      <c r="H53" t="s">
        <v>386</v>
      </c>
      <c r="I53" t="s">
        <v>109</v>
      </c>
    </row>
    <row r="54">
      <c r="A54" t="s">
        <v>350</v>
      </c>
      <c r="B54" t="s">
        <v>440</v>
      </c>
      <c r="C54" t="s">
        <v>319</v>
      </c>
      <c r="D54" t="s">
        <v>2241</v>
      </c>
      <c r="E54" t="s">
        <v>384</v>
      </c>
      <c r="F54" t="s">
        <v>386</v>
      </c>
      <c r="G54" t="s">
        <v>109</v>
      </c>
      <c r="H54" t="s">
        <v>386</v>
      </c>
      <c r="I54" t="s">
        <v>109</v>
      </c>
    </row>
    <row r="55">
      <c r="A55" t="s">
        <v>350</v>
      </c>
      <c r="B55" t="s">
        <v>440</v>
      </c>
      <c r="C55" t="s">
        <v>387</v>
      </c>
      <c r="D55" t="s">
        <v>2242</v>
      </c>
      <c r="E55" t="s">
        <v>389</v>
      </c>
      <c r="F55" t="s">
        <v>374</v>
      </c>
      <c r="G55" t="s">
        <v>109</v>
      </c>
      <c r="H55" t="s">
        <v>386</v>
      </c>
      <c r="I55" t="s">
        <v>109</v>
      </c>
    </row>
    <row r="56">
      <c r="A56" t="s">
        <v>350</v>
      </c>
      <c r="B56" t="s">
        <v>440</v>
      </c>
      <c r="C56" t="s">
        <v>391</v>
      </c>
      <c r="D56" t="s">
        <v>2243</v>
      </c>
      <c r="E56" t="s">
        <v>518</v>
      </c>
      <c r="F56" t="s">
        <v>1513</v>
      </c>
      <c r="G56" t="s">
        <v>109</v>
      </c>
      <c r="H56" t="s">
        <v>386</v>
      </c>
      <c r="I56" t="s">
        <v>109</v>
      </c>
    </row>
    <row r="57">
      <c r="A57" t="s">
        <v>350</v>
      </c>
      <c r="B57" t="s">
        <v>440</v>
      </c>
      <c r="C57" t="s">
        <v>394</v>
      </c>
      <c r="D57" t="s">
        <v>2244</v>
      </c>
      <c r="E57" t="s">
        <v>396</v>
      </c>
      <c r="F57" t="s">
        <v>438</v>
      </c>
      <c r="G57" t="s">
        <v>109</v>
      </c>
      <c r="H57" t="s">
        <v>386</v>
      </c>
      <c r="I57" t="s">
        <v>109</v>
      </c>
    </row>
    <row r="58">
      <c r="A58" t="s">
        <v>350</v>
      </c>
      <c r="B58" t="s">
        <v>440</v>
      </c>
      <c r="C58" t="s">
        <v>398</v>
      </c>
      <c r="D58" t="s">
        <v>2245</v>
      </c>
      <c r="E58" t="s">
        <v>396</v>
      </c>
      <c r="F58" t="s">
        <v>1804</v>
      </c>
      <c r="G58" t="s">
        <v>109</v>
      </c>
      <c r="H58" t="s">
        <v>386</v>
      </c>
      <c r="I58" t="s">
        <v>109</v>
      </c>
    </row>
    <row r="59">
      <c r="A59" t="s">
        <v>350</v>
      </c>
      <c r="B59" t="s">
        <v>440</v>
      </c>
      <c r="C59" t="s">
        <v>401</v>
      </c>
      <c r="D59" t="s">
        <v>2246</v>
      </c>
      <c r="E59" t="s">
        <v>396</v>
      </c>
      <c r="F59" t="s">
        <v>1671</v>
      </c>
      <c r="G59" t="s">
        <v>109</v>
      </c>
      <c r="H59" t="s">
        <v>386</v>
      </c>
      <c r="I59" t="s">
        <v>109</v>
      </c>
    </row>
    <row r="60">
      <c r="A60" t="s">
        <v>350</v>
      </c>
      <c r="B60" t="s">
        <v>440</v>
      </c>
      <c r="C60" t="s">
        <v>404</v>
      </c>
      <c r="D60" t="s">
        <v>2247</v>
      </c>
      <c r="E60" t="s">
        <v>396</v>
      </c>
      <c r="F60" t="s">
        <v>456</v>
      </c>
      <c r="G60" t="s">
        <v>109</v>
      </c>
      <c r="H60" t="s">
        <v>386</v>
      </c>
      <c r="I60" t="s">
        <v>109</v>
      </c>
    </row>
    <row r="61">
      <c r="A61" t="s">
        <v>350</v>
      </c>
      <c r="B61" t="s">
        <v>440</v>
      </c>
      <c r="C61" t="s">
        <v>407</v>
      </c>
      <c r="D61" t="s">
        <v>553</v>
      </c>
      <c r="E61" t="s">
        <v>396</v>
      </c>
      <c r="F61" t="s">
        <v>1843</v>
      </c>
      <c r="G61" t="s">
        <v>109</v>
      </c>
      <c r="H61" t="s">
        <v>386</v>
      </c>
      <c r="I61" t="s">
        <v>109</v>
      </c>
    </row>
    <row r="62">
      <c r="A62" t="s">
        <v>350</v>
      </c>
      <c r="B62" t="s">
        <v>440</v>
      </c>
      <c r="C62" t="s">
        <v>409</v>
      </c>
      <c r="D62" t="s">
        <v>554</v>
      </c>
      <c r="E62" t="s">
        <v>527</v>
      </c>
      <c r="F62" t="s">
        <v>109</v>
      </c>
      <c r="G62" t="s">
        <v>109</v>
      </c>
      <c r="H62" t="s">
        <v>109</v>
      </c>
      <c r="I62" t="s">
        <v>528</v>
      </c>
    </row>
    <row r="63">
      <c r="A63" t="s">
        <v>350</v>
      </c>
      <c r="B63" t="s">
        <v>440</v>
      </c>
      <c r="C63" t="s">
        <v>412</v>
      </c>
      <c r="D63" t="s">
        <v>554</v>
      </c>
      <c r="E63" t="s">
        <v>527</v>
      </c>
      <c r="F63" t="s">
        <v>109</v>
      </c>
      <c r="G63" t="s">
        <v>109</v>
      </c>
      <c r="H63" t="s">
        <v>109</v>
      </c>
      <c r="I63" t="s">
        <v>529</v>
      </c>
    </row>
    <row r="64">
      <c r="A64" t="s">
        <v>350</v>
      </c>
      <c r="B64" t="s">
        <v>440</v>
      </c>
      <c r="C64" t="s">
        <v>415</v>
      </c>
      <c r="D64" t="s">
        <v>554</v>
      </c>
      <c r="E64" t="s">
        <v>527</v>
      </c>
      <c r="F64" t="s">
        <v>109</v>
      </c>
      <c r="G64" t="s">
        <v>109</v>
      </c>
      <c r="H64" t="s">
        <v>109</v>
      </c>
      <c r="I64" t="s">
        <v>530</v>
      </c>
    </row>
    <row r="66">
      <c r="A66" s="1" t="s">
        <v>555</v>
      </c>
    </row>
    <row r="67">
      <c r="A67" t="s">
        <v>312</v>
      </c>
      <c r="B67" t="s">
        <v>556</v>
      </c>
      <c r="C67" t="s">
        <v>313</v>
      </c>
      <c r="D67" t="s">
        <v>314</v>
      </c>
      <c r="E67" t="s">
        <v>557</v>
      </c>
      <c r="F67" t="s">
        <v>558</v>
      </c>
      <c r="G67" t="s">
        <v>559</v>
      </c>
      <c r="H67" t="s">
        <v>560</v>
      </c>
      <c r="I67" t="s">
        <v>42</v>
      </c>
      <c r="J67" t="s">
        <v>561</v>
      </c>
      <c r="K67" t="s">
        <v>41</v>
      </c>
      <c r="L67" t="s">
        <v>562</v>
      </c>
      <c r="M67" t="s">
        <v>1</v>
      </c>
    </row>
    <row r="68">
      <c r="A68" t="s">
        <v>30</v>
      </c>
      <c r="B68" t="s">
        <v>394</v>
      </c>
      <c r="C68" t="n">
        <v>187</v>
      </c>
      <c r="D68" t="n">
        <v>119</v>
      </c>
      <c r="E68" s="38" t="n">
        <v>13.903743315508</v>
      </c>
      <c r="F68" s="38" t="n">
        <v>77.0053475935829</v>
      </c>
      <c r="G68" t="n">
        <v>118</v>
      </c>
      <c r="H68" t="n">
        <v>0</v>
      </c>
      <c r="I68" t="s">
        <v>563</v>
      </c>
      <c r="J68" s="36" t="n">
        <v>79.1136363636364</v>
      </c>
      <c r="K68" t="s">
        <v>50</v>
      </c>
      <c r="L68" t="s">
        <v>50</v>
      </c>
      <c r="M68" t="s">
        <v>109</v>
      </c>
    </row>
    <row r="69">
      <c r="A69" t="s">
        <v>30</v>
      </c>
      <c r="B69" t="s">
        <v>398</v>
      </c>
      <c r="C69" t="n">
        <v>187</v>
      </c>
      <c r="D69" t="n">
        <v>119</v>
      </c>
      <c r="E69" s="38" t="n">
        <v>38.5026737967914</v>
      </c>
      <c r="F69" s="38" t="n">
        <v>94.6524064171123</v>
      </c>
      <c r="G69" t="n">
        <v>105</v>
      </c>
      <c r="H69" t="n">
        <v>0</v>
      </c>
      <c r="I69" t="s">
        <v>563</v>
      </c>
      <c r="J69" s="36" t="n">
        <v>69.3396226415094</v>
      </c>
      <c r="K69" t="s">
        <v>50</v>
      </c>
      <c r="L69" t="s">
        <v>50</v>
      </c>
      <c r="M69" t="s">
        <v>109</v>
      </c>
    </row>
    <row r="70">
      <c r="A70" t="s">
        <v>30</v>
      </c>
      <c r="B70" t="s">
        <v>401</v>
      </c>
      <c r="C70" t="n">
        <v>187</v>
      </c>
      <c r="D70" t="n">
        <v>119</v>
      </c>
      <c r="E70" s="38" t="n">
        <v>59.8930481283422</v>
      </c>
      <c r="F70" s="38" t="n">
        <v>98.3957219251337</v>
      </c>
      <c r="G70" t="n">
        <v>72</v>
      </c>
      <c r="H70" t="n">
        <v>0</v>
      </c>
      <c r="I70" t="s">
        <v>563</v>
      </c>
      <c r="J70" s="36" t="n">
        <v>48.9056603773585</v>
      </c>
      <c r="K70" t="s">
        <v>50</v>
      </c>
      <c r="L70" t="s">
        <v>50</v>
      </c>
      <c r="M70" t="s">
        <v>109</v>
      </c>
    </row>
    <row r="71">
      <c r="A71" t="s">
        <v>30</v>
      </c>
      <c r="B71" t="s">
        <v>404</v>
      </c>
      <c r="C71" t="n">
        <v>187</v>
      </c>
      <c r="D71" t="n">
        <v>119</v>
      </c>
      <c r="E71" s="38" t="n">
        <v>72.192513368984</v>
      </c>
      <c r="F71" s="38" t="n">
        <v>99.4652406417112</v>
      </c>
      <c r="G71" t="n">
        <v>51</v>
      </c>
      <c r="H71" t="n">
        <v>0</v>
      </c>
      <c r="I71" t="s">
        <v>563</v>
      </c>
      <c r="J71" s="36" t="n">
        <v>36.6338028169014</v>
      </c>
      <c r="K71" t="s">
        <v>50</v>
      </c>
      <c r="L71" t="s">
        <v>50</v>
      </c>
      <c r="M71" t="s">
        <v>109</v>
      </c>
    </row>
    <row r="72">
      <c r="A72" t="s">
        <v>30</v>
      </c>
      <c r="B72" t="s">
        <v>407</v>
      </c>
      <c r="C72" t="n">
        <v>187</v>
      </c>
      <c r="D72" t="n">
        <v>119</v>
      </c>
      <c r="E72" s="38" t="n">
        <v>81.283422459893</v>
      </c>
      <c r="F72" s="38" t="n">
        <v>99.4652406417112</v>
      </c>
      <c r="G72" t="n">
        <v>34</v>
      </c>
      <c r="H72" t="n">
        <v>0</v>
      </c>
      <c r="I72" t="s">
        <v>563</v>
      </c>
      <c r="J72" s="36" t="n">
        <v>25.1304347826087</v>
      </c>
      <c r="K72" t="s">
        <v>50</v>
      </c>
      <c r="L72" t="s">
        <v>50</v>
      </c>
      <c r="M72" t="s">
        <v>109</v>
      </c>
    </row>
    <row r="73">
      <c r="A73" t="s">
        <v>30</v>
      </c>
      <c r="B73" t="s">
        <v>409</v>
      </c>
      <c r="C73" t="n">
        <v>187</v>
      </c>
      <c r="D73" t="n">
        <v>119</v>
      </c>
      <c r="E73" s="38" t="n">
        <v>87.7005347593583</v>
      </c>
      <c r="F73" s="38" t="n">
        <v>100</v>
      </c>
      <c r="G73" t="n">
        <v>23</v>
      </c>
      <c r="H73" t="n">
        <v>0</v>
      </c>
      <c r="I73" t="s">
        <v>564</v>
      </c>
      <c r="J73" s="36"/>
      <c r="K73" t="s">
        <v>50</v>
      </c>
      <c r="L73" t="s">
        <v>50</v>
      </c>
      <c r="M73" t="s">
        <v>109</v>
      </c>
    </row>
    <row r="74">
      <c r="A74" t="s">
        <v>30</v>
      </c>
      <c r="B74" t="s">
        <v>412</v>
      </c>
      <c r="C74" t="n">
        <v>187</v>
      </c>
      <c r="D74" t="n">
        <v>119</v>
      </c>
      <c r="E74" s="38" t="n">
        <v>92.5133689839572</v>
      </c>
      <c r="F74" s="38" t="n">
        <v>100</v>
      </c>
      <c r="G74" t="n">
        <v>14</v>
      </c>
      <c r="H74" t="n">
        <v>0</v>
      </c>
      <c r="I74" t="s">
        <v>564</v>
      </c>
      <c r="J74" s="36"/>
      <c r="K74" t="s">
        <v>50</v>
      </c>
      <c r="L74" t="s">
        <v>50</v>
      </c>
      <c r="M74" t="s">
        <v>109</v>
      </c>
    </row>
    <row r="75">
      <c r="A75" t="s">
        <v>30</v>
      </c>
      <c r="B75" t="s">
        <v>415</v>
      </c>
      <c r="C75" t="n">
        <v>187</v>
      </c>
      <c r="D75" t="n">
        <v>119</v>
      </c>
      <c r="E75" s="38" t="n">
        <v>95.1871657754011</v>
      </c>
      <c r="F75" s="38" t="n">
        <v>100</v>
      </c>
      <c r="G75" t="n">
        <v>9</v>
      </c>
      <c r="H75" t="n">
        <v>0</v>
      </c>
      <c r="I75" t="s">
        <v>564</v>
      </c>
      <c r="J75" s="36"/>
      <c r="K75" t="s">
        <v>372</v>
      </c>
      <c r="L75" t="s">
        <v>372</v>
      </c>
      <c r="M75" t="s">
        <v>109</v>
      </c>
    </row>
    <row r="76">
      <c r="A76" t="s">
        <v>32</v>
      </c>
      <c r="B76" t="s">
        <v>394</v>
      </c>
      <c r="C76" t="n">
        <v>129</v>
      </c>
      <c r="D76" t="n">
        <v>77</v>
      </c>
      <c r="E76" s="38" t="n">
        <v>19.3798449612403</v>
      </c>
      <c r="F76" s="38" t="n">
        <v>82.9457364341085</v>
      </c>
      <c r="G76" t="n">
        <v>84</v>
      </c>
      <c r="H76" t="n">
        <v>2</v>
      </c>
      <c r="I76" t="s">
        <v>563</v>
      </c>
      <c r="J76" s="36" t="n">
        <v>49.4411764705882</v>
      </c>
      <c r="K76" t="s">
        <v>50</v>
      </c>
      <c r="L76" t="s">
        <v>50</v>
      </c>
      <c r="M76" t="s">
        <v>109</v>
      </c>
    </row>
    <row r="77">
      <c r="A77" t="s">
        <v>32</v>
      </c>
      <c r="B77" t="s">
        <v>398</v>
      </c>
      <c r="C77" t="n">
        <v>129</v>
      </c>
      <c r="D77" t="n">
        <v>77</v>
      </c>
      <c r="E77" s="38" t="n">
        <v>44.1860465116279</v>
      </c>
      <c r="F77" s="38" t="n">
        <v>94.5736434108527</v>
      </c>
      <c r="G77" t="n">
        <v>65</v>
      </c>
      <c r="H77" t="n">
        <v>0</v>
      </c>
      <c r="I77" t="s">
        <v>563</v>
      </c>
      <c r="J77" s="36" t="n">
        <v>41.0194174757282</v>
      </c>
      <c r="K77" t="s">
        <v>50</v>
      </c>
      <c r="L77" t="s">
        <v>50</v>
      </c>
      <c r="M77" t="s">
        <v>109</v>
      </c>
    </row>
    <row r="78">
      <c r="A78" t="s">
        <v>32</v>
      </c>
      <c r="B78" t="s">
        <v>401</v>
      </c>
      <c r="C78" t="n">
        <v>129</v>
      </c>
      <c r="D78" t="n">
        <v>77</v>
      </c>
      <c r="E78" s="38" t="n">
        <v>61.2403100775194</v>
      </c>
      <c r="F78" s="38" t="n">
        <v>97.6744186046512</v>
      </c>
      <c r="G78" t="n">
        <v>47</v>
      </c>
      <c r="H78" t="n">
        <v>0</v>
      </c>
      <c r="I78" t="s">
        <v>563</v>
      </c>
      <c r="J78" s="36" t="n">
        <v>30.2602739726027</v>
      </c>
      <c r="K78" t="s">
        <v>50</v>
      </c>
      <c r="L78" t="s">
        <v>50</v>
      </c>
      <c r="M78" t="s">
        <v>109</v>
      </c>
    </row>
    <row r="79">
      <c r="A79" t="s">
        <v>32</v>
      </c>
      <c r="B79" t="s">
        <v>404</v>
      </c>
      <c r="C79" t="n">
        <v>129</v>
      </c>
      <c r="D79" t="n">
        <v>77</v>
      </c>
      <c r="E79" s="38" t="n">
        <v>72.0930232558139</v>
      </c>
      <c r="F79" s="38" t="n">
        <v>98.4496124031008</v>
      </c>
      <c r="G79" t="n">
        <v>34</v>
      </c>
      <c r="H79" t="n">
        <v>0</v>
      </c>
      <c r="I79" t="s">
        <v>563</v>
      </c>
      <c r="J79" s="36" t="n">
        <v>22.2307692307692</v>
      </c>
      <c r="K79" t="s">
        <v>50</v>
      </c>
      <c r="L79" t="s">
        <v>50</v>
      </c>
      <c r="M79" t="s">
        <v>109</v>
      </c>
    </row>
    <row r="80">
      <c r="A80" t="s">
        <v>32</v>
      </c>
      <c r="B80" t="s">
        <v>407</v>
      </c>
      <c r="C80" t="n">
        <v>129</v>
      </c>
      <c r="D80" t="n">
        <v>77</v>
      </c>
      <c r="E80" s="38" t="n">
        <v>82.1705426356589</v>
      </c>
      <c r="F80" s="38" t="n">
        <v>99.2248062015504</v>
      </c>
      <c r="G80" t="n">
        <v>22</v>
      </c>
      <c r="H80" t="n">
        <v>0</v>
      </c>
      <c r="I80" t="s">
        <v>564</v>
      </c>
      <c r="J80" s="36"/>
      <c r="K80" t="s">
        <v>50</v>
      </c>
      <c r="L80" t="s">
        <v>50</v>
      </c>
      <c r="M80" t="s">
        <v>109</v>
      </c>
    </row>
    <row r="81">
      <c r="A81" t="s">
        <v>32</v>
      </c>
      <c r="B81" t="s">
        <v>409</v>
      </c>
      <c r="C81" t="n">
        <v>129</v>
      </c>
      <c r="D81" t="n">
        <v>77</v>
      </c>
      <c r="E81" s="38" t="n">
        <v>86.8217054263566</v>
      </c>
      <c r="F81" s="38" t="n">
        <v>100</v>
      </c>
      <c r="G81" t="n">
        <v>17</v>
      </c>
      <c r="H81" t="n">
        <v>0</v>
      </c>
      <c r="I81" t="s">
        <v>564</v>
      </c>
      <c r="J81" s="36"/>
      <c r="K81" t="s">
        <v>50</v>
      </c>
      <c r="L81" t="s">
        <v>50</v>
      </c>
      <c r="M81" t="s">
        <v>109</v>
      </c>
    </row>
    <row r="82">
      <c r="A82" t="s">
        <v>32</v>
      </c>
      <c r="B82" t="s">
        <v>412</v>
      </c>
      <c r="C82" t="n">
        <v>129</v>
      </c>
      <c r="D82" t="n">
        <v>77</v>
      </c>
      <c r="E82" s="38" t="n">
        <v>90.6976744186046</v>
      </c>
      <c r="F82" s="38" t="n">
        <v>100</v>
      </c>
      <c r="G82" t="n">
        <v>12</v>
      </c>
      <c r="H82" t="n">
        <v>0</v>
      </c>
      <c r="I82" t="s">
        <v>564</v>
      </c>
      <c r="J82" s="36"/>
      <c r="K82" t="s">
        <v>568</v>
      </c>
      <c r="L82" t="s">
        <v>371</v>
      </c>
      <c r="M82" t="s">
        <v>109</v>
      </c>
    </row>
    <row r="83">
      <c r="A83" t="s">
        <v>32</v>
      </c>
      <c r="B83" t="s">
        <v>415</v>
      </c>
      <c r="C83" t="n">
        <v>129</v>
      </c>
      <c r="D83" t="n">
        <v>77</v>
      </c>
      <c r="E83" s="38" t="n">
        <v>94.5736434108527</v>
      </c>
      <c r="F83" s="38" t="n">
        <v>100</v>
      </c>
      <c r="G83" t="n">
        <v>7</v>
      </c>
      <c r="H83" t="n">
        <v>0</v>
      </c>
      <c r="I83" t="s">
        <v>564</v>
      </c>
      <c r="J83" s="36"/>
      <c r="K83" t="s">
        <v>481</v>
      </c>
      <c r="L83" t="s">
        <v>481</v>
      </c>
      <c r="M83" t="s">
        <v>109</v>
      </c>
    </row>
    <row r="85">
      <c r="A85" s="1" t="s">
        <v>569</v>
      </c>
    </row>
    <row r="86">
      <c r="A86" t="s">
        <v>311</v>
      </c>
      <c r="B86" t="s">
        <v>312</v>
      </c>
      <c r="C86" t="s">
        <v>302</v>
      </c>
      <c r="D86" t="s">
        <v>313</v>
      </c>
      <c r="E86" t="s">
        <v>315</v>
      </c>
      <c r="F86" t="s">
        <v>316</v>
      </c>
      <c r="G86" t="s">
        <v>319</v>
      </c>
    </row>
    <row r="87">
      <c r="A87" t="s">
        <v>330</v>
      </c>
      <c r="B87" t="s">
        <v>30</v>
      </c>
      <c r="C87" t="s">
        <v>307</v>
      </c>
      <c r="D87" t="n">
        <v>102</v>
      </c>
      <c r="E87" s="36" t="n">
        <v>-0.421207056680186</v>
      </c>
      <c r="F87" s="36" t="n">
        <v>-0.00270882926383159</v>
      </c>
      <c r="G87" t="s">
        <v>1965</v>
      </c>
    </row>
    <row r="88">
      <c r="A88" t="s">
        <v>330</v>
      </c>
      <c r="B88" t="s">
        <v>30</v>
      </c>
      <c r="C88" t="s">
        <v>308</v>
      </c>
      <c r="D88" t="n">
        <v>106</v>
      </c>
      <c r="E88" s="36" t="n">
        <v>-0.451706837773886</v>
      </c>
      <c r="F88" s="36" t="n">
        <v>0.00629593430919226</v>
      </c>
      <c r="G88" t="s">
        <v>331</v>
      </c>
    </row>
    <row r="89">
      <c r="A89" t="s">
        <v>330</v>
      </c>
      <c r="B89" t="s">
        <v>32</v>
      </c>
      <c r="C89" t="s">
        <v>307</v>
      </c>
      <c r="D89" t="n">
        <v>72</v>
      </c>
      <c r="E89" s="36" t="n">
        <v>-0.425009493609107</v>
      </c>
      <c r="F89" s="36" t="n">
        <v>0.0344287954735213</v>
      </c>
      <c r="G89" t="s">
        <v>2248</v>
      </c>
    </row>
    <row r="90">
      <c r="A90" t="s">
        <v>330</v>
      </c>
      <c r="B90" t="s">
        <v>32</v>
      </c>
      <c r="C90" t="s">
        <v>308</v>
      </c>
      <c r="D90" t="n">
        <v>65</v>
      </c>
      <c r="E90" s="36" t="n">
        <v>-0.239906756271987</v>
      </c>
      <c r="F90" s="36" t="n">
        <v>-0.0626588044701293</v>
      </c>
      <c r="G90" t="s">
        <v>2249</v>
      </c>
    </row>
    <row r="91">
      <c r="A91" t="s">
        <v>340</v>
      </c>
      <c r="B91" t="s">
        <v>30</v>
      </c>
      <c r="C91" t="s">
        <v>307</v>
      </c>
      <c r="D91" t="n">
        <v>92</v>
      </c>
      <c r="E91" s="36" t="n">
        <v>0.414650176396052</v>
      </c>
      <c r="F91" s="36" t="n">
        <v>0.035130971894106</v>
      </c>
      <c r="G91" t="s">
        <v>2250</v>
      </c>
    </row>
    <row r="92">
      <c r="A92" t="s">
        <v>340</v>
      </c>
      <c r="B92" t="s">
        <v>30</v>
      </c>
      <c r="C92" t="s">
        <v>308</v>
      </c>
      <c r="D92" t="n">
        <v>95</v>
      </c>
      <c r="E92" s="36" t="n">
        <v>0.43579732521066</v>
      </c>
      <c r="F92" s="36" t="n">
        <v>-0.0347529591164513</v>
      </c>
      <c r="G92" t="s">
        <v>2251</v>
      </c>
    </row>
    <row r="93">
      <c r="A93" t="s">
        <v>340</v>
      </c>
      <c r="B93" t="s">
        <v>32</v>
      </c>
      <c r="C93" t="s">
        <v>307</v>
      </c>
      <c r="D93" t="n">
        <v>68</v>
      </c>
      <c r="E93" s="36" t="n">
        <v>0.373719991879698</v>
      </c>
      <c r="F93" s="36" t="n">
        <v>0.027261104209213</v>
      </c>
      <c r="G93" t="s">
        <v>2252</v>
      </c>
    </row>
    <row r="94">
      <c r="A94" t="s">
        <v>340</v>
      </c>
      <c r="B94" t="s">
        <v>32</v>
      </c>
      <c r="C94" t="s">
        <v>308</v>
      </c>
      <c r="D94" t="n">
        <v>61</v>
      </c>
      <c r="E94" s="36" t="n">
        <v>0.205375345520835</v>
      </c>
      <c r="F94" s="36" t="n">
        <v>-0.0161436264558963</v>
      </c>
      <c r="G94" t="s">
        <v>2253</v>
      </c>
    </row>
    <row r="95">
      <c r="A95" t="s">
        <v>350</v>
      </c>
      <c r="B95" t="s">
        <v>30</v>
      </c>
      <c r="C95" t="s">
        <v>307</v>
      </c>
      <c r="D95" t="n">
        <v>92</v>
      </c>
      <c r="E95" s="36" t="n">
        <v>-0.0371054560869063</v>
      </c>
      <c r="F95" s="36" t="n">
        <v>0.0193098889804628</v>
      </c>
      <c r="G95" t="s">
        <v>2254</v>
      </c>
    </row>
    <row r="96">
      <c r="A96" t="s">
        <v>350</v>
      </c>
      <c r="B96" t="s">
        <v>30</v>
      </c>
      <c r="C96" t="s">
        <v>308</v>
      </c>
      <c r="D96" t="n">
        <v>95</v>
      </c>
      <c r="E96" s="36" t="n">
        <v>-0.0447861365010408</v>
      </c>
      <c r="F96" s="36" t="n">
        <v>-0.0229258437673273</v>
      </c>
      <c r="G96" t="s">
        <v>2255</v>
      </c>
    </row>
    <row r="97">
      <c r="A97" t="s">
        <v>350</v>
      </c>
      <c r="B97" t="s">
        <v>32</v>
      </c>
      <c r="C97" t="s">
        <v>307</v>
      </c>
      <c r="D97" t="n">
        <v>68</v>
      </c>
      <c r="E97" s="36" t="n">
        <v>-0.0481787938780635</v>
      </c>
      <c r="F97" s="36" t="n">
        <v>0.011497822299696</v>
      </c>
      <c r="G97" t="s">
        <v>2256</v>
      </c>
    </row>
    <row r="98">
      <c r="A98" t="s">
        <v>350</v>
      </c>
      <c r="B98" t="s">
        <v>32</v>
      </c>
      <c r="C98" t="s">
        <v>308</v>
      </c>
      <c r="D98" t="n">
        <v>61</v>
      </c>
      <c r="E98" s="36" t="n">
        <v>-0.0433777908610248</v>
      </c>
      <c r="F98" s="36" t="n">
        <v>-0.0143422231492494</v>
      </c>
      <c r="G98" t="s">
        <v>2257</v>
      </c>
    </row>
    <row r="100">
      <c r="A100" s="1" t="s">
        <v>587</v>
      </c>
    </row>
    <row r="101">
      <c r="A101" t="s">
        <v>311</v>
      </c>
      <c r="B101" t="s">
        <v>312</v>
      </c>
      <c r="C101" t="s">
        <v>588</v>
      </c>
      <c r="D101" t="s">
        <v>589</v>
      </c>
      <c r="E101" t="s">
        <v>590</v>
      </c>
      <c r="F101" t="s">
        <v>591</v>
      </c>
    </row>
    <row r="102">
      <c r="A102" t="s">
        <v>330</v>
      </c>
      <c r="B102" t="s">
        <v>30</v>
      </c>
      <c r="C102" t="s">
        <v>592</v>
      </c>
      <c r="D102" t="n">
        <v>1</v>
      </c>
      <c r="E102" s="36" t="n">
        <v>1.74893394728342</v>
      </c>
      <c r="F102" s="36" t="n">
        <v>0.0610741192293767</v>
      </c>
    </row>
    <row r="103">
      <c r="A103" t="s">
        <v>330</v>
      </c>
      <c r="B103" t="s">
        <v>30</v>
      </c>
      <c r="C103" t="s">
        <v>592</v>
      </c>
      <c r="D103" t="n">
        <v>2</v>
      </c>
      <c r="E103" s="36" t="n">
        <v>1.37901881881176</v>
      </c>
      <c r="F103" s="36" t="n">
        <v>-1.0774075818199</v>
      </c>
    </row>
    <row r="104">
      <c r="A104" t="s">
        <v>330</v>
      </c>
      <c r="B104" t="s">
        <v>30</v>
      </c>
      <c r="C104" t="s">
        <v>592</v>
      </c>
      <c r="D104" t="n">
        <v>3</v>
      </c>
      <c r="E104" s="36" t="n">
        <v>0.6101049646137</v>
      </c>
      <c r="F104" s="36" t="n">
        <v>-1.3703181864639</v>
      </c>
    </row>
    <row r="105">
      <c r="A105" t="s">
        <v>330</v>
      </c>
      <c r="B105" t="s">
        <v>30</v>
      </c>
      <c r="C105" t="s">
        <v>592</v>
      </c>
      <c r="D105" t="n">
        <v>4</v>
      </c>
      <c r="E105" s="36" t="n">
        <v>-1.33826121271772</v>
      </c>
      <c r="F105" s="36" t="n">
        <v>-1.48628965095479</v>
      </c>
    </row>
    <row r="106">
      <c r="A106" t="s">
        <v>330</v>
      </c>
      <c r="B106" t="s">
        <v>30</v>
      </c>
      <c r="C106" t="s">
        <v>592</v>
      </c>
      <c r="D106" t="n">
        <v>5</v>
      </c>
      <c r="E106" s="36" t="n">
        <v>-2.11430839676829</v>
      </c>
      <c r="F106" s="36" t="n">
        <v>-0.769545322482755</v>
      </c>
    </row>
    <row r="107">
      <c r="A107" t="s">
        <v>330</v>
      </c>
      <c r="B107" t="s">
        <v>30</v>
      </c>
      <c r="C107" t="s">
        <v>592</v>
      </c>
      <c r="D107" t="n">
        <v>6</v>
      </c>
      <c r="E107" s="36" t="n">
        <v>-2.20083210165106</v>
      </c>
      <c r="F107" s="36" t="n">
        <v>-0.467801304339958</v>
      </c>
    </row>
    <row r="108">
      <c r="A108" t="s">
        <v>330</v>
      </c>
      <c r="B108" t="s">
        <v>30</v>
      </c>
      <c r="C108" t="s">
        <v>592</v>
      </c>
      <c r="D108" t="n">
        <v>7</v>
      </c>
      <c r="E108" s="36" t="n">
        <v>-2.42573931568999</v>
      </c>
      <c r="F108" s="36" t="n">
        <v>0.604804738999169</v>
      </c>
    </row>
    <row r="109">
      <c r="A109" t="s">
        <v>330</v>
      </c>
      <c r="B109" t="s">
        <v>30</v>
      </c>
      <c r="C109" t="s">
        <v>592</v>
      </c>
      <c r="D109" t="n">
        <v>8</v>
      </c>
      <c r="E109" s="36" t="n">
        <v>-2.15801940101595</v>
      </c>
      <c r="F109" s="36" t="n">
        <v>2.08397511137699</v>
      </c>
    </row>
    <row r="110">
      <c r="A110" t="s">
        <v>330</v>
      </c>
      <c r="B110" t="s">
        <v>30</v>
      </c>
      <c r="C110" t="s">
        <v>592</v>
      </c>
      <c r="D110" t="n">
        <v>9</v>
      </c>
      <c r="E110" s="36" t="n">
        <v>-1.69306905714556</v>
      </c>
      <c r="F110" s="36" t="n">
        <v>2.16702957241849</v>
      </c>
    </row>
    <row r="111">
      <c r="A111" t="s">
        <v>330</v>
      </c>
      <c r="B111" t="s">
        <v>30</v>
      </c>
      <c r="C111" t="s">
        <v>592</v>
      </c>
      <c r="D111" t="n">
        <v>10</v>
      </c>
      <c r="E111" s="36" t="n">
        <v>0.698991129338433</v>
      </c>
      <c r="F111" s="36" t="n">
        <v>1.0362969656938</v>
      </c>
    </row>
    <row r="112">
      <c r="A112" t="s">
        <v>330</v>
      </c>
      <c r="B112" t="s">
        <v>30</v>
      </c>
      <c r="C112" t="s">
        <v>593</v>
      </c>
      <c r="D112" t="n">
        <v>1</v>
      </c>
      <c r="E112" s="36" t="n">
        <v>-0.28441368304857</v>
      </c>
      <c r="F112" s="36" t="n">
        <v>-0.00836548637952226</v>
      </c>
    </row>
    <row r="113">
      <c r="A113" t="s">
        <v>330</v>
      </c>
      <c r="B113" t="s">
        <v>30</v>
      </c>
      <c r="C113" t="s">
        <v>593</v>
      </c>
      <c r="D113" t="n">
        <v>2</v>
      </c>
      <c r="E113" s="36" t="n">
        <v>-0.301291004096648</v>
      </c>
      <c r="F113" s="36" t="n">
        <v>-0.0277054767350694</v>
      </c>
    </row>
    <row r="114">
      <c r="A114" t="s">
        <v>330</v>
      </c>
      <c r="B114" t="s">
        <v>30</v>
      </c>
      <c r="C114" t="s">
        <v>593</v>
      </c>
      <c r="D114" t="n">
        <v>3</v>
      </c>
      <c r="E114" s="36" t="n">
        <v>-0.31434822678333</v>
      </c>
      <c r="F114" s="36" t="n">
        <v>-0.036146195395214</v>
      </c>
    </row>
    <row r="115">
      <c r="A115" t="s">
        <v>330</v>
      </c>
      <c r="B115" t="s">
        <v>30</v>
      </c>
      <c r="C115" t="s">
        <v>593</v>
      </c>
      <c r="D115" t="n">
        <v>4</v>
      </c>
      <c r="E115" s="36" t="n">
        <v>-0.346044892901204</v>
      </c>
      <c r="F115" s="36" t="n">
        <v>-0.0490300593017954</v>
      </c>
    </row>
    <row r="116">
      <c r="A116" t="s">
        <v>330</v>
      </c>
      <c r="B116" t="s">
        <v>30</v>
      </c>
      <c r="C116" t="s">
        <v>593</v>
      </c>
      <c r="D116" t="n">
        <v>5</v>
      </c>
      <c r="E116" s="36" t="n">
        <v>-0.368202414577337</v>
      </c>
      <c r="F116" s="36" t="n">
        <v>-0.0568769903485882</v>
      </c>
    </row>
    <row r="117">
      <c r="A117" t="s">
        <v>330</v>
      </c>
      <c r="B117" t="s">
        <v>30</v>
      </c>
      <c r="C117" t="s">
        <v>593</v>
      </c>
      <c r="D117" t="n">
        <v>6</v>
      </c>
      <c r="E117" s="36" t="n">
        <v>-0.4341862712701</v>
      </c>
      <c r="F117" s="36" t="n">
        <v>-0.0614858455594378</v>
      </c>
    </row>
    <row r="118">
      <c r="A118" t="s">
        <v>330</v>
      </c>
      <c r="B118" t="s">
        <v>30</v>
      </c>
      <c r="C118" t="s">
        <v>593</v>
      </c>
      <c r="D118" t="n">
        <v>7</v>
      </c>
      <c r="E118" s="36" t="n">
        <v>-0.463754408871975</v>
      </c>
      <c r="F118" s="36" t="n">
        <v>-0.0628031584440108</v>
      </c>
    </row>
    <row r="119">
      <c r="A119" t="s">
        <v>330</v>
      </c>
      <c r="B119" t="s">
        <v>30</v>
      </c>
      <c r="C119" t="s">
        <v>593</v>
      </c>
      <c r="D119" t="n">
        <v>8</v>
      </c>
      <c r="E119" s="36" t="n">
        <v>-0.512105713112747</v>
      </c>
      <c r="F119" s="36" t="n">
        <v>-0.0560862989344623</v>
      </c>
    </row>
    <row r="120">
      <c r="A120" t="s">
        <v>330</v>
      </c>
      <c r="B120" t="s">
        <v>30</v>
      </c>
      <c r="C120" t="s">
        <v>593</v>
      </c>
      <c r="D120" t="n">
        <v>9</v>
      </c>
      <c r="E120" s="36" t="n">
        <v>-0.555629901890632</v>
      </c>
      <c r="F120" s="36" t="n">
        <v>-0.0394452155818796</v>
      </c>
    </row>
    <row r="121">
      <c r="A121" t="s">
        <v>330</v>
      </c>
      <c r="B121" t="s">
        <v>30</v>
      </c>
      <c r="C121" t="s">
        <v>593</v>
      </c>
      <c r="D121" t="n">
        <v>10</v>
      </c>
      <c r="E121" s="36" t="n">
        <v>-0.570296191145405</v>
      </c>
      <c r="F121" s="36" t="n">
        <v>-0.0298537907012106</v>
      </c>
    </row>
    <row r="122">
      <c r="A122" t="s">
        <v>330</v>
      </c>
      <c r="B122" t="s">
        <v>30</v>
      </c>
      <c r="C122" t="s">
        <v>593</v>
      </c>
      <c r="D122" t="n">
        <v>11</v>
      </c>
      <c r="E122" s="36" t="n">
        <v>-0.577036956071524</v>
      </c>
      <c r="F122" s="36" t="n">
        <v>-0.0156323115869109</v>
      </c>
    </row>
    <row r="123">
      <c r="A123" t="s">
        <v>330</v>
      </c>
      <c r="B123" t="s">
        <v>30</v>
      </c>
      <c r="C123" t="s">
        <v>593</v>
      </c>
      <c r="D123" t="n">
        <v>12</v>
      </c>
      <c r="E123" s="36" t="n">
        <v>-0.582308370707739</v>
      </c>
      <c r="F123" s="36" t="n">
        <v>-0.00328837597354734</v>
      </c>
    </row>
    <row r="124">
      <c r="A124" t="s">
        <v>330</v>
      </c>
      <c r="B124" t="s">
        <v>30</v>
      </c>
      <c r="C124" t="s">
        <v>593</v>
      </c>
      <c r="D124" t="n">
        <v>13</v>
      </c>
      <c r="E124" s="36" t="n">
        <v>-0.588350799311492</v>
      </c>
      <c r="F124" s="36" t="n">
        <v>0.0171380721580915</v>
      </c>
    </row>
    <row r="125">
      <c r="A125" t="s">
        <v>330</v>
      </c>
      <c r="B125" t="s">
        <v>30</v>
      </c>
      <c r="C125" t="s">
        <v>593</v>
      </c>
      <c r="D125" t="n">
        <v>14</v>
      </c>
      <c r="E125" s="36" t="n">
        <v>-0.589824225653244</v>
      </c>
      <c r="F125" s="36" t="n">
        <v>0.0231553626173669</v>
      </c>
    </row>
    <row r="126">
      <c r="A126" t="s">
        <v>330</v>
      </c>
      <c r="B126" t="s">
        <v>30</v>
      </c>
      <c r="C126" t="s">
        <v>593</v>
      </c>
      <c r="D126" t="n">
        <v>15</v>
      </c>
      <c r="E126" s="36" t="n">
        <v>-0.562850882807368</v>
      </c>
      <c r="F126" s="36" t="n">
        <v>0.0419966777510727</v>
      </c>
    </row>
    <row r="127">
      <c r="A127" t="s">
        <v>330</v>
      </c>
      <c r="B127" t="s">
        <v>30</v>
      </c>
      <c r="C127" t="s">
        <v>593</v>
      </c>
      <c r="D127" t="n">
        <v>16</v>
      </c>
      <c r="E127" s="36" t="n">
        <v>-0.517152001534954</v>
      </c>
      <c r="F127" s="36" t="n">
        <v>0.054790947117547</v>
      </c>
    </row>
    <row r="128">
      <c r="A128" t="s">
        <v>330</v>
      </c>
      <c r="B128" t="s">
        <v>30</v>
      </c>
      <c r="C128" t="s">
        <v>593</v>
      </c>
      <c r="D128" t="n">
        <v>17</v>
      </c>
      <c r="E128" s="36" t="n">
        <v>-0.500873937143247</v>
      </c>
      <c r="F128" s="36" t="n">
        <v>0.0583769549131445</v>
      </c>
    </row>
    <row r="129">
      <c r="A129" t="s">
        <v>330</v>
      </c>
      <c r="B129" t="s">
        <v>30</v>
      </c>
      <c r="C129" t="s">
        <v>593</v>
      </c>
      <c r="D129" t="n">
        <v>18</v>
      </c>
      <c r="E129" s="36" t="n">
        <v>-0.413088019868162</v>
      </c>
      <c r="F129" s="36" t="n">
        <v>0.0593392759048933</v>
      </c>
    </row>
    <row r="130">
      <c r="A130" t="s">
        <v>330</v>
      </c>
      <c r="B130" t="s">
        <v>30</v>
      </c>
      <c r="C130" t="s">
        <v>593</v>
      </c>
      <c r="D130" t="n">
        <v>19</v>
      </c>
      <c r="E130" s="36" t="n">
        <v>-0.36857116261971</v>
      </c>
      <c r="F130" s="36" t="n">
        <v>0.0544149584127335</v>
      </c>
    </row>
    <row r="131">
      <c r="A131" t="s">
        <v>330</v>
      </c>
      <c r="B131" t="s">
        <v>30</v>
      </c>
      <c r="C131" t="s">
        <v>593</v>
      </c>
      <c r="D131" t="n">
        <v>20</v>
      </c>
      <c r="E131" s="36" t="n">
        <v>-0.312382162758464</v>
      </c>
      <c r="F131" s="36" t="n">
        <v>0.042665663963408</v>
      </c>
    </row>
    <row r="132">
      <c r="A132" t="s">
        <v>330</v>
      </c>
      <c r="B132" t="s">
        <v>30</v>
      </c>
      <c r="C132" t="s">
        <v>593</v>
      </c>
      <c r="D132" t="n">
        <v>21</v>
      </c>
      <c r="E132" s="36" t="n">
        <v>-0.309797043846235</v>
      </c>
      <c r="F132" s="36" t="n">
        <v>0.0409481819360907</v>
      </c>
    </row>
    <row r="133">
      <c r="A133" t="s">
        <v>330</v>
      </c>
      <c r="B133" t="s">
        <v>30</v>
      </c>
      <c r="C133" t="s">
        <v>593</v>
      </c>
      <c r="D133" t="n">
        <v>22</v>
      </c>
      <c r="E133" s="36" t="n">
        <v>-0.289676893963746</v>
      </c>
      <c r="F133" s="36" t="n">
        <v>0.0150178140540983</v>
      </c>
    </row>
    <row r="134">
      <c r="A134" t="s">
        <v>330</v>
      </c>
      <c r="B134" t="s">
        <v>30</v>
      </c>
      <c r="C134" t="s">
        <v>593</v>
      </c>
      <c r="D134" t="n">
        <v>23</v>
      </c>
      <c r="E134" s="36" t="n">
        <v>-0.284681628940403</v>
      </c>
      <c r="F134" s="36" t="n">
        <v>0.00409991264334583</v>
      </c>
    </row>
    <row r="135">
      <c r="A135" t="s">
        <v>330</v>
      </c>
      <c r="B135" t="s">
        <v>32</v>
      </c>
      <c r="C135" t="s">
        <v>592</v>
      </c>
      <c r="D135" t="n">
        <v>1</v>
      </c>
      <c r="E135" s="36" t="n">
        <v>2.16283881586122</v>
      </c>
      <c r="F135" s="36" t="n">
        <v>-0.620184050588248</v>
      </c>
    </row>
    <row r="136">
      <c r="A136" t="s">
        <v>330</v>
      </c>
      <c r="B136" t="s">
        <v>32</v>
      </c>
      <c r="C136" t="s">
        <v>592</v>
      </c>
      <c r="D136" t="n">
        <v>2</v>
      </c>
      <c r="E136" s="36" t="n">
        <v>-1.125</v>
      </c>
      <c r="F136" s="36" t="n">
        <v>-1.94855715851499</v>
      </c>
    </row>
    <row r="137">
      <c r="A137" t="s">
        <v>330</v>
      </c>
      <c r="B137" t="s">
        <v>32</v>
      </c>
      <c r="C137" t="s">
        <v>592</v>
      </c>
      <c r="D137" t="n">
        <v>3</v>
      </c>
      <c r="E137" s="36" t="n">
        <v>-1.73664592614749</v>
      </c>
      <c r="F137" s="36" t="n">
        <v>-1.79834950084663</v>
      </c>
    </row>
    <row r="138">
      <c r="A138" t="s">
        <v>330</v>
      </c>
      <c r="B138" t="s">
        <v>32</v>
      </c>
      <c r="C138" t="s">
        <v>592</v>
      </c>
      <c r="D138" t="n">
        <v>4</v>
      </c>
      <c r="E138" s="36" t="n">
        <v>-3.24208316334443</v>
      </c>
      <c r="F138" s="36" t="n">
        <v>0.226708539668408</v>
      </c>
    </row>
    <row r="139">
      <c r="A139" t="s">
        <v>330</v>
      </c>
      <c r="B139" t="s">
        <v>32</v>
      </c>
      <c r="C139" t="s">
        <v>592</v>
      </c>
      <c r="D139" t="n">
        <v>5</v>
      </c>
      <c r="E139" s="36" t="n">
        <v>-2.22943447643218</v>
      </c>
      <c r="F139" s="36" t="n">
        <v>2.00739181907657</v>
      </c>
    </row>
    <row r="140">
      <c r="A140" t="s">
        <v>330</v>
      </c>
      <c r="B140" t="s">
        <v>32</v>
      </c>
      <c r="C140" t="s">
        <v>592</v>
      </c>
      <c r="D140" t="n">
        <v>6</v>
      </c>
      <c r="E140" s="36" t="n">
        <v>-1.03016813189376</v>
      </c>
      <c r="F140" s="36" t="n">
        <v>2.54975560005867</v>
      </c>
    </row>
    <row r="141">
      <c r="A141" t="s">
        <v>330</v>
      </c>
      <c r="B141" t="s">
        <v>32</v>
      </c>
      <c r="C141" t="s">
        <v>592</v>
      </c>
      <c r="D141" t="n">
        <v>7</v>
      </c>
      <c r="E141" s="36" t="n">
        <v>1.37901881881176</v>
      </c>
      <c r="F141" s="36" t="n">
        <v>1.0774075818199</v>
      </c>
    </row>
    <row r="142">
      <c r="A142" t="s">
        <v>330</v>
      </c>
      <c r="B142" t="s">
        <v>32</v>
      </c>
      <c r="C142" t="s">
        <v>593</v>
      </c>
      <c r="D142" t="n">
        <v>1</v>
      </c>
      <c r="E142" s="36" t="n">
        <v>-0.117657201632372</v>
      </c>
      <c r="F142" s="36" t="n">
        <v>-0.0322481740072281</v>
      </c>
    </row>
    <row r="143">
      <c r="A143" t="s">
        <v>330</v>
      </c>
      <c r="B143" t="s">
        <v>32</v>
      </c>
      <c r="C143" t="s">
        <v>593</v>
      </c>
      <c r="D143" t="n">
        <v>2</v>
      </c>
      <c r="E143" s="36" t="n">
        <v>-0.117858817117678</v>
      </c>
      <c r="F143" s="36" t="n">
        <v>-0.0389667994908485</v>
      </c>
    </row>
    <row r="144">
      <c r="A144" t="s">
        <v>330</v>
      </c>
      <c r="B144" t="s">
        <v>32</v>
      </c>
      <c r="C144" t="s">
        <v>593</v>
      </c>
      <c r="D144" t="n">
        <v>3</v>
      </c>
      <c r="E144" s="36" t="n">
        <v>-0.12892390449895</v>
      </c>
      <c r="F144" s="36" t="n">
        <v>-0.0492955254919237</v>
      </c>
    </row>
    <row r="145">
      <c r="A145" t="s">
        <v>330</v>
      </c>
      <c r="B145" t="s">
        <v>32</v>
      </c>
      <c r="C145" t="s">
        <v>593</v>
      </c>
      <c r="D145" t="n">
        <v>4</v>
      </c>
      <c r="E145" s="36" t="n">
        <v>-0.212234999364329</v>
      </c>
      <c r="F145" s="36" t="n">
        <v>-0.0707154203705494</v>
      </c>
    </row>
    <row r="146">
      <c r="A146" t="s">
        <v>330</v>
      </c>
      <c r="B146" t="s">
        <v>32</v>
      </c>
      <c r="C146" t="s">
        <v>593</v>
      </c>
      <c r="D146" t="n">
        <v>5</v>
      </c>
      <c r="E146" s="36" t="n">
        <v>-0.303866673992455</v>
      </c>
      <c r="F146" s="36" t="n">
        <v>-0.0788231376710653</v>
      </c>
    </row>
    <row r="147">
      <c r="A147" t="s">
        <v>330</v>
      </c>
      <c r="B147" t="s">
        <v>32</v>
      </c>
      <c r="C147" t="s">
        <v>593</v>
      </c>
      <c r="D147" t="n">
        <v>6</v>
      </c>
      <c r="E147" s="36" t="n">
        <v>-0.33198446852561</v>
      </c>
      <c r="F147" s="36" t="n">
        <v>-0.0802345157603463</v>
      </c>
    </row>
    <row r="148">
      <c r="A148" t="s">
        <v>330</v>
      </c>
      <c r="B148" t="s">
        <v>32</v>
      </c>
      <c r="C148" t="s">
        <v>593</v>
      </c>
      <c r="D148" t="n">
        <v>7</v>
      </c>
      <c r="E148" s="36" t="n">
        <v>-0.379218433720833</v>
      </c>
      <c r="F148" s="36" t="n">
        <v>-0.0763460999602423</v>
      </c>
    </row>
    <row r="149">
      <c r="A149" t="s">
        <v>330</v>
      </c>
      <c r="B149" t="s">
        <v>32</v>
      </c>
      <c r="C149" t="s">
        <v>593</v>
      </c>
      <c r="D149" t="n">
        <v>8</v>
      </c>
      <c r="E149" s="36" t="n">
        <v>-0.436254311917959</v>
      </c>
      <c r="F149" s="36" t="n">
        <v>-0.0688858605266583</v>
      </c>
    </row>
    <row r="150">
      <c r="A150" t="s">
        <v>330</v>
      </c>
      <c r="B150" t="s">
        <v>32</v>
      </c>
      <c r="C150" t="s">
        <v>593</v>
      </c>
      <c r="D150" t="n">
        <v>9</v>
      </c>
      <c r="E150" s="36" t="n">
        <v>-0.460787304190961</v>
      </c>
      <c r="F150" s="36" t="n">
        <v>-0.0639487376384684</v>
      </c>
    </row>
    <row r="151">
      <c r="A151" t="s">
        <v>330</v>
      </c>
      <c r="B151" t="s">
        <v>32</v>
      </c>
      <c r="C151" t="s">
        <v>593</v>
      </c>
      <c r="D151" t="n">
        <v>10</v>
      </c>
      <c r="E151" s="36" t="n">
        <v>-0.556868379571687</v>
      </c>
      <c r="F151" s="36" t="n">
        <v>-0.0324745557682376</v>
      </c>
    </row>
    <row r="152">
      <c r="A152" t="s">
        <v>330</v>
      </c>
      <c r="B152" t="s">
        <v>32</v>
      </c>
      <c r="C152" t="s">
        <v>593</v>
      </c>
      <c r="D152" t="n">
        <v>11</v>
      </c>
      <c r="E152" s="36" t="n">
        <v>-0.561688591219123</v>
      </c>
      <c r="F152" s="36" t="n">
        <v>-0.0199045821555592</v>
      </c>
    </row>
    <row r="153">
      <c r="A153" t="s">
        <v>330</v>
      </c>
      <c r="B153" t="s">
        <v>32</v>
      </c>
      <c r="C153" t="s">
        <v>593</v>
      </c>
      <c r="D153" t="n">
        <v>12</v>
      </c>
      <c r="E153" s="36" t="n">
        <v>-0.553152204700234</v>
      </c>
      <c r="F153" s="36" t="n">
        <v>-0.00194347827006951</v>
      </c>
    </row>
    <row r="154">
      <c r="A154" t="s">
        <v>330</v>
      </c>
      <c r="B154" t="s">
        <v>32</v>
      </c>
      <c r="C154" t="s">
        <v>593</v>
      </c>
      <c r="D154" t="n">
        <v>13</v>
      </c>
      <c r="E154" s="36" t="n">
        <v>-0.525758544083651</v>
      </c>
      <c r="F154" s="36" t="n">
        <v>0.0244953042321133</v>
      </c>
    </row>
    <row r="155">
      <c r="A155" t="s">
        <v>330</v>
      </c>
      <c r="B155" t="s">
        <v>32</v>
      </c>
      <c r="C155" t="s">
        <v>593</v>
      </c>
      <c r="D155" t="n">
        <v>14</v>
      </c>
      <c r="E155" s="36" t="n">
        <v>-0.493376517523072</v>
      </c>
      <c r="F155" s="36" t="n">
        <v>0.0416603317088653</v>
      </c>
    </row>
    <row r="156">
      <c r="A156" t="s">
        <v>330</v>
      </c>
      <c r="B156" t="s">
        <v>32</v>
      </c>
      <c r="C156" t="s">
        <v>593</v>
      </c>
      <c r="D156" t="n">
        <v>15</v>
      </c>
      <c r="E156" s="36" t="n">
        <v>-0.435717133441227</v>
      </c>
      <c r="F156" s="36" t="n">
        <v>0.0532418551133969</v>
      </c>
    </row>
    <row r="157">
      <c r="A157" t="s">
        <v>330</v>
      </c>
      <c r="B157" t="s">
        <v>32</v>
      </c>
      <c r="C157" t="s">
        <v>593</v>
      </c>
      <c r="D157" t="n">
        <v>16</v>
      </c>
      <c r="E157" s="36" t="n">
        <v>-0.406271555341227</v>
      </c>
      <c r="F157" s="36" t="n">
        <v>0.0575263026447656</v>
      </c>
    </row>
    <row r="158">
      <c r="A158" t="s">
        <v>330</v>
      </c>
      <c r="B158" t="s">
        <v>32</v>
      </c>
      <c r="C158" t="s">
        <v>593</v>
      </c>
      <c r="D158" t="n">
        <v>17</v>
      </c>
      <c r="E158" s="36" t="n">
        <v>-0.286535470857955</v>
      </c>
      <c r="F158" s="36" t="n">
        <v>0.0524848954130854</v>
      </c>
    </row>
    <row r="159">
      <c r="A159" t="s">
        <v>330</v>
      </c>
      <c r="B159" t="s">
        <v>32</v>
      </c>
      <c r="C159" t="s">
        <v>593</v>
      </c>
      <c r="D159" t="n">
        <v>18</v>
      </c>
      <c r="E159" s="36" t="n">
        <v>-0.251291767956333</v>
      </c>
      <c r="F159" s="36" t="n">
        <v>0.0506111476322597</v>
      </c>
    </row>
    <row r="160">
      <c r="A160" t="s">
        <v>330</v>
      </c>
      <c r="B160" t="s">
        <v>32</v>
      </c>
      <c r="C160" t="s">
        <v>593</v>
      </c>
      <c r="D160" t="n">
        <v>19</v>
      </c>
      <c r="E160" s="36" t="n">
        <v>-0.219262454328612</v>
      </c>
      <c r="F160" s="36" t="n">
        <v>0.0436798900334788</v>
      </c>
    </row>
    <row r="161">
      <c r="A161" t="s">
        <v>330</v>
      </c>
      <c r="B161" t="s">
        <v>32</v>
      </c>
      <c r="C161" t="s">
        <v>593</v>
      </c>
      <c r="D161" t="n">
        <v>20</v>
      </c>
      <c r="E161" s="36" t="n">
        <v>-0.126140884685596</v>
      </c>
      <c r="F161" s="36" t="n">
        <v>0.0130918246099175</v>
      </c>
    </row>
    <row r="162">
      <c r="A162" t="s">
        <v>340</v>
      </c>
      <c r="B162" t="s">
        <v>30</v>
      </c>
      <c r="C162" t="s">
        <v>592</v>
      </c>
      <c r="D162" t="n">
        <v>1</v>
      </c>
      <c r="E162" s="36" t="n">
        <v>2.3772049744105</v>
      </c>
      <c r="F162" s="36" t="n">
        <v>-1.63457808822739</v>
      </c>
    </row>
    <row r="163">
      <c r="A163" t="s">
        <v>340</v>
      </c>
      <c r="B163" t="s">
        <v>30</v>
      </c>
      <c r="C163" t="s">
        <v>592</v>
      </c>
      <c r="D163" t="n">
        <v>2</v>
      </c>
      <c r="E163" s="36" t="n">
        <v>1.01786860882461</v>
      </c>
      <c r="F163" s="36" t="n">
        <v>-1.79642519929459</v>
      </c>
    </row>
    <row r="164">
      <c r="A164" t="s">
        <v>340</v>
      </c>
      <c r="B164" t="s">
        <v>30</v>
      </c>
      <c r="C164" t="s">
        <v>592</v>
      </c>
      <c r="D164" t="n">
        <v>3</v>
      </c>
      <c r="E164" s="36" t="n">
        <v>-1.52054758287277</v>
      </c>
      <c r="F164" s="36" t="n">
        <v>-0.162758279998327</v>
      </c>
    </row>
    <row r="165">
      <c r="A165" t="s">
        <v>340</v>
      </c>
      <c r="B165" t="s">
        <v>30</v>
      </c>
      <c r="C165" t="s">
        <v>592</v>
      </c>
      <c r="D165" t="n">
        <v>4</v>
      </c>
      <c r="E165" s="36" t="n">
        <v>-0.6101049646137</v>
      </c>
      <c r="F165" s="36" t="n">
        <v>1.3703181864639</v>
      </c>
    </row>
    <row r="166">
      <c r="A166" t="s">
        <v>340</v>
      </c>
      <c r="B166" t="s">
        <v>30</v>
      </c>
      <c r="C166" t="s">
        <v>592</v>
      </c>
      <c r="D166" t="n">
        <v>5</v>
      </c>
      <c r="E166" s="36" t="n">
        <v>0.852957143946371</v>
      </c>
      <c r="F166" s="36" t="n">
        <v>1.81660799675889</v>
      </c>
    </row>
    <row r="167">
      <c r="A167" t="s">
        <v>340</v>
      </c>
      <c r="B167" t="s">
        <v>30</v>
      </c>
      <c r="C167" t="s">
        <v>592</v>
      </c>
      <c r="D167" t="n">
        <v>6</v>
      </c>
      <c r="E167" s="36" t="n">
        <v>2.56370541991787</v>
      </c>
      <c r="F167" s="36" t="n">
        <v>0.550359749088215</v>
      </c>
    </row>
    <row r="168">
      <c r="A168" t="s">
        <v>340</v>
      </c>
      <c r="B168" t="s">
        <v>30</v>
      </c>
      <c r="C168" t="s">
        <v>593</v>
      </c>
      <c r="D168" t="n">
        <v>1</v>
      </c>
      <c r="E168" s="36" t="n">
        <v>0.582811310397877</v>
      </c>
      <c r="F168" s="36" t="n">
        <v>0.00163340295621678</v>
      </c>
    </row>
    <row r="169">
      <c r="A169" t="s">
        <v>340</v>
      </c>
      <c r="B169" t="s">
        <v>30</v>
      </c>
      <c r="C169" t="s">
        <v>593</v>
      </c>
      <c r="D169" t="n">
        <v>2</v>
      </c>
      <c r="E169" s="36" t="n">
        <v>0.563001257826588</v>
      </c>
      <c r="F169" s="36" t="n">
        <v>-0.0407492641207545</v>
      </c>
    </row>
    <row r="170">
      <c r="A170" t="s">
        <v>340</v>
      </c>
      <c r="B170" t="s">
        <v>30</v>
      </c>
      <c r="C170" t="s">
        <v>593</v>
      </c>
      <c r="D170" t="n">
        <v>3</v>
      </c>
      <c r="E170" s="36" t="n">
        <v>0.544103733003749</v>
      </c>
      <c r="F170" s="36" t="n">
        <v>-0.0479908853696588</v>
      </c>
    </row>
    <row r="171">
      <c r="A171" t="s">
        <v>340</v>
      </c>
      <c r="B171" t="s">
        <v>30</v>
      </c>
      <c r="C171" t="s">
        <v>593</v>
      </c>
      <c r="D171" t="n">
        <v>4</v>
      </c>
      <c r="E171" s="36" t="n">
        <v>0.487825302359036</v>
      </c>
      <c r="F171" s="36" t="n">
        <v>-0.0673240117950421</v>
      </c>
    </row>
    <row r="172">
      <c r="A172" t="s">
        <v>340</v>
      </c>
      <c r="B172" t="s">
        <v>30</v>
      </c>
      <c r="C172" t="s">
        <v>593</v>
      </c>
      <c r="D172" t="n">
        <v>5</v>
      </c>
      <c r="E172" s="36" t="n">
        <v>0.474616074181375</v>
      </c>
      <c r="F172" s="36" t="n">
        <v>-0.069386121330744</v>
      </c>
    </row>
    <row r="173">
      <c r="A173" t="s">
        <v>340</v>
      </c>
      <c r="B173" t="s">
        <v>30</v>
      </c>
      <c r="C173" t="s">
        <v>593</v>
      </c>
      <c r="D173" t="n">
        <v>6</v>
      </c>
      <c r="E173" s="36" t="n">
        <v>0.453362199204795</v>
      </c>
      <c r="F173" s="36" t="n">
        <v>-0.0700251226942008</v>
      </c>
    </row>
    <row r="174">
      <c r="A174" t="s">
        <v>340</v>
      </c>
      <c r="B174" t="s">
        <v>30</v>
      </c>
      <c r="C174" t="s">
        <v>593</v>
      </c>
      <c r="D174" t="n">
        <v>7</v>
      </c>
      <c r="E174" s="36" t="n">
        <v>0.371674473177574</v>
      </c>
      <c r="F174" s="36" t="n">
        <v>-0.0608665958990034</v>
      </c>
    </row>
    <row r="175">
      <c r="A175" t="s">
        <v>340</v>
      </c>
      <c r="B175" t="s">
        <v>30</v>
      </c>
      <c r="C175" t="s">
        <v>593</v>
      </c>
      <c r="D175" t="n">
        <v>8</v>
      </c>
      <c r="E175" s="36" t="n">
        <v>0.309743441173029</v>
      </c>
      <c r="F175" s="36" t="n">
        <v>-0.0511338048837281</v>
      </c>
    </row>
    <row r="176">
      <c r="A176" t="s">
        <v>340</v>
      </c>
      <c r="B176" t="s">
        <v>30</v>
      </c>
      <c r="C176" t="s">
        <v>593</v>
      </c>
      <c r="D176" t="n">
        <v>9</v>
      </c>
      <c r="E176" s="36" t="n">
        <v>0.290694922776619</v>
      </c>
      <c r="F176" s="36" t="n">
        <v>-0.0338226370633614</v>
      </c>
    </row>
    <row r="177">
      <c r="A177" t="s">
        <v>340</v>
      </c>
      <c r="B177" t="s">
        <v>30</v>
      </c>
      <c r="C177" t="s">
        <v>593</v>
      </c>
      <c r="D177" t="n">
        <v>10</v>
      </c>
      <c r="E177" s="36" t="n">
        <v>0.274458158820923</v>
      </c>
      <c r="F177" s="36" t="n">
        <v>-0.0157423552770435</v>
      </c>
    </row>
    <row r="178">
      <c r="A178" t="s">
        <v>340</v>
      </c>
      <c r="B178" t="s">
        <v>30</v>
      </c>
      <c r="C178" t="s">
        <v>593</v>
      </c>
      <c r="D178" t="n">
        <v>11</v>
      </c>
      <c r="E178" s="36" t="n">
        <v>0.275812074633602</v>
      </c>
      <c r="F178" s="36" t="n">
        <v>0.00175775234139833</v>
      </c>
    </row>
    <row r="179">
      <c r="A179" t="s">
        <v>340</v>
      </c>
      <c r="B179" t="s">
        <v>30</v>
      </c>
      <c r="C179" t="s">
        <v>593</v>
      </c>
      <c r="D179" t="n">
        <v>12</v>
      </c>
      <c r="E179" s="36" t="n">
        <v>0.279179156935243</v>
      </c>
      <c r="F179" s="36" t="n">
        <v>0.028040763008612</v>
      </c>
    </row>
    <row r="180">
      <c r="A180" t="s">
        <v>340</v>
      </c>
      <c r="B180" t="s">
        <v>30</v>
      </c>
      <c r="C180" t="s">
        <v>593</v>
      </c>
      <c r="D180" t="n">
        <v>13</v>
      </c>
      <c r="E180" s="36" t="n">
        <v>0.299056349030221</v>
      </c>
      <c r="F180" s="36" t="n">
        <v>0.0446087874556759</v>
      </c>
    </row>
    <row r="181">
      <c r="A181" t="s">
        <v>340</v>
      </c>
      <c r="B181" t="s">
        <v>30</v>
      </c>
      <c r="C181" t="s">
        <v>593</v>
      </c>
      <c r="D181" t="n">
        <v>14</v>
      </c>
      <c r="E181" s="36" t="n">
        <v>0.30970573161163</v>
      </c>
      <c r="F181" s="36" t="n">
        <v>0.0487272594232477</v>
      </c>
    </row>
    <row r="182">
      <c r="A182" t="s">
        <v>340</v>
      </c>
      <c r="B182" t="s">
        <v>30</v>
      </c>
      <c r="C182" t="s">
        <v>593</v>
      </c>
      <c r="D182" t="n">
        <v>15</v>
      </c>
      <c r="E182" s="36" t="n">
        <v>0.364165185072075</v>
      </c>
      <c r="F182" s="36" t="n">
        <v>0.0670180107228955</v>
      </c>
    </row>
    <row r="183">
      <c r="A183" t="s">
        <v>340</v>
      </c>
      <c r="B183" t="s">
        <v>30</v>
      </c>
      <c r="C183" t="s">
        <v>593</v>
      </c>
      <c r="D183" t="n">
        <v>16</v>
      </c>
      <c r="E183" s="36" t="n">
        <v>0.380244630915269</v>
      </c>
      <c r="F183" s="36" t="n">
        <v>0.067886222526628</v>
      </c>
    </row>
    <row r="184">
      <c r="A184" t="s">
        <v>340</v>
      </c>
      <c r="B184" t="s">
        <v>30</v>
      </c>
      <c r="C184" t="s">
        <v>593</v>
      </c>
      <c r="D184" t="n">
        <v>17</v>
      </c>
      <c r="E184" s="36" t="n">
        <v>0.414067465575537</v>
      </c>
      <c r="F184" s="36" t="n">
        <v>0.0657583248804185</v>
      </c>
    </row>
    <row r="185">
      <c r="A185" t="s">
        <v>340</v>
      </c>
      <c r="B185" t="s">
        <v>30</v>
      </c>
      <c r="C185" t="s">
        <v>593</v>
      </c>
      <c r="D185" t="n">
        <v>18</v>
      </c>
      <c r="E185" s="36" t="n">
        <v>0.438200407732617</v>
      </c>
      <c r="F185" s="36" t="n">
        <v>0.0638047772868166</v>
      </c>
    </row>
    <row r="186">
      <c r="A186" t="s">
        <v>340</v>
      </c>
      <c r="B186" t="s">
        <v>30</v>
      </c>
      <c r="C186" t="s">
        <v>593</v>
      </c>
      <c r="D186" t="n">
        <v>19</v>
      </c>
      <c r="E186" s="36" t="n">
        <v>0.495870342873106</v>
      </c>
      <c r="F186" s="36" t="n">
        <v>0.0542001246825274</v>
      </c>
    </row>
    <row r="187">
      <c r="A187" t="s">
        <v>340</v>
      </c>
      <c r="B187" t="s">
        <v>30</v>
      </c>
      <c r="C187" t="s">
        <v>593</v>
      </c>
      <c r="D187" t="n">
        <v>20</v>
      </c>
      <c r="E187" s="36" t="n">
        <v>0.514251998494385</v>
      </c>
      <c r="F187" s="36" t="n">
        <v>0.0481263264286392</v>
      </c>
    </row>
    <row r="188">
      <c r="A188" t="s">
        <v>340</v>
      </c>
      <c r="B188" t="s">
        <v>30</v>
      </c>
      <c r="C188" t="s">
        <v>593</v>
      </c>
      <c r="D188" t="n">
        <v>21</v>
      </c>
      <c r="E188" s="36" t="n">
        <v>0.545966947842266</v>
      </c>
      <c r="F188" s="36" t="n">
        <v>0.0351427577431324</v>
      </c>
    </row>
    <row r="189">
      <c r="A189" t="s">
        <v>340</v>
      </c>
      <c r="B189" t="s">
        <v>30</v>
      </c>
      <c r="C189" t="s">
        <v>593</v>
      </c>
      <c r="D189" t="n">
        <v>22</v>
      </c>
      <c r="E189" s="36" t="n">
        <v>0.588406869812334</v>
      </c>
      <c r="F189" s="36" t="n">
        <v>0.0158571711753522</v>
      </c>
    </row>
    <row r="190">
      <c r="A190" t="s">
        <v>340</v>
      </c>
      <c r="B190" t="s">
        <v>32</v>
      </c>
      <c r="C190" t="s">
        <v>592</v>
      </c>
      <c r="D190" t="n">
        <v>1</v>
      </c>
      <c r="E190" s="36" t="n">
        <v>2.40329380813831</v>
      </c>
      <c r="F190" s="36" t="n">
        <v>-1.47026489850096</v>
      </c>
    </row>
    <row r="191">
      <c r="A191" t="s">
        <v>340</v>
      </c>
      <c r="B191" t="s">
        <v>32</v>
      </c>
      <c r="C191" t="s">
        <v>592</v>
      </c>
      <c r="D191" t="n">
        <v>2</v>
      </c>
      <c r="E191" s="36" t="n">
        <v>2.26431271330426</v>
      </c>
      <c r="F191" s="36" t="n">
        <v>-1.50860979394663</v>
      </c>
    </row>
    <row r="192">
      <c r="A192" t="s">
        <v>340</v>
      </c>
      <c r="B192" t="s">
        <v>32</v>
      </c>
      <c r="C192" t="s">
        <v>592</v>
      </c>
      <c r="D192" t="n">
        <v>3</v>
      </c>
      <c r="E192" s="36" t="n">
        <v>-1.12917111205698</v>
      </c>
      <c r="F192" s="36" t="n">
        <v>-1.08613245599554</v>
      </c>
    </row>
    <row r="193">
      <c r="A193" t="s">
        <v>340</v>
      </c>
      <c r="B193" t="s">
        <v>32</v>
      </c>
      <c r="C193" t="s">
        <v>592</v>
      </c>
      <c r="D193" t="n">
        <v>4</v>
      </c>
      <c r="E193" s="36" t="n">
        <v>-2.02588175194764</v>
      </c>
      <c r="F193" s="36" t="n">
        <v>-0.079310652735269</v>
      </c>
    </row>
    <row r="194">
      <c r="A194" t="s">
        <v>340</v>
      </c>
      <c r="B194" t="s">
        <v>32</v>
      </c>
      <c r="C194" t="s">
        <v>592</v>
      </c>
      <c r="D194" t="n">
        <v>5</v>
      </c>
      <c r="E194" s="36" t="n">
        <v>-1.9463324649151</v>
      </c>
      <c r="F194" s="36" t="n">
        <v>0.495184050588245</v>
      </c>
    </row>
    <row r="195">
      <c r="A195" t="s">
        <v>340</v>
      </c>
      <c r="B195" t="s">
        <v>32</v>
      </c>
      <c r="C195" t="s">
        <v>592</v>
      </c>
      <c r="D195" t="n">
        <v>6</v>
      </c>
      <c r="E195" s="36" t="n">
        <v>0.696439939817505</v>
      </c>
      <c r="F195" s="36" t="n">
        <v>1.72328256197082</v>
      </c>
    </row>
    <row r="196">
      <c r="A196" t="s">
        <v>340</v>
      </c>
      <c r="B196" t="s">
        <v>32</v>
      </c>
      <c r="C196" t="s">
        <v>592</v>
      </c>
      <c r="D196" t="n">
        <v>7</v>
      </c>
      <c r="E196" s="36" t="n">
        <v>1.80072001878824</v>
      </c>
      <c r="F196" s="36" t="n">
        <v>1.34091573734859</v>
      </c>
    </row>
    <row r="197">
      <c r="A197" t="s">
        <v>340</v>
      </c>
      <c r="B197" t="s">
        <v>32</v>
      </c>
      <c r="C197" t="s">
        <v>592</v>
      </c>
      <c r="D197" t="n">
        <v>8</v>
      </c>
      <c r="E197" s="36" t="n">
        <v>2.22171281814605</v>
      </c>
      <c r="F197" s="36" t="n">
        <v>0.0386284051644995</v>
      </c>
    </row>
    <row r="198">
      <c r="A198" t="s">
        <v>340</v>
      </c>
      <c r="B198" t="s">
        <v>32</v>
      </c>
      <c r="C198" t="s">
        <v>593</v>
      </c>
      <c r="D198" t="n">
        <v>1</v>
      </c>
      <c r="E198" s="36" t="n">
        <v>0.517379958669775</v>
      </c>
      <c r="F198" s="36" t="n">
        <v>-0.0107560854220547</v>
      </c>
    </row>
    <row r="199">
      <c r="A199" t="s">
        <v>340</v>
      </c>
      <c r="B199" t="s">
        <v>32</v>
      </c>
      <c r="C199" t="s">
        <v>593</v>
      </c>
      <c r="D199" t="n">
        <v>2</v>
      </c>
      <c r="E199" s="36" t="n">
        <v>0.511692377887226</v>
      </c>
      <c r="F199" s="36" t="n">
        <v>-0.0224632594805448</v>
      </c>
    </row>
    <row r="200">
      <c r="A200" t="s">
        <v>340</v>
      </c>
      <c r="B200" t="s">
        <v>32</v>
      </c>
      <c r="C200" t="s">
        <v>593</v>
      </c>
      <c r="D200" t="n">
        <v>3</v>
      </c>
      <c r="E200" s="36" t="n">
        <v>0.461449311272131</v>
      </c>
      <c r="F200" s="36" t="n">
        <v>-0.0460458323681374</v>
      </c>
    </row>
    <row r="201">
      <c r="A201" t="s">
        <v>340</v>
      </c>
      <c r="B201" t="s">
        <v>32</v>
      </c>
      <c r="C201" t="s">
        <v>593</v>
      </c>
      <c r="D201" t="n">
        <v>4</v>
      </c>
      <c r="E201" s="36" t="n">
        <v>0.372566027900924</v>
      </c>
      <c r="F201" s="36" t="n">
        <v>-0.067170481410548</v>
      </c>
    </row>
    <row r="202">
      <c r="A202" t="s">
        <v>340</v>
      </c>
      <c r="B202" t="s">
        <v>32</v>
      </c>
      <c r="C202" t="s">
        <v>593</v>
      </c>
      <c r="D202" t="n">
        <v>5</v>
      </c>
      <c r="E202" s="36" t="n">
        <v>0.238507561267319</v>
      </c>
      <c r="F202" s="36" t="n">
        <v>-0.0701010267803743</v>
      </c>
    </row>
    <row r="203">
      <c r="A203" t="s">
        <v>340</v>
      </c>
      <c r="B203" t="s">
        <v>32</v>
      </c>
      <c r="C203" t="s">
        <v>593</v>
      </c>
      <c r="D203" t="n">
        <v>6</v>
      </c>
      <c r="E203" s="36" t="n">
        <v>0.159824319026396</v>
      </c>
      <c r="F203" s="36" t="n">
        <v>-0.0504091246247037</v>
      </c>
    </row>
    <row r="204">
      <c r="A204" t="s">
        <v>340</v>
      </c>
      <c r="B204" t="s">
        <v>32</v>
      </c>
      <c r="C204" t="s">
        <v>593</v>
      </c>
      <c r="D204" t="n">
        <v>7</v>
      </c>
      <c r="E204" s="36" t="n">
        <v>0.141390589395616</v>
      </c>
      <c r="F204" s="36" t="n">
        <v>-0.0445304885551194</v>
      </c>
    </row>
    <row r="205">
      <c r="A205" t="s">
        <v>340</v>
      </c>
      <c r="B205" t="s">
        <v>32</v>
      </c>
      <c r="C205" t="s">
        <v>593</v>
      </c>
      <c r="D205" t="n">
        <v>8</v>
      </c>
      <c r="E205" s="36" t="n">
        <v>0.0821740787232184</v>
      </c>
      <c r="F205" s="36" t="n">
        <v>-0.0125151649558132</v>
      </c>
    </row>
    <row r="206">
      <c r="A206" t="s">
        <v>340</v>
      </c>
      <c r="B206" t="s">
        <v>32</v>
      </c>
      <c r="C206" t="s">
        <v>593</v>
      </c>
      <c r="D206" t="n">
        <v>9</v>
      </c>
      <c r="E206" s="36" t="n">
        <v>0.0682449394042416</v>
      </c>
      <c r="F206" s="36" t="n">
        <v>0.018170138527772</v>
      </c>
    </row>
    <row r="207">
      <c r="A207" t="s">
        <v>340</v>
      </c>
      <c r="B207" t="s">
        <v>32</v>
      </c>
      <c r="C207" t="s">
        <v>593</v>
      </c>
      <c r="D207" t="n">
        <v>10</v>
      </c>
      <c r="E207" s="36" t="n">
        <v>0.0720828330731993</v>
      </c>
      <c r="F207" s="36" t="n">
        <v>0.0268947467470597</v>
      </c>
    </row>
    <row r="208">
      <c r="A208" t="s">
        <v>340</v>
      </c>
      <c r="B208" t="s">
        <v>32</v>
      </c>
      <c r="C208" t="s">
        <v>593</v>
      </c>
      <c r="D208" t="n">
        <v>11</v>
      </c>
      <c r="E208" s="36" t="n">
        <v>0.131773523638044</v>
      </c>
      <c r="F208" s="36" t="n">
        <v>0.0688669497571493</v>
      </c>
    </row>
    <row r="209">
      <c r="A209" t="s">
        <v>340</v>
      </c>
      <c r="B209" t="s">
        <v>32</v>
      </c>
      <c r="C209" t="s">
        <v>593</v>
      </c>
      <c r="D209" t="n">
        <v>12</v>
      </c>
      <c r="E209" s="36" t="n">
        <v>0.205128177355972</v>
      </c>
      <c r="F209" s="36" t="n">
        <v>0.0853825210597874</v>
      </c>
    </row>
    <row r="210">
      <c r="A210" t="s">
        <v>340</v>
      </c>
      <c r="B210" t="s">
        <v>32</v>
      </c>
      <c r="C210" t="s">
        <v>593</v>
      </c>
      <c r="D210" t="n">
        <v>13</v>
      </c>
      <c r="E210" s="36" t="n">
        <v>0.22137495794829</v>
      </c>
      <c r="F210" s="36" t="n">
        <v>0.0864301889867824</v>
      </c>
    </row>
    <row r="211">
      <c r="A211" t="s">
        <v>340</v>
      </c>
      <c r="B211" t="s">
        <v>32</v>
      </c>
      <c r="C211" t="s">
        <v>593</v>
      </c>
      <c r="D211" t="n">
        <v>14</v>
      </c>
      <c r="E211" s="36" t="n">
        <v>0.356959658954827</v>
      </c>
      <c r="F211" s="36" t="n">
        <v>0.0831550058699849</v>
      </c>
    </row>
    <row r="212">
      <c r="A212" t="s">
        <v>340</v>
      </c>
      <c r="B212" t="s">
        <v>32</v>
      </c>
      <c r="C212" t="s">
        <v>593</v>
      </c>
      <c r="D212" t="n">
        <v>15</v>
      </c>
      <c r="E212" s="36" t="n">
        <v>0.403362142692916</v>
      </c>
      <c r="F212" s="36" t="n">
        <v>0.0694059039549092</v>
      </c>
    </row>
    <row r="213">
      <c r="A213" t="s">
        <v>340</v>
      </c>
      <c r="B213" t="s">
        <v>32</v>
      </c>
      <c r="C213" t="s">
        <v>593</v>
      </c>
      <c r="D213" t="n">
        <v>16</v>
      </c>
      <c r="E213" s="36" t="n">
        <v>0.506501027498905</v>
      </c>
      <c r="F213" s="36" t="n">
        <v>0.0210485146469195</v>
      </c>
    </row>
    <row r="214">
      <c r="A214" t="s">
        <v>340</v>
      </c>
      <c r="B214" t="s">
        <v>32</v>
      </c>
      <c r="C214" t="s">
        <v>593</v>
      </c>
      <c r="D214" t="n">
        <v>17</v>
      </c>
      <c r="E214" s="36" t="n">
        <v>0.508109589113744</v>
      </c>
      <c r="F214" s="36" t="n">
        <v>0.0164801102851945</v>
      </c>
    </row>
    <row r="215">
      <c r="A215" t="s">
        <v>350</v>
      </c>
      <c r="B215" t="s">
        <v>30</v>
      </c>
      <c r="C215" t="s">
        <v>592</v>
      </c>
      <c r="D215" t="n">
        <v>1</v>
      </c>
      <c r="E215" s="36" t="n">
        <v>0.4567727288213</v>
      </c>
      <c r="F215" s="36" t="n">
        <v>-0.2033683215379</v>
      </c>
    </row>
    <row r="216">
      <c r="A216" t="s">
        <v>350</v>
      </c>
      <c r="B216" t="s">
        <v>30</v>
      </c>
      <c r="C216" t="s">
        <v>592</v>
      </c>
      <c r="D216" t="n">
        <v>2</v>
      </c>
      <c r="E216" s="36" t="n">
        <v>0.375</v>
      </c>
      <c r="F216" s="36" t="n">
        <v>-0.649519052838329</v>
      </c>
    </row>
    <row r="217">
      <c r="A217" t="s">
        <v>350</v>
      </c>
      <c r="B217" t="s">
        <v>30</v>
      </c>
      <c r="C217" t="s">
        <v>592</v>
      </c>
      <c r="D217" t="n">
        <v>3</v>
      </c>
      <c r="E217" s="36" t="n">
        <v>-0.0783963474507407</v>
      </c>
      <c r="F217" s="36" t="n">
        <v>-0.745891421526205</v>
      </c>
    </row>
    <row r="218">
      <c r="A218" t="s">
        <v>350</v>
      </c>
      <c r="B218" t="s">
        <v>30</v>
      </c>
      <c r="C218" t="s">
        <v>592</v>
      </c>
      <c r="D218" t="n">
        <v>4</v>
      </c>
      <c r="E218" s="36" t="n">
        <v>-0.749543120264322</v>
      </c>
      <c r="F218" s="36" t="n">
        <v>-0.0261746225268759</v>
      </c>
    </row>
    <row r="219">
      <c r="A219" t="s">
        <v>350</v>
      </c>
      <c r="B219" t="s">
        <v>30</v>
      </c>
      <c r="C219" t="s">
        <v>592</v>
      </c>
      <c r="D219" t="n">
        <v>5</v>
      </c>
      <c r="E219" s="36" t="n">
        <v>-0.334565303179429</v>
      </c>
      <c r="F219" s="36" t="n">
        <v>0.371572412738697</v>
      </c>
    </row>
    <row r="220">
      <c r="A220" t="s">
        <v>350</v>
      </c>
      <c r="B220" t="s">
        <v>30</v>
      </c>
      <c r="C220" t="s">
        <v>592</v>
      </c>
      <c r="D220" t="n">
        <v>6</v>
      </c>
      <c r="E220" s="36" t="n">
        <v>0.104379825720049</v>
      </c>
      <c r="F220" s="36" t="n">
        <v>0.742701051556178</v>
      </c>
    </row>
    <row r="221">
      <c r="A221" t="s">
        <v>350</v>
      </c>
      <c r="B221" t="s">
        <v>30</v>
      </c>
      <c r="C221" t="s">
        <v>592</v>
      </c>
      <c r="D221" t="n">
        <v>7</v>
      </c>
      <c r="E221" s="36" t="n">
        <v>0.424024048078213</v>
      </c>
      <c r="F221" s="36" t="n">
        <v>0.264959632116602</v>
      </c>
    </row>
    <row r="222">
      <c r="A222" t="s">
        <v>350</v>
      </c>
      <c r="B222" t="s">
        <v>30</v>
      </c>
      <c r="C222" t="s">
        <v>593</v>
      </c>
      <c r="D222" t="n">
        <v>1</v>
      </c>
      <c r="E222" s="36" t="n">
        <v>0.00639477363001812</v>
      </c>
      <c r="F222" s="36" t="n">
        <v>-0.00795485222073171</v>
      </c>
    </row>
    <row r="223">
      <c r="A223" t="s">
        <v>350</v>
      </c>
      <c r="B223" t="s">
        <v>30</v>
      </c>
      <c r="C223" t="s">
        <v>593</v>
      </c>
      <c r="D223" t="n">
        <v>2</v>
      </c>
      <c r="E223" s="36" t="n">
        <v>0.00184958056027044</v>
      </c>
      <c r="F223" s="36" t="n">
        <v>-0.0274005417529814</v>
      </c>
    </row>
    <row r="224">
      <c r="A224" t="s">
        <v>350</v>
      </c>
      <c r="B224" t="s">
        <v>30</v>
      </c>
      <c r="C224" t="s">
        <v>593</v>
      </c>
      <c r="D224" t="n">
        <v>3</v>
      </c>
      <c r="E224" s="36" t="n">
        <v>-0.00846560064742389</v>
      </c>
      <c r="F224" s="36" t="n">
        <v>-0.0347658956058198</v>
      </c>
    </row>
    <row r="225">
      <c r="A225" t="s">
        <v>350</v>
      </c>
      <c r="B225" t="s">
        <v>30</v>
      </c>
      <c r="C225" t="s">
        <v>593</v>
      </c>
      <c r="D225" t="n">
        <v>4</v>
      </c>
      <c r="E225" s="36" t="n">
        <v>-0.0219019957384167</v>
      </c>
      <c r="F225" s="36" t="n">
        <v>-0.0398120182535169</v>
      </c>
    </row>
    <row r="226">
      <c r="A226" t="s">
        <v>350</v>
      </c>
      <c r="B226" t="s">
        <v>30</v>
      </c>
      <c r="C226" t="s">
        <v>593</v>
      </c>
      <c r="D226" t="n">
        <v>5</v>
      </c>
      <c r="E226" s="36" t="n">
        <v>-0.0374859358320968</v>
      </c>
      <c r="F226" s="36" t="n">
        <v>-0.0425334267582692</v>
      </c>
    </row>
    <row r="227">
      <c r="A227" t="s">
        <v>350</v>
      </c>
      <c r="B227" t="s">
        <v>30</v>
      </c>
      <c r="C227" t="s">
        <v>593</v>
      </c>
      <c r="D227" t="n">
        <v>6</v>
      </c>
      <c r="E227" s="36" t="n">
        <v>-0.0489473528815189</v>
      </c>
      <c r="F227" s="36" t="n">
        <v>-0.0406172777890517</v>
      </c>
    </row>
    <row r="228">
      <c r="A228" t="s">
        <v>350</v>
      </c>
      <c r="B228" t="s">
        <v>30</v>
      </c>
      <c r="C228" t="s">
        <v>593</v>
      </c>
      <c r="D228" t="n">
        <v>7</v>
      </c>
      <c r="E228" s="36" t="n">
        <v>-0.0540793365269933</v>
      </c>
      <c r="F228" s="36" t="n">
        <v>-0.0379190378336436</v>
      </c>
    </row>
    <row r="229">
      <c r="A229" t="s">
        <v>350</v>
      </c>
      <c r="B229" t="s">
        <v>30</v>
      </c>
      <c r="C229" t="s">
        <v>593</v>
      </c>
      <c r="D229" t="n">
        <v>8</v>
      </c>
      <c r="E229" s="36" t="n">
        <v>-0.0643687897232878</v>
      </c>
      <c r="F229" s="36" t="n">
        <v>-0.0322765575002399</v>
      </c>
    </row>
    <row r="230">
      <c r="A230" t="s">
        <v>350</v>
      </c>
      <c r="B230" t="s">
        <v>30</v>
      </c>
      <c r="C230" t="s">
        <v>593</v>
      </c>
      <c r="D230" t="n">
        <v>9</v>
      </c>
      <c r="E230" s="36" t="n">
        <v>-0.0727011165223495</v>
      </c>
      <c r="F230" s="36" t="n">
        <v>-0.0254620338775288</v>
      </c>
    </row>
    <row r="231">
      <c r="A231" t="s">
        <v>350</v>
      </c>
      <c r="B231" t="s">
        <v>30</v>
      </c>
      <c r="C231" t="s">
        <v>593</v>
      </c>
      <c r="D231" t="n">
        <v>10</v>
      </c>
      <c r="E231" s="36" t="n">
        <v>-0.0883359982832235</v>
      </c>
      <c r="F231" s="36" t="n">
        <v>-0.00734040551359201</v>
      </c>
    </row>
    <row r="232">
      <c r="A232" t="s">
        <v>350</v>
      </c>
      <c r="B232" t="s">
        <v>30</v>
      </c>
      <c r="C232" t="s">
        <v>593</v>
      </c>
      <c r="D232" t="n">
        <v>11</v>
      </c>
      <c r="E232" s="36" t="n">
        <v>-0.0890080761775741</v>
      </c>
      <c r="F232" s="36" t="n">
        <v>0.0137193828954742</v>
      </c>
    </row>
    <row r="233">
      <c r="A233" t="s">
        <v>350</v>
      </c>
      <c r="B233" t="s">
        <v>30</v>
      </c>
      <c r="C233" t="s">
        <v>593</v>
      </c>
      <c r="D233" t="n">
        <v>12</v>
      </c>
      <c r="E233" s="36" t="n">
        <v>-0.0699214580019297</v>
      </c>
      <c r="F233" s="36" t="n">
        <v>0.0321771092403721</v>
      </c>
    </row>
    <row r="234">
      <c r="A234" t="s">
        <v>350</v>
      </c>
      <c r="B234" t="s">
        <v>30</v>
      </c>
      <c r="C234" t="s">
        <v>593</v>
      </c>
      <c r="D234" t="n">
        <v>13</v>
      </c>
      <c r="E234" s="36" t="n">
        <v>-0.0678179917248058</v>
      </c>
      <c r="F234" s="36" t="n">
        <v>0.0331277907300792</v>
      </c>
    </row>
    <row r="235">
      <c r="A235" t="s">
        <v>350</v>
      </c>
      <c r="B235" t="s">
        <v>30</v>
      </c>
      <c r="C235" t="s">
        <v>593</v>
      </c>
      <c r="D235" t="n">
        <v>14</v>
      </c>
      <c r="E235" s="36" t="n">
        <v>-0.0371092319198826</v>
      </c>
      <c r="F235" s="36" t="n">
        <v>0.0376416098730776</v>
      </c>
    </row>
    <row r="236">
      <c r="A236" t="s">
        <v>350</v>
      </c>
      <c r="B236" t="s">
        <v>30</v>
      </c>
      <c r="C236" t="s">
        <v>593</v>
      </c>
      <c r="D236" t="n">
        <v>15</v>
      </c>
      <c r="E236" s="36" t="n">
        <v>-0.0308554696065359</v>
      </c>
      <c r="F236" s="36" t="n">
        <v>0.036728826774031</v>
      </c>
    </row>
    <row r="237">
      <c r="A237" t="s">
        <v>350</v>
      </c>
      <c r="B237" t="s">
        <v>30</v>
      </c>
      <c r="C237" t="s">
        <v>593</v>
      </c>
      <c r="D237" t="n">
        <v>16</v>
      </c>
      <c r="E237" s="36" t="n">
        <v>-0.0229510108174618</v>
      </c>
      <c r="F237" s="36" t="n">
        <v>0.0329543221877075</v>
      </c>
    </row>
    <row r="238">
      <c r="A238" t="s">
        <v>350</v>
      </c>
      <c r="B238" t="s">
        <v>30</v>
      </c>
      <c r="C238" t="s">
        <v>593</v>
      </c>
      <c r="D238" t="n">
        <v>17</v>
      </c>
      <c r="E238" s="36" t="n">
        <v>-0.0112104073519577</v>
      </c>
      <c r="F238" s="36" t="n">
        <v>0.0271097604740472</v>
      </c>
    </row>
    <row r="239">
      <c r="A239" t="s">
        <v>350</v>
      </c>
      <c r="B239" t="s">
        <v>30</v>
      </c>
      <c r="C239" t="s">
        <v>593</v>
      </c>
      <c r="D239" t="n">
        <v>18</v>
      </c>
      <c r="E239" s="36" t="n">
        <v>0.000404241978053667</v>
      </c>
      <c r="F239" s="36" t="n">
        <v>0.0176737260491512</v>
      </c>
    </row>
    <row r="240">
      <c r="A240" t="s">
        <v>350</v>
      </c>
      <c r="B240" t="s">
        <v>30</v>
      </c>
      <c r="C240" t="s">
        <v>593</v>
      </c>
      <c r="D240" t="n">
        <v>19</v>
      </c>
      <c r="E240" s="36" t="n">
        <v>0.00220961928682976</v>
      </c>
      <c r="F240" s="36" t="n">
        <v>0.0136572885610871</v>
      </c>
    </row>
    <row r="241">
      <c r="A241" t="s">
        <v>350</v>
      </c>
      <c r="B241" t="s">
        <v>30</v>
      </c>
      <c r="C241" t="s">
        <v>593</v>
      </c>
      <c r="D241" t="n">
        <v>20</v>
      </c>
      <c r="E241" s="36" t="n">
        <v>0.00678087084718748</v>
      </c>
      <c r="F241" s="36" t="n">
        <v>0.00051252177420105</v>
      </c>
    </row>
    <row r="242">
      <c r="A242" t="s">
        <v>350</v>
      </c>
      <c r="B242" t="s">
        <v>32</v>
      </c>
      <c r="C242" t="s">
        <v>592</v>
      </c>
      <c r="D242" t="n">
        <v>1</v>
      </c>
      <c r="E242" s="36" t="n">
        <v>0.249847706754774</v>
      </c>
      <c r="F242" s="36" t="n">
        <v>-0.00872487417562521</v>
      </c>
    </row>
    <row r="243">
      <c r="A243" t="s">
        <v>350</v>
      </c>
      <c r="B243" t="s">
        <v>32</v>
      </c>
      <c r="C243" t="s">
        <v>592</v>
      </c>
      <c r="D243" t="n">
        <v>2</v>
      </c>
      <c r="E243" s="36" t="n">
        <v>0.248630473842068</v>
      </c>
      <c r="F243" s="36" t="n">
        <v>-0.0261321158169134</v>
      </c>
    </row>
    <row r="244">
      <c r="A244" t="s">
        <v>350</v>
      </c>
      <c r="B244" t="s">
        <v>32</v>
      </c>
      <c r="C244" t="s">
        <v>592</v>
      </c>
      <c r="D244" t="n">
        <v>3</v>
      </c>
      <c r="E244" s="36" t="n">
        <v>0.237764129073788</v>
      </c>
      <c r="F244" s="36" t="n">
        <v>-0.0772542485937369</v>
      </c>
    </row>
    <row r="245">
      <c r="A245" t="s">
        <v>350</v>
      </c>
      <c r="B245" t="s">
        <v>32</v>
      </c>
      <c r="C245" t="s">
        <v>592</v>
      </c>
      <c r="D245" t="n">
        <v>4</v>
      </c>
      <c r="E245" s="36" t="n">
        <v>0.234923155196477</v>
      </c>
      <c r="F245" s="36" t="n">
        <v>-0.0855050358314172</v>
      </c>
    </row>
    <row r="246">
      <c r="A246" t="s">
        <v>350</v>
      </c>
      <c r="B246" t="s">
        <v>32</v>
      </c>
      <c r="C246" t="s">
        <v>592</v>
      </c>
      <c r="D246" t="n">
        <v>5</v>
      </c>
      <c r="E246" s="36" t="n">
        <v>0.0695865504800327</v>
      </c>
      <c r="F246" s="36" t="n">
        <v>-0.495134034370785</v>
      </c>
    </row>
    <row r="247">
      <c r="A247" t="s">
        <v>350</v>
      </c>
      <c r="B247" t="s">
        <v>32</v>
      </c>
      <c r="C247" t="s">
        <v>592</v>
      </c>
      <c r="D247" t="n">
        <v>6</v>
      </c>
      <c r="E247" s="36" t="n">
        <v>-0.0695865504800329</v>
      </c>
      <c r="F247" s="36" t="n">
        <v>-0.495134034370785</v>
      </c>
    </row>
    <row r="248">
      <c r="A248" t="s">
        <v>350</v>
      </c>
      <c r="B248" t="s">
        <v>32</v>
      </c>
      <c r="C248" t="s">
        <v>592</v>
      </c>
      <c r="D248" t="n">
        <v>7</v>
      </c>
      <c r="E248" s="36" t="n">
        <v>-0.606762745781211</v>
      </c>
      <c r="F248" s="36" t="n">
        <v>-0.440838939219355</v>
      </c>
    </row>
    <row r="249">
      <c r="A249" t="s">
        <v>350</v>
      </c>
      <c r="B249" t="s">
        <v>32</v>
      </c>
      <c r="C249" t="s">
        <v>592</v>
      </c>
      <c r="D249" t="n">
        <v>8</v>
      </c>
      <c r="E249" s="36" t="n">
        <v>-0.704769465589431</v>
      </c>
      <c r="F249" s="36" t="n">
        <v>0.256515107494252</v>
      </c>
    </row>
    <row r="250">
      <c r="A250" t="s">
        <v>350</v>
      </c>
      <c r="B250" t="s">
        <v>32</v>
      </c>
      <c r="C250" t="s">
        <v>592</v>
      </c>
      <c r="D250" t="n">
        <v>9</v>
      </c>
      <c r="E250" s="36" t="n">
        <v>-0.30505248230685</v>
      </c>
      <c r="F250" s="36" t="n">
        <v>0.685159093231951</v>
      </c>
    </row>
    <row r="251">
      <c r="A251" t="s">
        <v>350</v>
      </c>
      <c r="B251" t="s">
        <v>32</v>
      </c>
      <c r="C251" t="s">
        <v>592</v>
      </c>
      <c r="D251" t="n">
        <v>10</v>
      </c>
      <c r="E251" s="36" t="n">
        <v>0.10395584540888</v>
      </c>
      <c r="F251" s="36" t="n">
        <v>0.489073800366903</v>
      </c>
    </row>
    <row r="252">
      <c r="A252" t="s">
        <v>350</v>
      </c>
      <c r="B252" t="s">
        <v>32</v>
      </c>
      <c r="C252" t="s">
        <v>592</v>
      </c>
      <c r="D252" t="n">
        <v>11</v>
      </c>
      <c r="E252" s="36" t="n">
        <v>0.237764129073788</v>
      </c>
      <c r="F252" s="36" t="n">
        <v>0.0772542485937368</v>
      </c>
    </row>
    <row r="253">
      <c r="A253" t="s">
        <v>350</v>
      </c>
      <c r="B253" t="s">
        <v>32</v>
      </c>
      <c r="C253" t="s">
        <v>592</v>
      </c>
      <c r="D253" t="n">
        <v>12</v>
      </c>
      <c r="E253" s="36" t="n">
        <v>0.242573931568999</v>
      </c>
      <c r="F253" s="36" t="n">
        <v>0.0604804738999169</v>
      </c>
    </row>
    <row r="254">
      <c r="A254" t="s">
        <v>350</v>
      </c>
      <c r="B254" t="s">
        <v>32</v>
      </c>
      <c r="C254" t="s">
        <v>592</v>
      </c>
      <c r="D254" t="n">
        <v>13</v>
      </c>
      <c r="E254" s="36" t="n">
        <v>0.244536900183451</v>
      </c>
      <c r="F254" s="36" t="n">
        <v>0.0519779227044398</v>
      </c>
    </row>
    <row r="255">
      <c r="A255" t="s">
        <v>350</v>
      </c>
      <c r="B255" t="s">
        <v>32</v>
      </c>
      <c r="C255" t="s">
        <v>592</v>
      </c>
      <c r="D255" t="n">
        <v>14</v>
      </c>
      <c r="E255" s="36" t="n">
        <v>0.246201938253052</v>
      </c>
      <c r="F255" s="36" t="n">
        <v>0.0434120444167326</v>
      </c>
    </row>
    <row r="256">
      <c r="A256" t="s">
        <v>350</v>
      </c>
      <c r="B256" t="s">
        <v>32</v>
      </c>
      <c r="C256" t="s">
        <v>592</v>
      </c>
      <c r="D256" t="n">
        <v>15</v>
      </c>
      <c r="E256" s="36" t="n">
        <v>0.249847706754774</v>
      </c>
      <c r="F256" s="36" t="n">
        <v>0.00872487417562524</v>
      </c>
    </row>
    <row r="257">
      <c r="A257" t="s">
        <v>350</v>
      </c>
      <c r="B257" t="s">
        <v>32</v>
      </c>
      <c r="C257" t="s">
        <v>593</v>
      </c>
      <c r="D257" t="n">
        <v>1</v>
      </c>
      <c r="E257" s="36" t="n">
        <v>0.00337991639495556</v>
      </c>
      <c r="F257" s="36" t="n">
        <v>-0.00970625141531273</v>
      </c>
    </row>
    <row r="258">
      <c r="A258" t="s">
        <v>350</v>
      </c>
      <c r="B258" t="s">
        <v>32</v>
      </c>
      <c r="C258" t="s">
        <v>593</v>
      </c>
      <c r="D258" t="n">
        <v>2</v>
      </c>
      <c r="E258" s="36" t="n">
        <v>0.00130933168528238</v>
      </c>
      <c r="F258" s="36" t="n">
        <v>-0.0166684484305776</v>
      </c>
    </row>
    <row r="259">
      <c r="A259" t="s">
        <v>350</v>
      </c>
      <c r="B259" t="s">
        <v>32</v>
      </c>
      <c r="C259" t="s">
        <v>593</v>
      </c>
      <c r="D259" t="n">
        <v>3</v>
      </c>
      <c r="E259" s="36" t="n">
        <v>-0.0138529628165266</v>
      </c>
      <c r="F259" s="36" t="n">
        <v>-0.0314320368144199</v>
      </c>
    </row>
    <row r="260">
      <c r="A260" t="s">
        <v>350</v>
      </c>
      <c r="B260" t="s">
        <v>32</v>
      </c>
      <c r="C260" t="s">
        <v>593</v>
      </c>
      <c r="D260" t="n">
        <v>4</v>
      </c>
      <c r="E260" s="36" t="n">
        <v>-0.0269363039207023</v>
      </c>
      <c r="F260" s="36" t="n">
        <v>-0.0400096842246024</v>
      </c>
    </row>
    <row r="261">
      <c r="A261" t="s">
        <v>350</v>
      </c>
      <c r="B261" t="s">
        <v>32</v>
      </c>
      <c r="C261" t="s">
        <v>593</v>
      </c>
      <c r="D261" t="n">
        <v>5</v>
      </c>
      <c r="E261" s="36" t="n">
        <v>-0.0362494448694691</v>
      </c>
      <c r="F261" s="36" t="n">
        <v>-0.0418998144625795</v>
      </c>
    </row>
    <row r="262">
      <c r="A262" t="s">
        <v>350</v>
      </c>
      <c r="B262" t="s">
        <v>32</v>
      </c>
      <c r="C262" t="s">
        <v>593</v>
      </c>
      <c r="D262" t="n">
        <v>6</v>
      </c>
      <c r="E262" s="36" t="n">
        <v>-0.0573930822511673</v>
      </c>
      <c r="F262" s="36" t="n">
        <v>-0.0459182174248429</v>
      </c>
    </row>
    <row r="263">
      <c r="A263" t="s">
        <v>350</v>
      </c>
      <c r="B263" t="s">
        <v>32</v>
      </c>
      <c r="C263" t="s">
        <v>593</v>
      </c>
      <c r="D263" t="n">
        <v>7</v>
      </c>
      <c r="E263" s="36" t="n">
        <v>-0.074565770789301</v>
      </c>
      <c r="F263" s="36" t="n">
        <v>-0.0409945911540847</v>
      </c>
    </row>
    <row r="264">
      <c r="A264" t="s">
        <v>350</v>
      </c>
      <c r="B264" t="s">
        <v>32</v>
      </c>
      <c r="C264" t="s">
        <v>593</v>
      </c>
      <c r="D264" t="n">
        <v>8</v>
      </c>
      <c r="E264" s="36" t="n">
        <v>-0.0839479421273812</v>
      </c>
      <c r="F264" s="36" t="n">
        <v>-0.0363220167772918</v>
      </c>
    </row>
    <row r="265">
      <c r="A265" t="s">
        <v>350</v>
      </c>
      <c r="B265" t="s">
        <v>32</v>
      </c>
      <c r="C265" t="s">
        <v>593</v>
      </c>
      <c r="D265" t="n">
        <v>9</v>
      </c>
      <c r="E265" s="36" t="n">
        <v>-0.0991577529626711</v>
      </c>
      <c r="F265" s="36" t="n">
        <v>-0.0226587780807521</v>
      </c>
    </row>
    <row r="266">
      <c r="A266" t="s">
        <v>350</v>
      </c>
      <c r="B266" t="s">
        <v>32</v>
      </c>
      <c r="C266" t="s">
        <v>593</v>
      </c>
      <c r="D266" t="n">
        <v>10</v>
      </c>
      <c r="E266" s="36" t="n">
        <v>-0.103311385287294</v>
      </c>
      <c r="F266" s="36" t="n">
        <v>-0.0165056107847079</v>
      </c>
    </row>
    <row r="267">
      <c r="A267" t="s">
        <v>350</v>
      </c>
      <c r="B267" t="s">
        <v>32</v>
      </c>
      <c r="C267" t="s">
        <v>593</v>
      </c>
      <c r="D267" t="n">
        <v>11</v>
      </c>
      <c r="E267" s="36" t="n">
        <v>-0.103720458454583</v>
      </c>
      <c r="F267" s="36" t="n">
        <v>-0.0132040371075574</v>
      </c>
    </row>
    <row r="268">
      <c r="A268" t="s">
        <v>350</v>
      </c>
      <c r="B268" t="s">
        <v>32</v>
      </c>
      <c r="C268" t="s">
        <v>593</v>
      </c>
      <c r="D268" t="n">
        <v>12</v>
      </c>
      <c r="E268" s="36" t="n">
        <v>-0.0933652091658159</v>
      </c>
      <c r="F268" s="36" t="n">
        <v>0.0144153641600004</v>
      </c>
    </row>
    <row r="269">
      <c r="A269" t="s">
        <v>350</v>
      </c>
      <c r="B269" t="s">
        <v>32</v>
      </c>
      <c r="C269" t="s">
        <v>593</v>
      </c>
      <c r="D269" t="n">
        <v>13</v>
      </c>
      <c r="E269" s="36" t="n">
        <v>-0.0795400624378502</v>
      </c>
      <c r="F269" s="36" t="n">
        <v>0.0309795719487075</v>
      </c>
    </row>
    <row r="270">
      <c r="A270" t="s">
        <v>350</v>
      </c>
      <c r="B270" t="s">
        <v>32</v>
      </c>
      <c r="C270" t="s">
        <v>593</v>
      </c>
      <c r="D270" t="n">
        <v>14</v>
      </c>
      <c r="E270" s="36" t="n">
        <v>-0.0563407453796275</v>
      </c>
      <c r="F270" s="36" t="n">
        <v>0.0384337249284253</v>
      </c>
    </row>
    <row r="271">
      <c r="A271" t="s">
        <v>350</v>
      </c>
      <c r="B271" t="s">
        <v>32</v>
      </c>
      <c r="C271" t="s">
        <v>593</v>
      </c>
      <c r="D271" t="n">
        <v>15</v>
      </c>
      <c r="E271" s="36" t="n">
        <v>-0.0457124370859922</v>
      </c>
      <c r="F271" s="36" t="n">
        <v>0.041444194997447</v>
      </c>
    </row>
    <row r="272">
      <c r="A272" t="s">
        <v>350</v>
      </c>
      <c r="B272" t="s">
        <v>32</v>
      </c>
      <c r="C272" t="s">
        <v>593</v>
      </c>
      <c r="D272" t="n">
        <v>16</v>
      </c>
      <c r="E272" s="36" t="n">
        <v>-0.0232365341421383</v>
      </c>
      <c r="F272" s="36" t="n">
        <v>0.0390876416879437</v>
      </c>
    </row>
    <row r="273">
      <c r="A273" t="s">
        <v>350</v>
      </c>
      <c r="B273" t="s">
        <v>32</v>
      </c>
      <c r="C273" t="s">
        <v>593</v>
      </c>
      <c r="D273" t="n">
        <v>17</v>
      </c>
      <c r="E273" s="36" t="n">
        <v>-0.0107057078071274</v>
      </c>
      <c r="F273" s="36" t="n">
        <v>0.0354178716735025</v>
      </c>
    </row>
    <row r="274">
      <c r="A274" t="s">
        <v>350</v>
      </c>
      <c r="B274" t="s">
        <v>32</v>
      </c>
      <c r="C274" t="s">
        <v>593</v>
      </c>
      <c r="D274" t="n">
        <v>18</v>
      </c>
      <c r="E274" s="36" t="n">
        <v>-0.00491303375007479</v>
      </c>
      <c r="F274" s="36" t="n">
        <v>0.0321869002166599</v>
      </c>
    </row>
    <row r="275">
      <c r="A275" t="s">
        <v>350</v>
      </c>
      <c r="B275" t="s">
        <v>32</v>
      </c>
      <c r="C275" t="s">
        <v>593</v>
      </c>
      <c r="D275" t="n">
        <v>19</v>
      </c>
      <c r="E275" s="36" t="n">
        <v>-0.00100684810825143</v>
      </c>
      <c r="F275" s="36" t="n">
        <v>0.02696586635</v>
      </c>
    </row>
    <row r="276">
      <c r="A276" t="s">
        <v>350</v>
      </c>
      <c r="B276" t="s">
        <v>32</v>
      </c>
      <c r="C276" t="s">
        <v>593</v>
      </c>
      <c r="D276" t="n">
        <v>20</v>
      </c>
      <c r="E276" s="36" t="n">
        <v>0.00465579721707858</v>
      </c>
      <c r="F276" s="36" t="n">
        <v>0.0126379316099229</v>
      </c>
    </row>
    <row r="277">
      <c r="A277" t="s">
        <v>350</v>
      </c>
      <c r="B277" t="s">
        <v>32</v>
      </c>
      <c r="C277" t="s">
        <v>593</v>
      </c>
      <c r="D277" t="n">
        <v>21</v>
      </c>
      <c r="E277" s="36" t="n">
        <v>0.00519199595676987</v>
      </c>
      <c r="F277" s="36" t="n">
        <v>0.000483992171036464</v>
      </c>
    </row>
    <row r="279">
      <c r="A279" s="1" t="s">
        <v>594</v>
      </c>
    </row>
    <row r="280">
      <c r="A280" t="s">
        <v>1</v>
      </c>
    </row>
    <row r="281">
      <c r="A281" t="s">
        <v>595</v>
      </c>
    </row>
    <row r="282">
      <c r="A282" t="s">
        <v>596</v>
      </c>
    </row>
    <row r="283">
      <c r="A283" t="s">
        <v>597</v>
      </c>
    </row>
    <row r="284">
      <c r="A284" t="s">
        <v>598</v>
      </c>
    </row>
    <row r="285">
      <c r="A285" t="s">
        <v>2023</v>
      </c>
    </row>
    <row r="286">
      <c r="A286" t="s">
        <v>600</v>
      </c>
    </row>
    <row r="287">
      <c r="A287" t="s">
        <v>601</v>
      </c>
    </row>
    <row r="288">
      <c r="A288" t="s">
        <v>602</v>
      </c>
    </row>
    <row r="289">
      <c r="A289" t="s">
        <v>603</v>
      </c>
    </row>
    <row r="290">
      <c r="A290" t="s">
        <v>604</v>
      </c>
    </row>
  </sheetData>
  <pageMargins left="0.7" right="0.7" top="0.75" bottom="0.75" header="0.3" footer="0.3"/>
  <pageSetup paperSize="9" orientation="portrait" horizontalDpi="300" verticalDpi="300" r:id="rId2"/>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30.71" hidden="0" customWidth="1"/>
    <col min="2" max="2" width="80.71" hidden="0" customWidth="1"/>
  </cols>
  <sheetData>
    <row r="1">
      <c r="A1" t="s">
        <v>1707</v>
      </c>
      <c r="B1" t="s">
        <v>5</v>
      </c>
    </row>
    <row r="2">
      <c r="A2" t="s">
        <v>2258</v>
      </c>
      <c r="B2" t="s">
        <v>2259</v>
      </c>
    </row>
    <row r="3">
      <c r="A3" t="s">
        <v>2260</v>
      </c>
      <c r="B3" t="s">
        <v>2261</v>
      </c>
    </row>
    <row r="4">
      <c r="A4" t="s">
        <v>2262</v>
      </c>
      <c r="B4" t="s">
        <v>2263</v>
      </c>
    </row>
    <row r="5">
      <c r="A5" t="s">
        <v>2264</v>
      </c>
      <c r="B5" t="s">
        <v>2265</v>
      </c>
    </row>
    <row r="6">
      <c r="A6" t="s">
        <v>2266</v>
      </c>
      <c r="B6" t="s">
        <v>2267</v>
      </c>
    </row>
    <row r="7">
      <c r="A7" t="s">
        <v>2268</v>
      </c>
      <c r="B7" t="s">
        <v>2269</v>
      </c>
    </row>
    <row r="8">
      <c r="A8" t="s">
        <v>2270</v>
      </c>
      <c r="B8" t="s">
        <v>2271</v>
      </c>
    </row>
    <row r="9">
      <c r="A9" t="s">
        <v>2272</v>
      </c>
      <c r="B9" t="s">
        <v>2273</v>
      </c>
    </row>
    <row r="10">
      <c r="A10" t="s">
        <v>2274</v>
      </c>
      <c r="B10" t="s">
        <v>2275</v>
      </c>
    </row>
    <row r="11">
      <c r="A11" t="s">
        <v>2276</v>
      </c>
      <c r="B11" t="s">
        <v>2277</v>
      </c>
    </row>
    <row r="12">
      <c r="A12" t="s">
        <v>2278</v>
      </c>
      <c r="B12" t="s">
        <v>2279</v>
      </c>
    </row>
    <row r="13">
      <c r="A13" t="s">
        <v>2280</v>
      </c>
      <c r="B13" t="s">
        <v>2281</v>
      </c>
    </row>
    <row r="14">
      <c r="A14" t="s">
        <v>2282</v>
      </c>
      <c r="B14" t="s">
        <v>2283</v>
      </c>
    </row>
    <row r="15">
      <c r="A15" t="s">
        <v>2284</v>
      </c>
      <c r="B15" t="s">
        <v>2285</v>
      </c>
    </row>
    <row r="16">
      <c r="A16" t="s">
        <v>2286</v>
      </c>
      <c r="B16" t="s">
        <v>9</v>
      </c>
    </row>
    <row r="17">
      <c r="A17" t="s">
        <v>605</v>
      </c>
      <c r="B17" t="s">
        <v>2287</v>
      </c>
    </row>
    <row r="18">
      <c r="A18" t="s">
        <v>28</v>
      </c>
      <c r="B18" t="s">
        <v>2288</v>
      </c>
    </row>
    <row r="19">
      <c r="A19" t="s">
        <v>1726</v>
      </c>
      <c r="B19" t="s">
        <v>30</v>
      </c>
    </row>
    <row r="20">
      <c r="A20" t="s">
        <v>2289</v>
      </c>
      <c r="B20" t="s">
        <v>2290</v>
      </c>
    </row>
    <row r="21">
      <c r="A21" t="s">
        <v>2291</v>
      </c>
      <c r="B21" t="s">
        <v>2292</v>
      </c>
    </row>
    <row r="22">
      <c r="A22" t="s">
        <v>2293</v>
      </c>
      <c r="B22" t="s">
        <v>2294</v>
      </c>
    </row>
    <row r="23">
      <c r="A23" t="s">
        <v>2295</v>
      </c>
      <c r="B23" t="s">
        <v>2296</v>
      </c>
    </row>
    <row r="24">
      <c r="A24" t="s">
        <v>2297</v>
      </c>
      <c r="B24" t="s">
        <v>2298</v>
      </c>
    </row>
    <row r="25">
      <c r="A25" t="s">
        <v>2299</v>
      </c>
      <c r="B25" t="s">
        <v>2300</v>
      </c>
    </row>
    <row r="26">
      <c r="A26" t="s">
        <v>1731</v>
      </c>
      <c r="B26" t="s">
        <v>2301</v>
      </c>
    </row>
    <row r="27">
      <c r="A27" t="s">
        <v>2302</v>
      </c>
      <c r="B27" t="s">
        <v>2303</v>
      </c>
    </row>
    <row r="28">
      <c r="A28" t="s">
        <v>2304</v>
      </c>
      <c r="B28" t="s">
        <v>2305</v>
      </c>
    </row>
    <row r="29">
      <c r="A29" t="s">
        <v>2306</v>
      </c>
      <c r="B29" t="s">
        <v>2307</v>
      </c>
    </row>
    <row r="30">
      <c r="A30" t="s">
        <v>2308</v>
      </c>
      <c r="B30" t="s">
        <v>2309</v>
      </c>
    </row>
    <row r="31">
      <c r="A31" t="s">
        <v>2310</v>
      </c>
      <c r="B31" t="s">
        <v>2311</v>
      </c>
    </row>
    <row r="32">
      <c r="A32" t="s">
        <v>1729</v>
      </c>
      <c r="B32" t="s">
        <v>1730</v>
      </c>
    </row>
    <row r="33">
      <c r="A33" t="s">
        <v>2312</v>
      </c>
      <c r="B33" t="s">
        <v>2313</v>
      </c>
    </row>
    <row r="34">
      <c r="A34" t="s">
        <v>2314</v>
      </c>
      <c r="B34" t="s">
        <v>1581</v>
      </c>
    </row>
    <row r="35">
      <c r="A35" t="s">
        <v>2315</v>
      </c>
      <c r="B35" t="s">
        <v>2316</v>
      </c>
    </row>
    <row r="36">
      <c r="A36" t="s">
        <v>2317</v>
      </c>
      <c r="B36" t="s">
        <v>2318</v>
      </c>
    </row>
    <row r="37">
      <c r="A37" t="s">
        <v>2319</v>
      </c>
      <c r="B37" t="s">
        <v>2320</v>
      </c>
    </row>
    <row r="38">
      <c r="A38" t="s">
        <v>2321</v>
      </c>
      <c r="B38" t="s">
        <v>1581</v>
      </c>
    </row>
    <row r="39">
      <c r="A39" t="s">
        <v>2322</v>
      </c>
      <c r="B39" t="s">
        <v>2318</v>
      </c>
    </row>
    <row r="40">
      <c r="A40" t="s">
        <v>2323</v>
      </c>
      <c r="B40" t="s">
        <v>2324</v>
      </c>
    </row>
    <row r="41">
      <c r="A41" t="s">
        <v>2325</v>
      </c>
      <c r="B41" t="s">
        <v>2326</v>
      </c>
    </row>
    <row r="42">
      <c r="A42" t="s">
        <v>2327</v>
      </c>
      <c r="B42" t="s">
        <v>2328</v>
      </c>
    </row>
    <row r="43">
      <c r="A43" t="s">
        <v>2329</v>
      </c>
      <c r="B43" t="s">
        <v>2330</v>
      </c>
    </row>
    <row r="44">
      <c r="A44" t="s">
        <v>2331</v>
      </c>
      <c r="B44" t="s">
        <v>2332</v>
      </c>
    </row>
    <row r="45">
      <c r="A45" t="s">
        <v>2333</v>
      </c>
      <c r="B45" t="s">
        <v>2334</v>
      </c>
    </row>
    <row r="46">
      <c r="A46" t="s">
        <v>2335</v>
      </c>
      <c r="B46" t="s">
        <v>2336</v>
      </c>
    </row>
    <row r="47">
      <c r="A47" t="s">
        <v>2337</v>
      </c>
      <c r="B47" t="s">
        <v>2338</v>
      </c>
    </row>
    <row r="48">
      <c r="A48" t="s">
        <v>2339</v>
      </c>
      <c r="B48" t="s">
        <v>2340</v>
      </c>
    </row>
    <row r="49">
      <c r="A49" t="s">
        <v>2341</v>
      </c>
      <c r="B49" t="s">
        <v>2342</v>
      </c>
    </row>
  </sheetData>
  <pageMargins left="0.7" right="0.7" top="0.75" bottom="0.75" header="0.3" footer="0.3"/>
  <pageSetup paperSize="9" orientation="portrait" horizontalDpi="300" verticalDpi="300" r:id="rId2"/>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34.71" hidden="0" customWidth="1"/>
    <col min="2" max="2" width="44.71" hidden="0" customWidth="1"/>
    <col min="3" max="3" width="90.71" hidden="0" customWidth="1"/>
  </cols>
  <sheetData>
    <row r="1">
      <c r="A1" t="s">
        <v>2280</v>
      </c>
      <c r="B1" t="s">
        <v>2343</v>
      </c>
      <c r="C1" t="s">
        <v>4</v>
      </c>
    </row>
    <row r="2">
      <c r="A2" s="39" t="str">
        <f>HYPERLINK("#'Manifest'!A1", "Manifest")</f>
      </c>
      <c r="B2" t="s">
        <v>2344</v>
      </c>
      <c r="C2" t="s">
        <v>2345</v>
      </c>
    </row>
    <row r="3">
      <c r="A3" s="39" t="str">
        <f>HYPERLINK("#'Overview'!A1", "Overview")</f>
      </c>
      <c r="B3" t="s">
        <v>2346</v>
      </c>
      <c r="C3" t="s">
        <v>2347</v>
      </c>
    </row>
    <row r="4">
      <c r="A4" s="39" t="str">
        <f>HYPERLINK("#'Baseline &amp; Preop Summary'!A1", "Baseline &amp; Preop Summary")</f>
      </c>
      <c r="B4" t="s">
        <v>2348</v>
      </c>
      <c r="C4" t="s">
        <v>2349</v>
      </c>
    </row>
    <row r="5">
      <c r="A5" s="39" t="str">
        <f>HYPERLINK("#'Outcome Summary'!A1", "Outcome Summary")</f>
      </c>
      <c r="B5" t="s">
        <v>2350</v>
      </c>
      <c r="C5" t="s">
        <v>2351</v>
      </c>
    </row>
    <row r="6">
      <c r="A6" s="39" t="str">
        <f>HYPERLINK("#'Publication Table'!A1", "Publication Table")</f>
      </c>
      <c r="B6" t="s">
        <v>2352</v>
      </c>
      <c r="C6" t="s">
        <v>2353</v>
      </c>
    </row>
    <row r="7">
      <c r="A7" s="39" t="str">
        <f>HYPERLINK("#'mEYEstro_Reference'!A1", "mEYEstro_Reference")</f>
      </c>
      <c r="B7" t="s">
        <v>2354</v>
      </c>
      <c r="C7" t="s">
        <v>2355</v>
      </c>
    </row>
    <row r="8">
      <c r="A8" s="39" t="str">
        <f>HYPERLINK("#'mEYEstro_Cohort A'!A1", "mEYEstro_Cohort A")</f>
      </c>
      <c r="B8" t="s">
        <v>2356</v>
      </c>
      <c r="C8" t="s">
        <v>2355</v>
      </c>
    </row>
    <row r="9">
      <c r="A9" s="39" t="str">
        <f>HYPERLINK("#'mEYEstro_Cohort B'!A1", "mEYEstro_Cohort B")</f>
      </c>
      <c r="B9" t="s">
        <v>2357</v>
      </c>
      <c r="C9" t="s">
        <v>2355</v>
      </c>
    </row>
    <row r="10">
      <c r="A10" s="39" t="str">
        <f>HYPERLINK("#'AstigMATIC_Reference'!A1", "AstigMATIC_Reference")</f>
      </c>
      <c r="B10" t="s">
        <v>2358</v>
      </c>
      <c r="C10" t="s">
        <v>2359</v>
      </c>
    </row>
    <row r="11">
      <c r="A11" s="39" t="str">
        <f>HYPERLINK("#'AstigMATIC_Cohort A'!A1", "AstigMATIC_Cohort A")</f>
      </c>
      <c r="B11" t="s">
        <v>2360</v>
      </c>
      <c r="C11" t="s">
        <v>2359</v>
      </c>
    </row>
    <row r="12">
      <c r="A12" s="39" t="str">
        <f>HYPERLINK("#'AstigMATIC_Cohort B'!A1", "AstigMATIC_Cohort B")</f>
      </c>
      <c r="B12" t="s">
        <v>2361</v>
      </c>
      <c r="C12" t="s">
        <v>2359</v>
      </c>
    </row>
    <row r="13">
      <c r="A13" s="39" t="str">
        <f>HYPERLINK("#'Astigmatism (JCRS 2025)'!A1", "Astigmatism (JCRS 2025)")</f>
      </c>
      <c r="B13" t="s">
        <v>2362</v>
      </c>
      <c r="C13" t="s">
        <v>2363</v>
      </c>
    </row>
    <row r="14">
      <c r="A14" s="39" t="str">
        <f>HYPERLINK("#'Astigmatism vectors'!A1", "Astigmatism vectors")</f>
      </c>
      <c r="B14" t="s">
        <v>2323</v>
      </c>
      <c r="C14" t="s">
        <v>2364</v>
      </c>
    </row>
    <row r="15">
      <c r="A15" s="39" t="str">
        <f>HYPERLINK("#'GEE_Main_Unmatched_Base'!A1", "GEE_Main_Unmatched_Base")</f>
      </c>
      <c r="B15" t="s">
        <v>2365</v>
      </c>
      <c r="C15" t="s">
        <v>2366</v>
      </c>
    </row>
    <row r="16">
      <c r="A16" s="39" t="str">
        <f>HYPERLINK("#'GEE_Main_Unmatched_Preop'!A1", "GEE_Main_Unmatched_Preop")</f>
      </c>
      <c r="B16" t="s">
        <v>2367</v>
      </c>
      <c r="C16" t="s">
        <v>2366</v>
      </c>
    </row>
    <row r="17">
      <c r="A17" s="39" t="str">
        <f>HYPERLINK("#'GEE_Main_Unmatched_Out'!A1", "GEE_Main_Unmatched_Out")</f>
      </c>
      <c r="B17" t="s">
        <v>2368</v>
      </c>
      <c r="C17" t="s">
        <v>2366</v>
      </c>
    </row>
    <row r="18">
      <c r="A18" s="39" t="str">
        <f>HYPERLINK("#'GEE_Adj_Unmatched_Base'!A1", "GEE_Adj_Unmatched_Base")</f>
      </c>
      <c r="B18" t="s">
        <v>2369</v>
      </c>
      <c r="C18" t="s">
        <v>2370</v>
      </c>
    </row>
    <row r="19">
      <c r="A19" s="39" t="str">
        <f>HYPERLINK("#'GEE_Adj_Unmatched_Preop'!A1", "GEE_Adj_Unmatched_Preop")</f>
      </c>
      <c r="B19" t="s">
        <v>2371</v>
      </c>
      <c r="C19" t="s">
        <v>2370</v>
      </c>
    </row>
    <row r="20">
      <c r="A20" s="39" t="str">
        <f>HYPERLINK("#'GEE_Adj_Unmatched_Out'!A1", "GEE_Adj_Unmatched_Out")</f>
      </c>
      <c r="B20" t="s">
        <v>2372</v>
      </c>
      <c r="C20" t="s">
        <v>2370</v>
      </c>
    </row>
    <row r="21">
      <c r="A21" s="39" t="str">
        <f>HYPERLINK("#'Regression (adjusted)'!A1", "Regression (adjusted)")</f>
      </c>
      <c r="B21" t="s">
        <v>2373</v>
      </c>
      <c r="C21" t="s">
        <v>2374</v>
      </c>
    </row>
    <row r="22">
      <c r="A22" s="39" t="str">
        <f>HYPERLINK("#'PSM_Cohort A_vs_Reference'!A1", "PSM_Cohort A_vs_Reference")</f>
      </c>
      <c r="B22" t="s">
        <v>2375</v>
      </c>
      <c r="C22" t="s">
        <v>2376</v>
      </c>
    </row>
    <row r="23">
      <c r="A23" s="39" t="str">
        <f>HYPERLINK("#'GEE_M_Cohort A_vs_Reference'!A1", "GEE_M_Cohort A_vs_Reference")</f>
      </c>
      <c r="B23" t="s">
        <v>2377</v>
      </c>
      <c r="C23" t="s">
        <v>2378</v>
      </c>
    </row>
    <row r="24">
      <c r="A24" s="39" t="str">
        <f>HYPERLINK("#'GEE_Adj_M_Cohort A_vs_Reference'!A1", "GEE_Adj_M_Cohort A_vs_Reference")</f>
      </c>
      <c r="B24" t="s">
        <v>2379</v>
      </c>
      <c r="C24" t="s">
        <v>2380</v>
      </c>
    </row>
    <row r="25">
      <c r="A25" s="39" t="str">
        <f>HYPERLINK("#'Reg_M_Cohort A_vs_Reference'!A1", "Reg_M_Cohort A_vs_Reference")</f>
      </c>
      <c r="B25" t="s">
        <v>2381</v>
      </c>
      <c r="C25" t="s">
        <v>2382</v>
      </c>
    </row>
    <row r="26">
      <c r="A26" s="39" t="str">
        <f>HYPERLINK("#'BasePreop_M_Cohort A_vs_Referen'!A1", "BasePreop_M_Cohort A_vs_Referen")</f>
      </c>
      <c r="B26" t="s">
        <v>2384</v>
      </c>
      <c r="C26" t="s">
        <v>2385</v>
      </c>
    </row>
    <row r="27">
      <c r="A27" s="39" t="str">
        <f>HYPERLINK("#'Out_M_Cohort A_vs_Reference'!A1", "Out_M_Cohort A_vs_Reference")</f>
      </c>
      <c r="B27" t="s">
        <v>2386</v>
      </c>
      <c r="C27" t="s">
        <v>2387</v>
      </c>
    </row>
    <row r="28">
      <c r="A28" s="39" t="str">
        <f>HYPERLINK("#'Pub_M_Cohort A_vs_Reference'!A1", "Pub_M_Cohort A_vs_Reference")</f>
      </c>
      <c r="B28" t="s">
        <v>2388</v>
      </c>
      <c r="C28" t="s">
        <v>2389</v>
      </c>
    </row>
    <row r="29">
      <c r="A29" s="39" t="str">
        <f>HYPERLINK("#'mEYEstro_M1_Reference'!A1", "mEYEstro_M1_Reference")</f>
      </c>
      <c r="B29" t="s">
        <v>2391</v>
      </c>
      <c r="C29" t="s">
        <v>2392</v>
      </c>
    </row>
    <row r="30">
      <c r="A30" s="39" t="str">
        <f>HYPERLINK("#'mEYEstro_M1_Cohort A'!A1", "mEYEstro_M1_Cohort A")</f>
      </c>
      <c r="B30" t="s">
        <v>2394</v>
      </c>
      <c r="C30" t="s">
        <v>2392</v>
      </c>
    </row>
    <row r="31">
      <c r="A31" s="39" t="str">
        <f>HYPERLINK("#'AstigMATIC_M1_Reference'!A1", "AstigMATIC_M1_Reference")</f>
      </c>
      <c r="B31" t="s">
        <v>2396</v>
      </c>
      <c r="C31" t="s">
        <v>2397</v>
      </c>
    </row>
    <row r="32">
      <c r="A32" s="39" t="str">
        <f>HYPERLINK("#'AstigMATIC_M1_Cohort A'!A1", "AstigMATIC_M1_Cohort A")</f>
      </c>
      <c r="B32" t="s">
        <v>2399</v>
      </c>
      <c r="C32" t="s">
        <v>2397</v>
      </c>
    </row>
    <row r="33">
      <c r="A33" s="39" t="str">
        <f>HYPERLINK("#'Astig_M_Cohort A_vs_Reference'!A1", "Astig_M_Cohort A_vs_Reference")</f>
      </c>
      <c r="B33" t="s">
        <v>2400</v>
      </c>
      <c r="C33" t="s">
        <v>2401</v>
      </c>
    </row>
    <row r="34">
      <c r="A34" s="39" t="str">
        <f>HYPERLINK("#'PSM_Cohort B_vs_Reference'!A1", "PSM_Cohort B_vs_Reference")</f>
      </c>
      <c r="B34" t="s">
        <v>2402</v>
      </c>
      <c r="C34" t="s">
        <v>2376</v>
      </c>
    </row>
    <row r="35">
      <c r="A35" s="39" t="str">
        <f>HYPERLINK("#'GEE_M_Cohort B_vs_Reference'!A1", "GEE_M_Cohort B_vs_Reference")</f>
      </c>
      <c r="B35" t="s">
        <v>2403</v>
      </c>
      <c r="C35" t="s">
        <v>2378</v>
      </c>
    </row>
    <row r="36">
      <c r="A36" s="39" t="str">
        <f>HYPERLINK("#'GEE_Adj_M_Cohort B_vs_Reference'!A1", "GEE_Adj_M_Cohort B_vs_Reference")</f>
      </c>
      <c r="B36" t="s">
        <v>2404</v>
      </c>
      <c r="C36" t="s">
        <v>2380</v>
      </c>
    </row>
    <row r="37">
      <c r="A37" s="39" t="str">
        <f>HYPERLINK("#'Reg_M_Cohort B_vs_Reference'!A1", "Reg_M_Cohort B_vs_Reference")</f>
      </c>
      <c r="B37" t="s">
        <v>2405</v>
      </c>
      <c r="C37" t="s">
        <v>2382</v>
      </c>
    </row>
    <row r="38">
      <c r="A38" s="39" t="str">
        <f>HYPERLINK("#'BasePreop_M_Cohort B_vs_Referen'!A1", "BasePreop_M_Cohort B_vs_Referen")</f>
      </c>
      <c r="B38" t="s">
        <v>2407</v>
      </c>
      <c r="C38" t="s">
        <v>2385</v>
      </c>
    </row>
    <row r="39">
      <c r="A39" s="39" t="str">
        <f>HYPERLINK("#'Out_M_Cohort B_vs_Reference'!A1", "Out_M_Cohort B_vs_Reference")</f>
      </c>
      <c r="B39" t="s">
        <v>2408</v>
      </c>
      <c r="C39" t="s">
        <v>2387</v>
      </c>
    </row>
    <row r="40">
      <c r="A40" s="39" t="str">
        <f>HYPERLINK("#'Pub_M_Cohort B_vs_Reference'!A1", "Pub_M_Cohort B_vs_Reference")</f>
      </c>
      <c r="B40" t="s">
        <v>2409</v>
      </c>
      <c r="C40" t="s">
        <v>2389</v>
      </c>
    </row>
    <row r="41">
      <c r="A41" s="39" t="str">
        <f>HYPERLINK("#'mEYEstro_M2_Reference'!A1", "mEYEstro_M2_Reference")</f>
      </c>
      <c r="B41" t="s">
        <v>2411</v>
      </c>
      <c r="C41" t="s">
        <v>2392</v>
      </c>
    </row>
    <row r="42">
      <c r="A42" s="39" t="str">
        <f>HYPERLINK("#'mEYEstro_M2_Cohort B'!A1", "mEYEstro_M2_Cohort B")</f>
      </c>
      <c r="B42" t="s">
        <v>2413</v>
      </c>
      <c r="C42" t="s">
        <v>2392</v>
      </c>
    </row>
    <row r="43">
      <c r="A43" s="39" t="str">
        <f>HYPERLINK("#'AstigMATIC_M2_Reference'!A1", "AstigMATIC_M2_Reference")</f>
      </c>
      <c r="B43" t="s">
        <v>2415</v>
      </c>
      <c r="C43" t="s">
        <v>2397</v>
      </c>
    </row>
    <row r="44">
      <c r="A44" s="39" t="str">
        <f>HYPERLINK("#'AstigMATIC_M2_Cohort B'!A1", "AstigMATIC_M2_Cohort B")</f>
      </c>
      <c r="B44" t="s">
        <v>2417</v>
      </c>
      <c r="C44" t="s">
        <v>2397</v>
      </c>
    </row>
    <row r="45">
      <c r="A45" s="39" t="str">
        <f>HYPERLINK("#'Astig_M_Cohort B_vs_Reference'!A1", "Astig_M_Cohort B_vs_Reference")</f>
      </c>
      <c r="B45" t="s">
        <v>2418</v>
      </c>
      <c r="C45" t="s">
        <v>2401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StandardEyes 1.1.0</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StandardEyes</dc:creator>
  <cp:lastModifiedBy>StandardEyes</cp:lastModifiedBy>
  <dcterms:created xsi:type="dcterms:W3CDTF">2026-10-13T23:47:45Z</dcterms:created>
</coreProperties>
</file>