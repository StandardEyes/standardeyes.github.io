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ables/table5.xml" ContentType="application/vnd.openxmlformats-officedocument.spreadsheetml.table+xml"/>
  <Override PartName="/xl/worksheets/sheet26.xml" ContentType="application/vnd.openxmlformats-officedocument.spreadsheetml.worksheet+xml"/>
  <Override PartName="/xl/tables/table6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"/>
  </bookViews>
  <sheets>
    <sheet name="Contents" sheetId="28" state="visible" r:id="rId28"/>
    <sheet name="Manifest" sheetId="27" state="visible" r:id="rId27"/>
    <sheet name="Overview" sheetId="1" state="visible" r:id="rId1"/>
    <sheet name="Baseline &amp; Preop Summary" sheetId="2" state="visible" r:id="rId2"/>
    <sheet name="Outcome Summary" sheetId="3" state="visible" r:id="rId3"/>
    <sheet name="Publication Table" sheetId="4" state="visible" r:id="rId4"/>
    <sheet name="mEYEstro_Control" sheetId="5" state="visible" r:id="rId5"/>
    <sheet name="mEYEstro_Diabetes" sheetId="6" state="visible" r:id="rId6"/>
    <sheet name="AstigMATIC_Control" sheetId="7" state="visible" r:id="rId7"/>
    <sheet name="AstigMATIC_Diabetes" sheetId="8" state="visible" r:id="rId8"/>
    <sheet name="GEE_Main_Unmatched_Base" sheetId="9" state="visible" r:id="rId9"/>
    <sheet name="GEE_Main_Unmatched_Preop" sheetId="10" state="visible" r:id="rId10"/>
    <sheet name="GEE_Main_Unmatched_Out" sheetId="11" state="visible" r:id="rId11"/>
    <sheet name="GEE_Adj_Unmatched_Base" sheetId="12" state="visible" r:id="rId12"/>
    <sheet name="GEE_Adj_Unmatched_Preop" sheetId="13" state="visible" r:id="rId13"/>
    <sheet name="GEE_Adj_Unmatched_Out" sheetId="14" state="visible" r:id="rId14"/>
    <sheet name="Regression (adjusted)" sheetId="15" state="visible" r:id="rId15"/>
    <sheet name="PSM_Diabetes_vs_Control" sheetId="16" state="visible" r:id="rId16"/>
    <sheet name="GEE_M_Diabetes_vs_Control" sheetId="17" state="visible" r:id="rId17"/>
    <sheet name="GEE_Adj_M_Diabetes_vs_Control" sheetId="18" state="visible" r:id="rId18"/>
    <sheet name="Reg_M_Diabetes_vs_Control" sheetId="19" state="visible" r:id="rId19"/>
    <sheet name="BasePreop_M_Diabetes_vs_Control" sheetId="20" state="visible" r:id="rId20"/>
    <sheet name="Out_M_Diabetes_vs_Control" sheetId="21" state="visible" r:id="rId21"/>
    <sheet name="Pub_M_Diabetes_vs_Control" sheetId="22" state="visible" r:id="rId22"/>
    <sheet name="mEYEstro_M_Control_Diabetes_vs_" sheetId="23" state="visible" r:id="rId23"/>
    <sheet name="mEYEstro_M_Diabetes_Diabetes_vs" sheetId="24" state="visible" r:id="rId24"/>
    <sheet name="AstigMATIC_M_Control_Diabetes_v" sheetId="25" state="visible" r:id="rId25"/>
    <sheet name="AstigMATIC_M_Diabetes_Diabetes_" sheetId="26" state="visible" r:id="rId26"/>
  </sheets>
</workbook>
</file>

<file path=xl/sharedStrings.xml><?xml version="1.0" encoding="utf-8"?>
<sst xmlns="http://schemas.openxmlformats.org/spreadsheetml/2006/main" count="954" uniqueCount="954">
  <si>
    <t xml:space="preserve">Notes</t>
  </si>
  <si>
    <t xml:space="preserve">Note</t>
  </si>
  <si>
    <t xml:space="preserve">Visual acuity analysed in logMAR (lower = better): Preop_UDVA, Preop_CDVA, Postop_UDVA, Postop_CDVA - converted from the recorded notation.</t>
  </si>
  <si>
    <t xml:space="preserve">Initial Summary</t>
  </si>
  <si>
    <t xml:space="preserve">Description</t>
  </si>
  <si>
    <t xml:space="preserve">Value</t>
  </si>
  <si>
    <t xml:space="preserve">Number of Patients</t>
  </si>
  <si>
    <t xml:space="preserve">95</t>
  </si>
  <si>
    <t xml:space="preserve">Number of Eyes</t>
  </si>
  <si>
    <t xml:space="preserve">150</t>
  </si>
  <si>
    <t xml:space="preserve">Mean Age (per patient)</t>
  </si>
  <si>
    <t xml:space="preserve">32.97</t>
  </si>
  <si>
    <t xml:space="preserve">SD Age (per patient)</t>
  </si>
  <si>
    <t xml:space="preserve">7.36</t>
  </si>
  <si>
    <t xml:space="preserve">Age Range (per patient)</t>
  </si>
  <si>
    <t xml:space="preserve">18 - 54</t>
  </si>
  <si>
    <t xml:space="preserve">Mean Follow-up Time (per eye)</t>
  </si>
  <si>
    <t xml:space="preserve">181.43</t>
  </si>
  <si>
    <t xml:space="preserve">SD Follow-up Time (per eye)</t>
  </si>
  <si>
    <t xml:space="preserve">84.82</t>
  </si>
  <si>
    <t xml:space="preserve">Median Follow-up Time [IQR] (per eye)</t>
  </si>
  <si>
    <t xml:space="preserve">171.5 [114.75–241.5]</t>
  </si>
  <si>
    <t xml:space="preserve">Sex (per patient)</t>
  </si>
  <si>
    <t xml:space="preserve">Sex</t>
  </si>
  <si>
    <t xml:space="preserve">Count</t>
  </si>
  <si>
    <t xml:space="preserve">Percentage</t>
  </si>
  <si>
    <t xml:space="preserve">F</t>
  </si>
  <si>
    <t xml:space="preserve">M</t>
  </si>
  <si>
    <t xml:space="preserve">Groups</t>
  </si>
  <si>
    <t xml:space="preserve">GroupLabel</t>
  </si>
  <si>
    <t xml:space="preserve">Control</t>
  </si>
  <si>
    <t xml:space="preserve">Diabetes</t>
  </si>
  <si>
    <t xml:space="preserve">QC - group assignment by source value</t>
  </si>
  <si>
    <t xml:space="preserve">Group_Source_Value</t>
  </si>
  <si>
    <t xml:space="preserve">N</t>
  </si>
  <si>
    <t xml:space="preserve">Baseline</t>
  </si>
  <si>
    <t xml:space="preserve">Parameter</t>
  </si>
  <si>
    <t xml:space="preserve">Control (n = 102 eyes; 65 patients)</t>
  </si>
  <si>
    <t xml:space="preserve">Diabetes (n = 48 eyes; 30 patients)</t>
  </si>
  <si>
    <t xml:space="preserve">p_value</t>
  </si>
  <si>
    <t xml:space="preserve">Test</t>
  </si>
  <si>
    <t xml:space="preserve">Practical Interpretation</t>
  </si>
  <si>
    <t xml:space="preserve">GEE effect (95% CI)</t>
  </si>
  <si>
    <t xml:space="preserve">GEE p value</t>
  </si>
  <si>
    <t xml:space="preserve">Age_Years [per patient]</t>
  </si>
  <si>
    <t xml:space="preserve">30.8 ± 6.46</t>
  </si>
  <si>
    <t xml:space="preserve">37.67 ± 7.1</t>
  </si>
  <si>
    <t xml:space="preserve">&lt;0.001</t>
  </si>
  <si>
    <t xml:space="preserve">Welch t-test</t>
  </si>
  <si>
    <t xml:space="preserve">Significant difference between groups.</t>
  </si>
  <si>
    <t xml:space="preserve">β = 6.868 [3.936, 9.801]</t>
  </si>
  <si>
    <t xml:space="preserve">Preop_SEQ_D</t>
  </si>
  <si>
    <t xml:space="preserve">-4.25 ± 1.91</t>
  </si>
  <si>
    <t xml:space="preserve">-4.47 ± 1.57</t>
  </si>
  <si>
    <t xml:space="preserve">0.464</t>
  </si>
  <si>
    <t xml:space="preserve">No significant difference between groups.</t>
  </si>
  <si>
    <t xml:space="preserve">β = -0.219 [-0.824, 0.385]</t>
  </si>
  <si>
    <t xml:space="preserve">0.478</t>
  </si>
  <si>
    <t xml:space="preserve">Preop_Sphere_D</t>
  </si>
  <si>
    <t xml:space="preserve">-3.92 ± 1.9</t>
  </si>
  <si>
    <t xml:space="preserve">-4.15 ± 1.59</t>
  </si>
  <si>
    <t xml:space="preserve">0.446</t>
  </si>
  <si>
    <t xml:space="preserve">β = -0.240 [-0.848, 0.369]</t>
  </si>
  <si>
    <t xml:space="preserve">0.440</t>
  </si>
  <si>
    <t xml:space="preserve">Preop_Cylinder_D</t>
  </si>
  <si>
    <t xml:space="preserve">-0.66 ± 0.57</t>
  </si>
  <si>
    <t xml:space="preserve">-0.67 ± 0.6</t>
  </si>
  <si>
    <t xml:space="preserve">0.962</t>
  </si>
  <si>
    <t xml:space="preserve">β = 0.005 [-0.187, 0.198]</t>
  </si>
  <si>
    <t xml:space="preserve">0.957</t>
  </si>
  <si>
    <t xml:space="preserve">Preop_UDVA</t>
  </si>
  <si>
    <t xml:space="preserve">1.08 ± 0.23</t>
  </si>
  <si>
    <t xml:space="preserve">1.1 ± 0.22</t>
  </si>
  <si>
    <t xml:space="preserve">0.620</t>
  </si>
  <si>
    <t xml:space="preserve">β = 0.018 [-0.058, 0.095]</t>
  </si>
  <si>
    <t xml:space="preserve">0.641</t>
  </si>
  <si>
    <t xml:space="preserve">Preop_CDVA</t>
  </si>
  <si>
    <t xml:space="preserve">-0.01 ± 0.03</t>
  </si>
  <si>
    <t xml:space="preserve">0.235</t>
  </si>
  <si>
    <t xml:space="preserve">β = 0.006 [-0.004, 0.017]</t>
  </si>
  <si>
    <t xml:space="preserve">0.226</t>
  </si>
  <si>
    <t xml:space="preserve">Preop_Pachymetry_um</t>
  </si>
  <si>
    <t xml:space="preserve">545.01 ± 26.46 (n = 99)</t>
  </si>
  <si>
    <t xml:space="preserve">529.77 ± 27.55 (n = 47)</t>
  </si>
  <si>
    <t xml:space="preserve">0.002</t>
  </si>
  <si>
    <t xml:space="preserve">β = -15.045 [-25.416, -4.674]</t>
  </si>
  <si>
    <t xml:space="preserve">0.004</t>
  </si>
  <si>
    <t xml:space="preserve">Preop_Mean_K_D</t>
  </si>
  <si>
    <t xml:space="preserve">43.64 ± 1.48 (n = 100)</t>
  </si>
  <si>
    <t xml:space="preserve">43.6 ± 1.54</t>
  </si>
  <si>
    <t xml:space="preserve">0.864</t>
  </si>
  <si>
    <t xml:space="preserve">β = -0.064 [-0.606, 0.478]</t>
  </si>
  <si>
    <t xml:space="preserve">0.817</t>
  </si>
  <si>
    <t xml:space="preserve">Preop_DryEye_Grade</t>
  </si>
  <si>
    <t xml:space="preserve">0 [0–1]</t>
  </si>
  <si>
    <t xml:space="preserve">1 [0–1]</t>
  </si>
  <si>
    <t xml:space="preserve">0.175</t>
  </si>
  <si>
    <t xml:space="preserve">Wilcoxon rank-sum test</t>
  </si>
  <si>
    <t xml:space="preserve"/>
  </si>
  <si>
    <t xml:space="preserve">Sex (F) [per patient]</t>
  </si>
  <si>
    <t xml:space="preserve">35/65 (53.8%)</t>
  </si>
  <si>
    <t xml:space="preserve">14/30 (46.7%)</t>
  </si>
  <si>
    <t xml:space="preserve">0.515</t>
  </si>
  <si>
    <t xml:space="preserve">Chi-squared test</t>
  </si>
  <si>
    <t xml:space="preserve">OR = 0.748 [0.314, 1.782]</t>
  </si>
  <si>
    <t xml:space="preserve">0.512</t>
  </si>
  <si>
    <t xml:space="preserve">Smoker (Yes) [per patient]</t>
  </si>
  <si>
    <t xml:space="preserve">14/65 (21.5%)</t>
  </si>
  <si>
    <t xml:space="preserve">8/30 (26.7%)</t>
  </si>
  <si>
    <t xml:space="preserve">0.582</t>
  </si>
  <si>
    <t xml:space="preserve">OR = 1.371 [0.503, 3.736]</t>
  </si>
  <si>
    <t xml:space="preserve">0.537</t>
  </si>
  <si>
    <t xml:space="preserve">Surgeon: Surgeon A</t>
  </si>
  <si>
    <t xml:space="preserve">35/102 (34.3%)</t>
  </si>
  <si>
    <t xml:space="preserve">11/48 (22.9%)</t>
  </si>
  <si>
    <t xml:space="preserve">0.113</t>
  </si>
  <si>
    <t xml:space="preserve">Surgeon: Surgeon B</t>
  </si>
  <si>
    <t xml:space="preserve">41/102 (40.2%)</t>
  </si>
  <si>
    <t xml:space="preserve">17/48 (35.4%)</t>
  </si>
  <si>
    <t xml:space="preserve">Surgeon: Surgeon C</t>
  </si>
  <si>
    <t xml:space="preserve">26/102 (25.5%)</t>
  </si>
  <si>
    <t xml:space="preserve">20/48 (41.7%)</t>
  </si>
  <si>
    <t xml:space="preserve">Preoperative / intraoperative</t>
  </si>
  <si>
    <t xml:space="preserve">Optical_Zone_mm</t>
  </si>
  <si>
    <t xml:space="preserve">6.52 ± 0.3</t>
  </si>
  <si>
    <t xml:space="preserve">6.49 ± 0.31</t>
  </si>
  <si>
    <t xml:space="preserve">0.595</t>
  </si>
  <si>
    <t xml:space="preserve">β = -0.028 [-0.131, 0.075]</t>
  </si>
  <si>
    <t xml:space="preserve">0.593</t>
  </si>
  <si>
    <t xml:space="preserve">Ablation_Depth_um</t>
  </si>
  <si>
    <t xml:space="preserve">65.76 ± 27.87</t>
  </si>
  <si>
    <t xml:space="preserve">67.65 ± 24.23</t>
  </si>
  <si>
    <t xml:space="preserve">0.674</t>
  </si>
  <si>
    <t xml:space="preserve">β = 1.818 [-7.210, 10.846]</t>
  </si>
  <si>
    <t xml:space="preserve">0.693</t>
  </si>
  <si>
    <t xml:space="preserve">Procedure: LASIK</t>
  </si>
  <si>
    <t xml:space="preserve">102/102 (100%)</t>
  </si>
  <si>
    <t xml:space="preserve">48/48 (100%)</t>
  </si>
  <si>
    <t xml:space="preserve">Not applicable (variable constant in cohort)</t>
  </si>
  <si>
    <t xml:space="preserve">Not estimable - variable is constant in this cohort.</t>
  </si>
  <si>
    <t xml:space="preserve">Adjusted effect (95% CI)</t>
  </si>
  <si>
    <t xml:space="preserve">Adjusted P</t>
  </si>
  <si>
    <t xml:space="preserve">FollowUp_Days</t>
  </si>
  <si>
    <t xml:space="preserve">187.53 ± 88.13</t>
  </si>
  <si>
    <t xml:space="preserve">168.48 ± 76.57</t>
  </si>
  <si>
    <t xml:space="preserve">0.179</t>
  </si>
  <si>
    <t xml:space="preserve">β = -20.140 [-46.027, 5.746]</t>
  </si>
  <si>
    <t xml:space="preserve">0.127</t>
  </si>
  <si>
    <t xml:space="preserve">beta = -29.04 [-56.57, -1.50]</t>
  </si>
  <si>
    <t xml:space="preserve">0.039</t>
  </si>
  <si>
    <t xml:space="preserve">Postop_SEQ_D</t>
  </si>
  <si>
    <t xml:space="preserve">0.02 ± 0.28</t>
  </si>
  <si>
    <t xml:space="preserve">-0.17 ± 0.5</t>
  </si>
  <si>
    <t xml:space="preserve">0.017</t>
  </si>
  <si>
    <t xml:space="preserve">β = -0.188 [-0.338, -0.039]</t>
  </si>
  <si>
    <t xml:space="preserve">0.014</t>
  </si>
  <si>
    <t xml:space="preserve">beta = -0.16 [-0.33, 0.00]</t>
  </si>
  <si>
    <t xml:space="preserve">0.055</t>
  </si>
  <si>
    <t xml:space="preserve">Postop_Cylinder_D</t>
  </si>
  <si>
    <t xml:space="preserve">-0.21 ± 0.19</t>
  </si>
  <si>
    <t xml:space="preserve">-0.21 ± 0.18</t>
  </si>
  <si>
    <t xml:space="preserve">1.000</t>
  </si>
  <si>
    <t xml:space="preserve">β = -0.001 [-0.065, 0.064]</t>
  </si>
  <si>
    <t xml:space="preserve">0.984</t>
  </si>
  <si>
    <t xml:space="preserve">beta = -0.02 [-0.09, 0.05]</t>
  </si>
  <si>
    <t xml:space="preserve">0.607</t>
  </si>
  <si>
    <t xml:space="preserve">Postop_UDVA</t>
  </si>
  <si>
    <t xml:space="preserve">0 ± 0.05</t>
  </si>
  <si>
    <t xml:space="preserve">0.06 ± 0.06</t>
  </si>
  <si>
    <t xml:space="preserve">β = 0.059 [0.039, 0.078]</t>
  </si>
  <si>
    <t xml:space="preserve">beta = 0.06 [0.04, 0.08]</t>
  </si>
  <si>
    <t xml:space="preserve">Postop_CDVA</t>
  </si>
  <si>
    <t xml:space="preserve">-0.01 ± 0.04</t>
  </si>
  <si>
    <t xml:space="preserve">0.274</t>
  </si>
  <si>
    <t xml:space="preserve">β = 0.007 [-0.006, 0.020]</t>
  </si>
  <si>
    <t xml:space="preserve">0.282</t>
  </si>
  <si>
    <t xml:space="preserve">beta = 0.01 [-0.00, 0.03]</t>
  </si>
  <si>
    <t xml:space="preserve">0.092</t>
  </si>
  <si>
    <t xml:space="preserve">Postop_Haze_Grade</t>
  </si>
  <si>
    <t xml:space="preserve">0 [0–0]</t>
  </si>
  <si>
    <t xml:space="preserve">0.256</t>
  </si>
  <si>
    <t xml:space="preserve">Patient_Satisfaction_1to5</t>
  </si>
  <si>
    <t xml:space="preserve">4 [4–5] (n = 96)</t>
  </si>
  <si>
    <t xml:space="preserve">4 [3–5] (n = 44)</t>
  </si>
  <si>
    <t xml:space="preserve">0.185</t>
  </si>
  <si>
    <t xml:space="preserve">DryEye_Symptoms (Yes)</t>
  </si>
  <si>
    <t xml:space="preserve">18/102 (17.6%)</t>
  </si>
  <si>
    <t xml:space="preserve">13/48 (27.1%)</t>
  </si>
  <si>
    <t xml:space="preserve">0.183</t>
  </si>
  <si>
    <t xml:space="preserve">OR = 1.784 [0.843, 3.779]</t>
  </si>
  <si>
    <t xml:space="preserve">0.130</t>
  </si>
  <si>
    <t xml:space="preserve">OR = 2.02 [0.75, 5.47]</t>
  </si>
  <si>
    <t xml:space="preserve">0.166</t>
  </si>
  <si>
    <t xml:space="preserve">Retreatment_Required (Yes)</t>
  </si>
  <si>
    <t xml:space="preserve">5/102 (4.9%)</t>
  </si>
  <si>
    <t xml:space="preserve">3/48 (6.2%)</t>
  </si>
  <si>
    <t xml:space="preserve">0.711</t>
  </si>
  <si>
    <t xml:space="preserve">Fisher's exact test</t>
  </si>
  <si>
    <t xml:space="preserve">OR = 1.400 [0.252, 7.767]</t>
  </si>
  <si>
    <t xml:space="preserve">0.700</t>
  </si>
  <si>
    <t xml:space="preserve">OR = 0.39 [0.06, 2.38]</t>
  </si>
  <si>
    <t xml:space="preserve">0.309</t>
  </si>
  <si>
    <t xml:space="preserve">Complication_Type: Corneal haze</t>
  </si>
  <si>
    <t xml:space="preserve">1/102 (1%)</t>
  </si>
  <si>
    <t xml:space="preserve">0.068</t>
  </si>
  <si>
    <t xml:space="preserve">Complication_Type: Diffuse lamellar keratitis</t>
  </si>
  <si>
    <t xml:space="preserve">6/102 (5.9%)</t>
  </si>
  <si>
    <t xml:space="preserve">2/48 (4.2%)</t>
  </si>
  <si>
    <t xml:space="preserve">Complication_Type: Epithelial defect</t>
  </si>
  <si>
    <t xml:space="preserve">7/102 (6.9%)</t>
  </si>
  <si>
    <t xml:space="preserve">0/48 (0%)</t>
  </si>
  <si>
    <t xml:space="preserve">Complication_Type: None</t>
  </si>
  <si>
    <t xml:space="preserve">88/102 (86.3%)</t>
  </si>
  <si>
    <t xml:space="preserve">43/48 (89.6%)</t>
  </si>
  <si>
    <t xml:space="preserve">p value</t>
  </si>
  <si>
    <t xml:space="preserve">Baseline characteristics</t>
  </si>
  <si>
    <t xml:space="preserve">Age Years [per patient]</t>
  </si>
  <si>
    <t xml:space="preserve">Preop SEQ D</t>
  </si>
  <si>
    <t xml:space="preserve">Preop Sphere D</t>
  </si>
  <si>
    <t xml:space="preserve">Preop Cylinder D</t>
  </si>
  <si>
    <t xml:space="preserve">Preop UDVA</t>
  </si>
  <si>
    <t xml:space="preserve">Preop CDVA</t>
  </si>
  <si>
    <t xml:space="preserve">Preop Pachymetry um</t>
  </si>
  <si>
    <t xml:space="preserve">Preop Mean K D</t>
  </si>
  <si>
    <t xml:space="preserve">Preop DryEye Grade</t>
  </si>
  <si>
    <t xml:space="preserve">Optical Zone mm</t>
  </si>
  <si>
    <t xml:space="preserve">Ablation Depth um</t>
  </si>
  <si>
    <t xml:space="preserve">NE</t>
  </si>
  <si>
    <t xml:space="preserve">Outcomes</t>
  </si>
  <si>
    <t xml:space="preserve">FollowUp Days</t>
  </si>
  <si>
    <t xml:space="preserve">Postop SEQ D</t>
  </si>
  <si>
    <t xml:space="preserve">Postop Cylinder D</t>
  </si>
  <si>
    <t xml:space="preserve">Postop UDVA</t>
  </si>
  <si>
    <t xml:space="preserve">Postop CDVA</t>
  </si>
  <si>
    <t xml:space="preserve">Postop Haze Grade</t>
  </si>
  <si>
    <t xml:space="preserve">Patient Satisfaction 1to5</t>
  </si>
  <si>
    <t xml:space="preserve">DryEye Symptoms (Yes)</t>
  </si>
  <si>
    <t xml:space="preserve">Retreatment Required (Yes)</t>
  </si>
  <si>
    <t xml:space="preserve">Complication Type: Corneal haze</t>
  </si>
  <si>
    <t xml:space="preserve">Complication Type: Diffuse lamellar keratitis</t>
  </si>
  <si>
    <t xml:space="preserve">Complication Type: Epithelial defect</t>
  </si>
  <si>
    <t xml:space="preserve">Complication Type: None</t>
  </si>
  <si>
    <t xml:space="preserve">NE = not estimable (no P value):</t>
  </si>
  <si>
    <t xml:space="preserve">- variable is constant in this cohort: Procedure.</t>
  </si>
  <si>
    <t xml:space="preserve">Pre_BCVA</t>
  </si>
  <si>
    <t xml:space="preserve">Post_UCVA</t>
  </si>
  <si>
    <t xml:space="preserve">Post_BCVA</t>
  </si>
  <si>
    <t xml:space="preserve">Pre_Sph</t>
  </si>
  <si>
    <t xml:space="preserve">Pre_Cyl</t>
  </si>
  <si>
    <t xml:space="preserve">Pre_Axis</t>
  </si>
  <si>
    <t xml:space="preserve">Preop_MR_Vertex_Distance</t>
  </si>
  <si>
    <t xml:space="preserve">Intended_Postop_MR_Sphere</t>
  </si>
  <si>
    <t xml:space="preserve">Intended_Postop_MR_Cylinder</t>
  </si>
  <si>
    <t xml:space="preserve">Intended_Postop_MR_Axis</t>
  </si>
  <si>
    <t xml:space="preserve">Intended_Postop_MR_Vertex_Distance</t>
  </si>
  <si>
    <t xml:space="preserve">Post_Sph</t>
  </si>
  <si>
    <t xml:space="preserve">Post_Cyl</t>
  </si>
  <si>
    <t xml:space="preserve">Post_Axis</t>
  </si>
  <si>
    <t xml:space="preserve">Postop_MR_Vertex_Distance</t>
  </si>
  <si>
    <t xml:space="preserve">Post_SEQ</t>
  </si>
  <si>
    <t xml:space="preserve">20-1</t>
  </si>
  <si>
    <t xml:space="preserve">20-2</t>
  </si>
  <si>
    <t xml:space="preserve">25</t>
  </si>
  <si>
    <t xml:space="preserve">15-3</t>
  </si>
  <si>
    <t xml:space="preserve">20</t>
  </si>
  <si>
    <t xml:space="preserve">25+</t>
  </si>
  <si>
    <t xml:space="preserve">25-3</t>
  </si>
  <si>
    <t xml:space="preserve">20+</t>
  </si>
  <si>
    <t xml:space="preserve">16-3</t>
  </si>
  <si>
    <t xml:space="preserve">20-3</t>
  </si>
  <si>
    <t xml:space="preserve">15-2</t>
  </si>
  <si>
    <t xml:space="preserve">25-1</t>
  </si>
  <si>
    <t xml:space="preserve">25-2</t>
  </si>
  <si>
    <t xml:space="preserve">15-1</t>
  </si>
  <si>
    <t xml:space="preserve">30-2</t>
  </si>
  <si>
    <t xml:space="preserve">30-1</t>
  </si>
  <si>
    <t xml:space="preserve">30</t>
  </si>
  <si>
    <t xml:space="preserve">Eye</t>
  </si>
  <si>
    <t xml:space="preserve">preoperative cylinder</t>
  </si>
  <si>
    <t xml:space="preserve">preoperative axis</t>
  </si>
  <si>
    <t xml:space="preserve">postoperative cylinder</t>
  </si>
  <si>
    <t xml:space="preserve">postoperative axis</t>
  </si>
  <si>
    <t xml:space="preserve">OS</t>
  </si>
  <si>
    <t xml:space="preserve">OD</t>
  </si>
  <si>
    <t xml:space="preserve">GEE results</t>
  </si>
  <si>
    <t xml:space="preserve">Outcome</t>
  </si>
  <si>
    <t xml:space="preserve">term</t>
  </si>
  <si>
    <t xml:space="preserve">estimate</t>
  </si>
  <si>
    <t xml:space="preserve">std.error</t>
  </si>
  <si>
    <t xml:space="preserve">statistic</t>
  </si>
  <si>
    <t xml:space="preserve">p.value</t>
  </si>
  <si>
    <t xml:space="preserve">Effect</t>
  </si>
  <si>
    <t xml:space="preserve">EffectValue</t>
  </si>
  <si>
    <t xml:space="preserve">CI_low</t>
  </si>
  <si>
    <t xml:space="preserve">CI_high</t>
  </si>
  <si>
    <t xml:space="preserve">CI</t>
  </si>
  <si>
    <t xml:space="preserve">Model</t>
  </si>
  <si>
    <t xml:space="preserve">Covariates</t>
  </si>
  <si>
    <t xml:space="preserve">Age_Years</t>
  </si>
  <si>
    <t xml:space="preserve">(Intercept)</t>
  </si>
  <si>
    <t xml:space="preserve">Beta</t>
  </si>
  <si>
    <t xml:space="preserve">[29.230, 32.347]</t>
  </si>
  <si>
    <t xml:space="preserve">GEE Gaussian (exchangeable)</t>
  </si>
  <si>
    <t xml:space="preserve">none</t>
  </si>
  <si>
    <t xml:space="preserve">GroupLabelDiabetes</t>
  </si>
  <si>
    <t xml:space="preserve">[3.936, 9.801]</t>
  </si>
  <si>
    <t xml:space="preserve">[-4.647, -3.848]</t>
  </si>
  <si>
    <t xml:space="preserve">[-0.824, 0.385]</t>
  </si>
  <si>
    <t xml:space="preserve">[-4.304, -3.518]</t>
  </si>
  <si>
    <t xml:space="preserve">[-0.848, 0.369]</t>
  </si>
  <si>
    <t xml:space="preserve">[-0.787, -0.543]</t>
  </si>
  <si>
    <t xml:space="preserve">[-0.187, 0.198]</t>
  </si>
  <si>
    <t xml:space="preserve">[1.035, 1.130]</t>
  </si>
  <si>
    <t xml:space="preserve">[-0.058, 0.095]</t>
  </si>
  <si>
    <t xml:space="preserve">[-0.019, -0.006]</t>
  </si>
  <si>
    <t xml:space="preserve">[-0.004, 0.017]</t>
  </si>
  <si>
    <t xml:space="preserve">[539.698, 550.071]</t>
  </si>
  <si>
    <t xml:space="preserve">[-25.416, -4.674]</t>
  </si>
  <si>
    <t xml:space="preserve">[43.362, 43.953]</t>
  </si>
  <si>
    <t xml:space="preserve">[-0.606, 0.478]</t>
  </si>
  <si>
    <t xml:space="preserve">Skipped: ordinal outcome not modeled in GEE</t>
  </si>
  <si>
    <t xml:space="preserve">OR</t>
  </si>
  <si>
    <t xml:space="preserve">[0.717, 1.901]</t>
  </si>
  <si>
    <t xml:space="preserve">GEE Binomial (exchangeable)</t>
  </si>
  <si>
    <t xml:space="preserve">[0.314, 1.782]</t>
  </si>
  <si>
    <t xml:space="preserve">Smoker</t>
  </si>
  <si>
    <t xml:space="preserve">[0.149, 0.487]</t>
  </si>
  <si>
    <t xml:space="preserve">[0.503, 3.736]</t>
  </si>
  <si>
    <t xml:space="preserve">Surgeon</t>
  </si>
  <si>
    <t xml:space="preserve">Skipped: categorical outcome not modeled in GEE</t>
  </si>
  <si>
    <t xml:space="preserve">[6.462, 6.576]</t>
  </si>
  <si>
    <t xml:space="preserve">[-0.131, 0.075]</t>
  </si>
  <si>
    <t xml:space="preserve">[59.952, 71.553]</t>
  </si>
  <si>
    <t xml:space="preserve">[-7.210, 10.846]</t>
  </si>
  <si>
    <t xml:space="preserve">Procedure</t>
  </si>
  <si>
    <t xml:space="preserve">[171.501, 204.598]</t>
  </si>
  <si>
    <t xml:space="preserve">[-46.027, 5.746]</t>
  </si>
  <si>
    <t xml:space="preserve">[-0.041, 0.073]</t>
  </si>
  <si>
    <t xml:space="preserve">[-0.338, -0.039]</t>
  </si>
  <si>
    <t xml:space="preserve">[-0.242, -0.174]</t>
  </si>
  <si>
    <t xml:space="preserve">[-0.065, 0.064]</t>
  </si>
  <si>
    <t xml:space="preserve">[-0.007, 0.015]</t>
  </si>
  <si>
    <t xml:space="preserve">[0.039, 0.078]</t>
  </si>
  <si>
    <t xml:space="preserve">[-0.020, -0.004]</t>
  </si>
  <si>
    <t xml:space="preserve">[-0.006, 0.020]</t>
  </si>
  <si>
    <t xml:space="preserve">DryEye_Symptoms</t>
  </si>
  <si>
    <t xml:space="preserve">[0.134, 0.341]</t>
  </si>
  <si>
    <t xml:space="preserve">[0.843, 3.779]</t>
  </si>
  <si>
    <t xml:space="preserve">Retreatment_Required</t>
  </si>
  <si>
    <t xml:space="preserve">[0.020, 0.116]</t>
  </si>
  <si>
    <t xml:space="preserve">[0.252, 7.767]</t>
  </si>
  <si>
    <t xml:space="preserve">Complication_Type</t>
  </si>
  <si>
    <t xml:space="preserve">[29.306, 32.403]</t>
  </si>
  <si>
    <t xml:space="preserve">Not adjusted for itself (own value omitted from the covariates). GEE Gaussian (exchangeable)</t>
  </si>
  <si>
    <t xml:space="preserve">[3.939, 9.805]</t>
  </si>
  <si>
    <t xml:space="preserve">[-0.056, 0.087]</t>
  </si>
  <si>
    <t xml:space="preserve">[-6.233, -3.229]</t>
  </si>
  <si>
    <t xml:space="preserve">[-0.937, 0.281]</t>
  </si>
  <si>
    <t xml:space="preserve">[-0.032, 0.063]</t>
  </si>
  <si>
    <t xml:space="preserve">[0.063, 0.479]</t>
  </si>
  <si>
    <t xml:space="preserve">Age_Years, Preop_SEQ_D</t>
  </si>
  <si>
    <t xml:space="preserve">[-0.116, 0.082]</t>
  </si>
  <si>
    <t xml:space="preserve">[-0.006, 0.006]</t>
  </si>
  <si>
    <t xml:space="preserve">[0.963, 1.007]</t>
  </si>
  <si>
    <t xml:space="preserve">[-1.097, -0.257]</t>
  </si>
  <si>
    <t xml:space="preserve">[-0.209, 0.168]</t>
  </si>
  <si>
    <t xml:space="preserve">[-0.008, 0.018]</t>
  </si>
  <si>
    <t xml:space="preserve">[-0.014, 0.074]</t>
  </si>
  <si>
    <t xml:space="preserve">[0.542, 0.725]</t>
  </si>
  <si>
    <t xml:space="preserve">[-0.042, 0.041]</t>
  </si>
  <si>
    <t xml:space="preserve">[-0.003, 0.002]</t>
  </si>
  <si>
    <t xml:space="preserve">[-0.120, -0.100]</t>
  </si>
  <si>
    <t xml:space="preserve">[-0.049, 0.008]</t>
  </si>
  <si>
    <t xml:space="preserve">[-0.007, 0.018]</t>
  </si>
  <si>
    <t xml:space="preserve">[-0.001, 0.001]</t>
  </si>
  <si>
    <t xml:space="preserve">[-0.005, 0.002]</t>
  </si>
  <si>
    <t xml:space="preserve">[516.633, 566.946]</t>
  </si>
  <si>
    <t xml:space="preserve">[-27.708, -4.696]</t>
  </si>
  <si>
    <t xml:space="preserve">[-0.532, 0.925]</t>
  </si>
  <si>
    <t xml:space="preserve">[-1.919, 3.318]</t>
  </si>
  <si>
    <t xml:space="preserve">[41.545, 44.638]</t>
  </si>
  <si>
    <t xml:space="preserve">[-0.802, 0.413]</t>
  </si>
  <si>
    <t xml:space="preserve">[-0.024, 0.062]</t>
  </si>
  <si>
    <t xml:space="preserve">[-0.141, 0.150]</t>
  </si>
  <si>
    <t xml:space="preserve">[0.056, 2.829]</t>
  </si>
  <si>
    <t xml:space="preserve">[0.218, 1.576]</t>
  </si>
  <si>
    <t xml:space="preserve">[0.974, 1.101]</t>
  </si>
  <si>
    <t xml:space="preserve">[0.996, 1.007]</t>
  </si>
  <si>
    <t xml:space="preserve">[0.010, 1.299]</t>
  </si>
  <si>
    <t xml:space="preserve">[0.404, 3.131]</t>
  </si>
  <si>
    <t xml:space="preserve">[0.959, 1.108]</t>
  </si>
  <si>
    <t xml:space="preserve">[0.960, 1.091]</t>
  </si>
  <si>
    <t xml:space="preserve">[6.366, 6.926]</t>
  </si>
  <si>
    <t xml:space="preserve">[-0.114, 0.107]</t>
  </si>
  <si>
    <t xml:space="preserve">[-0.011, 0.004]</t>
  </si>
  <si>
    <t xml:space="preserve">[-0.023, 0.032]</t>
  </si>
  <si>
    <t xml:space="preserve">[-4.680, 7.996]</t>
  </si>
  <si>
    <t xml:space="preserve">[-4.738, 0.657]</t>
  </si>
  <si>
    <t xml:space="preserve">[-0.063, 0.317]</t>
  </si>
  <si>
    <t xml:space="preserve">[-14.813, -13.505]</t>
  </si>
  <si>
    <t xml:space="preserve">[74.407, 231.813]</t>
  </si>
  <si>
    <t xml:space="preserve">[-53.426, -1.455]</t>
  </si>
  <si>
    <t xml:space="preserve">[-1.231, 3.296]</t>
  </si>
  <si>
    <t xml:space="preserve">[-8.180, 6.573]</t>
  </si>
  <si>
    <t xml:space="preserve">[-0.129, 0.667]</t>
  </si>
  <si>
    <t xml:space="preserve">[-0.312, 0.018]</t>
  </si>
  <si>
    <t xml:space="preserve">[-0.016, 0.005]</t>
  </si>
  <si>
    <t xml:space="preserve">[-0.012, 0.055]</t>
  </si>
  <si>
    <t xml:space="preserve">[-0.458, -0.124]</t>
  </si>
  <si>
    <t xml:space="preserve">[-0.089, 0.054]</t>
  </si>
  <si>
    <t xml:space="preserve">[-0.002, 0.007]</t>
  </si>
  <si>
    <t xml:space="preserve">[-0.019, 0.014]</t>
  </si>
  <si>
    <t xml:space="preserve">[-0.068, 0.036]</t>
  </si>
  <si>
    <t xml:space="preserve">[0.035, 0.077]</t>
  </si>
  <si>
    <t xml:space="preserve">[-0.001, 0.002]</t>
  </si>
  <si>
    <t xml:space="preserve">[-0.008, 0.003]</t>
  </si>
  <si>
    <t xml:space="preserve">[-0.047, 0.022]</t>
  </si>
  <si>
    <t xml:space="preserve">[-0.006, 0.022]</t>
  </si>
  <si>
    <t xml:space="preserve">[-0.005, 0.003]</t>
  </si>
  <si>
    <t xml:space="preserve">[0.059, 4.155]</t>
  </si>
  <si>
    <t xml:space="preserve">[0.816, 5.276]</t>
  </si>
  <si>
    <t xml:space="preserve">[0.925, 1.040]</t>
  </si>
  <si>
    <t xml:space="preserve">[0.847, 1.332]</t>
  </si>
  <si>
    <t xml:space="preserve">[0.000, 0.051]</t>
  </si>
  <si>
    <t xml:space="preserve">[0.088, 2.496]</t>
  </si>
  <si>
    <t xml:space="preserve">[1.034, 1.298]</t>
  </si>
  <si>
    <t xml:space="preserve">[0.662, 1.628]</t>
  </si>
  <si>
    <t xml:space="preserve">NOTE: 2 model(s) carry a small-sample caution or failed - see the Note column. Interpret flagged estimates cautiously.</t>
  </si>
  <si>
    <t xml:space="preserve">Adjusted regression - unmatched cohort (covariates: Age_Years, Preop_SEQ_D, Preop_Pachymetry_um)</t>
  </si>
  <si>
    <t xml:space="preserve">Comparison</t>
  </si>
  <si>
    <t xml:space="preserve">P value</t>
  </si>
  <si>
    <t xml:space="preserve">n</t>
  </si>
  <si>
    <t xml:space="preserve">Diabetes vs Control</t>
  </si>
  <si>
    <t xml:space="preserve">146</t>
  </si>
  <si>
    <t xml:space="preserve">Skipped: ordinal outcome</t>
  </si>
  <si>
    <t xml:space="preserve">146 (31 events)</t>
  </si>
  <si>
    <t xml:space="preserve">CAUTION: only 31 eyes in the smaller outcome class for 4 parameters (&lt;10 per parameter) - possible overfitting</t>
  </si>
  <si>
    <t xml:space="preserve">146 (8 events)</t>
  </si>
  <si>
    <t xml:space="preserve">CAUTION: only 8 eyes in the smaller outcome class for 4 parameters (&lt;10 per parameter) - possible overfitting</t>
  </si>
  <si>
    <t xml:space="preserve">Skipped: categorical outcome</t>
  </si>
  <si>
    <t xml:space="preserve">Full models (every term)</t>
  </si>
  <si>
    <t xml:space="preserve">[-105.242, 447.732]</t>
  </si>
  <si>
    <t xml:space="preserve">Linear GEE (beta)</t>
  </si>
  <si>
    <t xml:space="preserve">[-56.570, -1.502]</t>
  </si>
  <si>
    <t xml:space="preserve">[-1.140, 3.677]</t>
  </si>
  <si>
    <t xml:space="preserve">[-8.447, 6.160]</t>
  </si>
  <si>
    <t xml:space="preserve">[-0.521, 0.424]</t>
  </si>
  <si>
    <t xml:space="preserve">[-0.280, 2.477]</t>
  </si>
  <si>
    <t xml:space="preserve">[-0.330, 0.004]</t>
  </si>
  <si>
    <t xml:space="preserve">[-0.017, 0.006]</t>
  </si>
  <si>
    <t xml:space="preserve">[-0.013, 0.057]</t>
  </si>
  <si>
    <t xml:space="preserve">[-0.004, 0.001]</t>
  </si>
  <si>
    <t xml:space="preserve">[-0.918, 0.294]</t>
  </si>
  <si>
    <t xml:space="preserve">[-0.093, 0.054]</t>
  </si>
  <si>
    <t xml:space="preserve">[-0.021, 0.014]</t>
  </si>
  <si>
    <t xml:space="preserve">[-0.344, -0.016]</t>
  </si>
  <si>
    <t xml:space="preserve">[0.038, 0.083]</t>
  </si>
  <si>
    <t xml:space="preserve">[-0.009, 0.002]</t>
  </si>
  <si>
    <t xml:space="preserve">[0.000, 0.001]</t>
  </si>
  <si>
    <t xml:space="preserve">[-0.233, 0.003]</t>
  </si>
  <si>
    <t xml:space="preserve">[-0.002, 0.026]</t>
  </si>
  <si>
    <t xml:space="preserve">[-0.000, 0.000]</t>
  </si>
  <si>
    <t xml:space="preserve">[0.000, 1940.285]</t>
  </si>
  <si>
    <t xml:space="preserve">Logistic GEE (OR)</t>
  </si>
  <si>
    <t xml:space="preserve">[0.746, 5.466]</t>
  </si>
  <si>
    <t xml:space="preserve">[0.923, 1.040]</t>
  </si>
  <si>
    <t xml:space="preserve">[0.832, 1.316]</t>
  </si>
  <si>
    <t xml:space="preserve">[0.986, 1.014]</t>
  </si>
  <si>
    <t xml:space="preserve">[0.000, 281.655]</t>
  </si>
  <si>
    <t xml:space="preserve">[0.064, 2.385]</t>
  </si>
  <si>
    <t xml:space="preserve">[1.039, 1.304]</t>
  </si>
  <si>
    <t xml:space="preserve">[0.633, 1.624]</t>
  </si>
  <si>
    <t xml:space="preserve">[0.978, 1.014]</t>
  </si>
  <si>
    <t xml:space="preserve">PSM settings</t>
  </si>
  <si>
    <t xml:space="preserve">Setting</t>
  </si>
  <si>
    <t xml:space="preserve">Matching method</t>
  </si>
  <si>
    <t xml:space="preserve">nearest</t>
  </si>
  <si>
    <t xml:space="preserve">Distance</t>
  </si>
  <si>
    <t xml:space="preserve">logit</t>
  </si>
  <si>
    <t xml:space="preserve">Ratio</t>
  </si>
  <si>
    <t xml:space="preserve">2</t>
  </si>
  <si>
    <t xml:space="preserve">Replacement</t>
  </si>
  <si>
    <t xml:space="preserve">FALSE</t>
  </si>
  <si>
    <t xml:space="preserve">Caliper</t>
  </si>
  <si>
    <t xml:space="preserve">0.2</t>
  </si>
  <si>
    <t xml:space="preserve">Standardized caliper</t>
  </si>
  <si>
    <t xml:space="preserve">TRUE</t>
  </si>
  <si>
    <t xml:space="preserve">Matching order</t>
  </si>
  <si>
    <t xml:space="preserve">largest</t>
  </si>
  <si>
    <t xml:space="preserve">Random seed (matching)</t>
  </si>
  <si>
    <t xml:space="preserve">20250601</t>
  </si>
  <si>
    <t xml:space="preserve">Reference group</t>
  </si>
  <si>
    <t xml:space="preserve">Patient ID (clustering for GEE only; not used in matching)</t>
  </si>
  <si>
    <t xml:space="preserve">PatientID</t>
  </si>
  <si>
    <t xml:space="preserve">Matching covariates</t>
  </si>
  <si>
    <t xml:space="preserve">PSM_Covariates</t>
  </si>
  <si>
    <t xml:space="preserve">Covariate balance (cobalt; standardized differences for every covariate)</t>
  </si>
  <si>
    <t xml:space="preserve">Variable</t>
  </si>
  <si>
    <t xml:space="preserve">Type</t>
  </si>
  <si>
    <t xml:space="preserve">Diff.Un</t>
  </si>
  <si>
    <t xml:space="preserve">Diff.Adj</t>
  </si>
  <si>
    <t xml:space="preserve">M.Threshold</t>
  </si>
  <si>
    <t xml:space="preserve">distance</t>
  </si>
  <si>
    <t xml:space="preserve">Balanced, &lt;0.1</t>
  </si>
  <si>
    <t xml:space="preserve">Contin.</t>
  </si>
  <si>
    <t xml:space="preserve">Propensity-score distribution (matched rows)</t>
  </si>
  <si>
    <t xml:space="preserve">PropensityScore</t>
  </si>
  <si>
    <t xml:space="preserve">MatchingWeight</t>
  </si>
  <si>
    <t xml:space="preserve">P0006</t>
  </si>
  <si>
    <t xml:space="preserve">P0018</t>
  </si>
  <si>
    <t xml:space="preserve">P0021</t>
  </si>
  <si>
    <t xml:space="preserve">P0022</t>
  </si>
  <si>
    <t xml:space="preserve">P0025</t>
  </si>
  <si>
    <t xml:space="preserve">P0026</t>
  </si>
  <si>
    <t xml:space="preserve">P0035</t>
  </si>
  <si>
    <t xml:space="preserve">P0039</t>
  </si>
  <si>
    <t xml:space="preserve">P0040</t>
  </si>
  <si>
    <t xml:space="preserve">P0041</t>
  </si>
  <si>
    <t xml:space="preserve">P0051</t>
  </si>
  <si>
    <t xml:space="preserve">P0055</t>
  </si>
  <si>
    <t xml:space="preserve">P0058</t>
  </si>
  <si>
    <t xml:space="preserve">P0060</t>
  </si>
  <si>
    <t xml:space="preserve">P0065</t>
  </si>
  <si>
    <t xml:space="preserve">P0072</t>
  </si>
  <si>
    <t xml:space="preserve">P0077</t>
  </si>
  <si>
    <t xml:space="preserve">P0079</t>
  </si>
  <si>
    <t xml:space="preserve">P0092</t>
  </si>
  <si>
    <t xml:space="preserve">P0096</t>
  </si>
  <si>
    <t xml:space="preserve">P0097</t>
  </si>
  <si>
    <t xml:space="preserve">P0104</t>
  </si>
  <si>
    <t xml:space="preserve">P0105</t>
  </si>
  <si>
    <t xml:space="preserve">P0108</t>
  </si>
  <si>
    <t xml:space="preserve">P0113</t>
  </si>
  <si>
    <t xml:space="preserve">P0115</t>
  </si>
  <si>
    <t xml:space="preserve">P0126</t>
  </si>
  <si>
    <t xml:space="preserve">P0128</t>
  </si>
  <si>
    <t xml:space="preserve">P0137</t>
  </si>
  <si>
    <t xml:space="preserve">P0141</t>
  </si>
  <si>
    <t xml:space="preserve">P0146</t>
  </si>
  <si>
    <t xml:space="preserve">P0151</t>
  </si>
  <si>
    <t xml:space="preserve">P0152</t>
  </si>
  <si>
    <t xml:space="preserve">P0153</t>
  </si>
  <si>
    <t xml:space="preserve">P0161</t>
  </si>
  <si>
    <t xml:space="preserve">P0162</t>
  </si>
  <si>
    <t xml:space="preserve">P0175</t>
  </si>
  <si>
    <t xml:space="preserve">P0177</t>
  </si>
  <si>
    <t xml:space="preserve">P0178</t>
  </si>
  <si>
    <t xml:space="preserve">P0183</t>
  </si>
  <si>
    <t xml:space="preserve">P0192</t>
  </si>
  <si>
    <t xml:space="preserve">P0193</t>
  </si>
  <si>
    <t xml:space="preserve">P0195</t>
  </si>
  <si>
    <t xml:space="preserve">P0197</t>
  </si>
  <si>
    <t xml:space="preserve">P0203</t>
  </si>
  <si>
    <t xml:space="preserve">P0207</t>
  </si>
  <si>
    <t xml:space="preserve">P0212</t>
  </si>
  <si>
    <t xml:space="preserve">P0229</t>
  </si>
  <si>
    <t xml:space="preserve">P0240</t>
  </si>
  <si>
    <t xml:space="preserve">P0243</t>
  </si>
  <si>
    <t xml:space="preserve">P0248</t>
  </si>
  <si>
    <t xml:space="preserve">P0251</t>
  </si>
  <si>
    <t xml:space="preserve">P0252</t>
  </si>
  <si>
    <t xml:space="preserve">P0253</t>
  </si>
  <si>
    <t xml:space="preserve">P0260</t>
  </si>
  <si>
    <t xml:space="preserve">P0263</t>
  </si>
  <si>
    <t xml:space="preserve">P0265</t>
  </si>
  <si>
    <t xml:space="preserve">P0268</t>
  </si>
  <si>
    <t xml:space="preserve">P0269</t>
  </si>
  <si>
    <t xml:space="preserve">P0278</t>
  </si>
  <si>
    <t xml:space="preserve">P0279</t>
  </si>
  <si>
    <t xml:space="preserve">P0282</t>
  </si>
  <si>
    <t xml:space="preserve">P0289</t>
  </si>
  <si>
    <t xml:space="preserve">P0290</t>
  </si>
  <si>
    <t xml:space="preserve">P0310</t>
  </si>
  <si>
    <t xml:space="preserve">P0311</t>
  </si>
  <si>
    <t xml:space="preserve">P0317</t>
  </si>
  <si>
    <t xml:space="preserve">P0318</t>
  </si>
  <si>
    <t xml:space="preserve">NOTE: Models weighted by the matching weights - working correlation: independence (weighted), robust (sandwich) standard errors.</t>
  </si>
  <si>
    <t xml:space="preserve">GEE - baseline</t>
  </si>
  <si>
    <t xml:space="preserve">[32.985, 36.626]</t>
  </si>
  <si>
    <t xml:space="preserve">GEE Gaussian, working correlation: independence (weighted)</t>
  </si>
  <si>
    <t xml:space="preserve">[-2.511, 2.455]</t>
  </si>
  <si>
    <t xml:space="preserve">[-5.133, -3.980]</t>
  </si>
  <si>
    <t xml:space="preserve">[-0.739, 0.673]</t>
  </si>
  <si>
    <t xml:space="preserve">[-4.793, -3.609]</t>
  </si>
  <si>
    <t xml:space="preserve">[-0.794, 0.627]</t>
  </si>
  <si>
    <t xml:space="preserve">[-0.824, -0.551]</t>
  </si>
  <si>
    <t xml:space="preserve">[-0.174, 0.243]</t>
  </si>
  <si>
    <t xml:space="preserve">[1.053, 1.189]</t>
  </si>
  <si>
    <t xml:space="preserve">[-0.088, 0.085]</t>
  </si>
  <si>
    <t xml:space="preserve">[-0.023, -0.002]</t>
  </si>
  <si>
    <t xml:space="preserve">[-0.004, 0.024]</t>
  </si>
  <si>
    <t xml:space="preserve">[529.281, 547.246]</t>
  </si>
  <si>
    <t xml:space="preserve">[-14.765, 10.348]</t>
  </si>
  <si>
    <t xml:space="preserve">[43.415, 44.240]</t>
  </si>
  <si>
    <t xml:space="preserve">[-0.782, 0.575]</t>
  </si>
  <si>
    <t xml:space="preserve">[0.960, 3.682]</t>
  </si>
  <si>
    <t xml:space="preserve">GEE Binomial, working correlation: independence (weighted)</t>
  </si>
  <si>
    <t xml:space="preserve">[0.162, 1.399]</t>
  </si>
  <si>
    <t xml:space="preserve">[0.121, 0.676]</t>
  </si>
  <si>
    <t xml:space="preserve">[0.272, 3.680]</t>
  </si>
  <si>
    <t xml:space="preserve">GEE - preop/intraop</t>
  </si>
  <si>
    <t xml:space="preserve">[6.473, 6.611]</t>
  </si>
  <si>
    <t xml:space="preserve">[-0.159, 0.080]</t>
  </si>
  <si>
    <t xml:space="preserve">[62.375, 78.458]</t>
  </si>
  <si>
    <t xml:space="preserve">[-12.272, 8.439]</t>
  </si>
  <si>
    <t xml:space="preserve">GEE - outcomes</t>
  </si>
  <si>
    <t xml:space="preserve">[164.649, 207.267]</t>
  </si>
  <si>
    <t xml:space="preserve">[-57.977, 1.338]</t>
  </si>
  <si>
    <t xml:space="preserve">[-0.057, 0.106]</t>
  </si>
  <si>
    <t xml:space="preserve">[-0.350, -0.018]</t>
  </si>
  <si>
    <t xml:space="preserve">[-0.244, -0.159]</t>
  </si>
  <si>
    <t xml:space="preserve">[-0.103, 0.047]</t>
  </si>
  <si>
    <t xml:space="preserve">[-0.012, 0.021]</t>
  </si>
  <si>
    <t xml:space="preserve">[0.038, 0.086]</t>
  </si>
  <si>
    <t xml:space="preserve">[-0.024, -0.003]</t>
  </si>
  <si>
    <t xml:space="preserve">[-0.003, 0.029]</t>
  </si>
  <si>
    <t xml:space="preserve">[0.070, 0.291]</t>
  </si>
  <si>
    <t xml:space="preserve">[1.107, 8.573]</t>
  </si>
  <si>
    <t xml:space="preserve">[0.040, 0.290]</t>
  </si>
  <si>
    <t xml:space="preserve">[0.028, 2.486]</t>
  </si>
  <si>
    <t xml:space="preserve">Adjusted GEE - baseline</t>
  </si>
  <si>
    <t xml:space="preserve">[33.260, 38.728]</t>
  </si>
  <si>
    <t xml:space="preserve">Not adjusted for itself (own value omitted from the covariates). GEE Gaussian, working correlation: independence (weighted)</t>
  </si>
  <si>
    <t xml:space="preserve">[-2.495, 2.457]</t>
  </si>
  <si>
    <t xml:space="preserve">[-0.245, 0.766]</t>
  </si>
  <si>
    <t xml:space="preserve">[-8.434, -3.196]</t>
  </si>
  <si>
    <t xml:space="preserve">[-0.735, 0.671]</t>
  </si>
  <si>
    <t xml:space="preserve">[-0.036, 0.108]</t>
  </si>
  <si>
    <t xml:space="preserve">[-0.146, 0.660]</t>
  </si>
  <si>
    <t xml:space="preserve">[-0.160, 0.060]</t>
  </si>
  <si>
    <t xml:space="preserve">[-0.009, 0.013]</t>
  </si>
  <si>
    <t xml:space="preserve">[0.971, 1.021]</t>
  </si>
  <si>
    <t xml:space="preserve">[-1.309, 0.272]</t>
  </si>
  <si>
    <t xml:space="preserve">[-0.171, 0.241]</t>
  </si>
  <si>
    <t xml:space="preserve">[-0.024, 0.018]</t>
  </si>
  <si>
    <t xml:space="preserve">[-0.037, 0.058]</t>
  </si>
  <si>
    <t xml:space="preserve">[0.525, 0.840]</t>
  </si>
  <si>
    <t xml:space="preserve">[-0.051, 0.040]</t>
  </si>
  <si>
    <t xml:space="preserve">[-0.006, 0.002]</t>
  </si>
  <si>
    <t xml:space="preserve">[-0.122, -0.097]</t>
  </si>
  <si>
    <t xml:space="preserve">[-0.061, 0.032]</t>
  </si>
  <si>
    <t xml:space="preserve">[-0.002, 0.001]</t>
  </si>
  <si>
    <t xml:space="preserve">[-0.007, 0.000]</t>
  </si>
  <si>
    <t xml:space="preserve">[428.387, 500.199]</t>
  </si>
  <si>
    <t xml:space="preserve">[-14.050, 9.712]</t>
  </si>
  <si>
    <t xml:space="preserve">[1.038, 3.075]</t>
  </si>
  <si>
    <t xml:space="preserve">[-3.978, 2.924]</t>
  </si>
  <si>
    <t xml:space="preserve">[39.085, 43.693]</t>
  </si>
  <si>
    <t xml:space="preserve">[-0.754, 0.545]</t>
  </si>
  <si>
    <t xml:space="preserve">[-0.000, 0.124]</t>
  </si>
  <si>
    <t xml:space="preserve">[-0.233, 0.111]</t>
  </si>
  <si>
    <t xml:space="preserve">[0.007, 17.140]</t>
  </si>
  <si>
    <t xml:space="preserve">[0.157, 1.398]</t>
  </si>
  <si>
    <t xml:space="preserve">[0.956, 1.175]</t>
  </si>
  <si>
    <t xml:space="preserve">[0.835, 1.377]</t>
  </si>
  <si>
    <t xml:space="preserve">[0.000, 4.711]</t>
  </si>
  <si>
    <t xml:space="preserve">[0.274, 3.709]</t>
  </si>
  <si>
    <t xml:space="preserve">[0.919, 1.202]</t>
  </si>
  <si>
    <t xml:space="preserve">[0.700, 1.276]</t>
  </si>
  <si>
    <t xml:space="preserve">Adjusted GEE - preop/intraop</t>
  </si>
  <si>
    <t xml:space="preserve">[6.159, 7.117]</t>
  </si>
  <si>
    <t xml:space="preserve">[-0.159, 0.081]</t>
  </si>
  <si>
    <t xml:space="preserve">[-0.013, 0.012]</t>
  </si>
  <si>
    <t xml:space="preserve">[-0.020, 0.055]</t>
  </si>
  <si>
    <t xml:space="preserve">[-10.362, 11.335]</t>
  </si>
  <si>
    <t xml:space="preserve">[-5.352, 0.596]</t>
  </si>
  <si>
    <t xml:space="preserve">[-0.145, 0.478]</t>
  </si>
  <si>
    <t xml:space="preserve">[-14.888, -13.270]</t>
  </si>
  <si>
    <t xml:space="preserve">Adjusted GEE - outcomes</t>
  </si>
  <si>
    <t xml:space="preserve">[-44.376, 230.372]</t>
  </si>
  <si>
    <t xml:space="preserve">[-57.579, 0.991]</t>
  </si>
  <si>
    <t xml:space="preserve">[-1.310, 6.303]</t>
  </si>
  <si>
    <t xml:space="preserve">[-9.248, 6.580]</t>
  </si>
  <si>
    <t xml:space="preserve">[-0.729, 0.439]</t>
  </si>
  <si>
    <t xml:space="preserve">[-0.347, -0.020]</t>
  </si>
  <si>
    <t xml:space="preserve">[-0.010, 0.021]</t>
  </si>
  <si>
    <t xml:space="preserve">[-0.036, 0.051]</t>
  </si>
  <si>
    <t xml:space="preserve">[-0.494, 0.139]</t>
  </si>
  <si>
    <t xml:space="preserve">[-0.103, 0.048]</t>
  </si>
  <si>
    <t xml:space="preserve">[-0.008, 0.008]</t>
  </si>
  <si>
    <t xml:space="preserve">[-0.015, 0.026]</t>
  </si>
  <si>
    <t xml:space="preserve">[-0.128, 0.029]</t>
  </si>
  <si>
    <t xml:space="preserve">[0.038, 0.085]</t>
  </si>
  <si>
    <t xml:space="preserve">[-0.001, 0.003]</t>
  </si>
  <si>
    <t xml:space="preserve">[-0.013, 0.002]</t>
  </si>
  <si>
    <t xml:space="preserve">[-0.068, 0.044]</t>
  </si>
  <si>
    <t xml:space="preserve">[-0.007, 0.001]</t>
  </si>
  <si>
    <t xml:space="preserve">[0.000, 2.996]</t>
  </si>
  <si>
    <t xml:space="preserve">[1.157, 8.836]</t>
  </si>
  <si>
    <t xml:space="preserve">[0.937, 1.179]</t>
  </si>
  <si>
    <t xml:space="preserve">[0.784, 1.538]</t>
  </si>
  <si>
    <t xml:space="preserve">[0.000, 0.110]</t>
  </si>
  <si>
    <t xml:space="preserve">[0.030, 2.740]</t>
  </si>
  <si>
    <t xml:space="preserve">[0.980, 1.377]</t>
  </si>
  <si>
    <t xml:space="preserve">[0.515, 2.215]</t>
  </si>
  <si>
    <t xml:space="preserve">Adjusted regression - matched cohort (Diabetes_vs_Control) (covariates: Age_Years, Preop_SEQ_D, Preop_Pachymetry_um)</t>
  </si>
  <si>
    <t xml:space="preserve">beta = -27.74 [-56.82, 1.33]</t>
  </si>
  <si>
    <t xml:space="preserve">0.061</t>
  </si>
  <si>
    <t xml:space="preserve">93</t>
  </si>
  <si>
    <t xml:space="preserve">beta = -0.19 [-0.35, -0.03]</t>
  </si>
  <si>
    <t xml:space="preserve">0.023</t>
  </si>
  <si>
    <t xml:space="preserve">beta = -0.03 [-0.10, 0.05]</t>
  </si>
  <si>
    <t xml:space="preserve">0.456</t>
  </si>
  <si>
    <t xml:space="preserve">beta = 0.06 [0.04, 0.09]</t>
  </si>
  <si>
    <t xml:space="preserve">0.082</t>
  </si>
  <si>
    <t xml:space="preserve">OR = 3.16 [1.10, 9.08]</t>
  </si>
  <si>
    <t xml:space="preserve">0.032</t>
  </si>
  <si>
    <t xml:space="preserve">93 (19 events)</t>
  </si>
  <si>
    <t xml:space="preserve">CAUTION: only 19 eyes in the smaller outcome class for 4 parameters (&lt;10 per parameter) - possible overfitting</t>
  </si>
  <si>
    <t xml:space="preserve">OR = 0.28 [0.03, 2.53]</t>
  </si>
  <si>
    <t xml:space="preserve">0.255</t>
  </si>
  <si>
    <t xml:space="preserve">93 (5 events)</t>
  </si>
  <si>
    <t xml:space="preserve">CAUTION: only 5 eyes in the smaller outcome class for 4 parameters (&lt;10 per parameter) - possible overfitting</t>
  </si>
  <si>
    <t xml:space="preserve">[-305.023, 254.248]</t>
  </si>
  <si>
    <t xml:space="preserve">Linear GEE (beta), working correlation: independence (weighted)</t>
  </si>
  <si>
    <t xml:space="preserve">[-56.817, 1.335]</t>
  </si>
  <si>
    <t xml:space="preserve">[-1.762, 5.706]</t>
  </si>
  <si>
    <t xml:space="preserve">[-9.134, 6.735]</t>
  </si>
  <si>
    <t xml:space="preserve">[-0.232, 0.742]</t>
  </si>
  <si>
    <t xml:space="preserve">[-1.092, 2.348]</t>
  </si>
  <si>
    <t xml:space="preserve">[-0.349, -0.026]</t>
  </si>
  <si>
    <t xml:space="preserve">[-0.005, 0.024]</t>
  </si>
  <si>
    <t xml:space="preserve">[-0.039, 0.052]</t>
  </si>
  <si>
    <t xml:space="preserve">[-0.005, 0.001]</t>
  </si>
  <si>
    <t xml:space="preserve">[-0.739, 0.718]</t>
  </si>
  <si>
    <t xml:space="preserve">[-0.103, 0.046]</t>
  </si>
  <si>
    <t xml:space="preserve">[-0.008, 0.010]</t>
  </si>
  <si>
    <t xml:space="preserve">[-0.555, -0.113]</t>
  </si>
  <si>
    <t xml:space="preserve">[0.040, 0.086]</t>
  </si>
  <si>
    <t xml:space="preserve">[-0.012, 0.002]</t>
  </si>
  <si>
    <t xml:space="preserve">[-0.323, -0.044]</t>
  </si>
  <si>
    <t xml:space="preserve">[-0.002, 0.029]</t>
  </si>
  <si>
    <t xml:space="preserve">[-0.003, 0.000]</t>
  </si>
  <si>
    <t xml:space="preserve">[0.002, 4399959.503]</t>
  </si>
  <si>
    <t xml:space="preserve">Logistic GEE (OR), working correlation: independence (weighted)</t>
  </si>
  <si>
    <t xml:space="preserve">[1.101, 9.083]</t>
  </si>
  <si>
    <t xml:space="preserve">[0.939, 1.259]</t>
  </si>
  <si>
    <t xml:space="preserve">[0.785, 1.498]</t>
  </si>
  <si>
    <t xml:space="preserve">[0.960, 1.007]</t>
  </si>
  <si>
    <t xml:space="preserve">[0.000, 26688.941]</t>
  </si>
  <si>
    <t xml:space="preserve">[0.030, 2.530]</t>
  </si>
  <si>
    <t xml:space="preserve">[1.000, 1.404]</t>
  </si>
  <si>
    <t xml:space="preserve">[0.490, 2.241]</t>
  </si>
  <si>
    <t xml:space="preserve">[0.962, 1.026]</t>
  </si>
  <si>
    <t xml:space="preserve">NOTE: the matched cohort carries non-unit matching weights (0.792-1.58). Descriptives and the table tests are weighted by the MatchIt weights (weighted Wald test, GEE robust SE); n = matched rows, ESS = effective sample size. The GEE / adjusted-regression columns are weighted too. Within-group sections and the mEYEstro / AstigMATIC tabs list the matched rows unweighted.</t>
  </si>
  <si>
    <t xml:space="preserve">Baseline (matched)</t>
  </si>
  <si>
    <t xml:space="preserve">Control (n = 57 eyes; 44 patients, ESS = 51)</t>
  </si>
  <si>
    <t xml:space="preserve">Diabetes (n = 36 eyes; 24 patients, ESS = 36)</t>
  </si>
  <si>
    <t xml:space="preserve">34.49 ± 5.56</t>
  </si>
  <si>
    <t xml:space="preserve">34.83 ± 4.33</t>
  </si>
  <si>
    <t xml:space="preserve">0.783</t>
  </si>
  <si>
    <t xml:space="preserve">Weighted Wald test (GEE, robust SE)</t>
  </si>
  <si>
    <t xml:space="preserve">β = -0.028 [-2.511, 2.455]</t>
  </si>
  <si>
    <t xml:space="preserve">0.983</t>
  </si>
  <si>
    <t xml:space="preserve">-4.56 ± 2.07</t>
  </si>
  <si>
    <t xml:space="preserve">-4.59 ± 1.45</t>
  </si>
  <si>
    <t xml:space="preserve">0.927</t>
  </si>
  <si>
    <t xml:space="preserve">β = -0.033 [-0.739, 0.673]</t>
  </si>
  <si>
    <t xml:space="preserve">-4.2 ± 2.09</t>
  </si>
  <si>
    <t xml:space="preserve">-4.28 ± 1.43</t>
  </si>
  <si>
    <t xml:space="preserve">0.818</t>
  </si>
  <si>
    <t xml:space="preserve">β = -0.083 [-0.794, 0.627]</t>
  </si>
  <si>
    <t xml:space="preserve">-0.69 ± 0.51</t>
  </si>
  <si>
    <t xml:space="preserve">-0.65 ± 0.56</t>
  </si>
  <si>
    <t xml:space="preserve">0.744</t>
  </si>
  <si>
    <t xml:space="preserve">β = 0.035 [-0.174, 0.243]</t>
  </si>
  <si>
    <t xml:space="preserve">1.12 ± 0.24</t>
  </si>
  <si>
    <t xml:space="preserve">1.12 ± 0.2</t>
  </si>
  <si>
    <t xml:space="preserve">0.970</t>
  </si>
  <si>
    <t xml:space="preserve">β = -0.002 [-0.088, 0.085]</t>
  </si>
  <si>
    <t xml:space="preserve">0 ± 0.03</t>
  </si>
  <si>
    <t xml:space="preserve">0.164</t>
  </si>
  <si>
    <t xml:space="preserve">β = 0.010 [-0.004, 0.024]</t>
  </si>
  <si>
    <t xml:space="preserve">538.26 ± 27.77</t>
  </si>
  <si>
    <t xml:space="preserve">536.06 ± 25.82</t>
  </si>
  <si>
    <t xml:space="preserve">0.730</t>
  </si>
  <si>
    <t xml:space="preserve">β = -2.208 [-14.765, 10.348]</t>
  </si>
  <si>
    <t xml:space="preserve">43.83 ± 1.52</t>
  </si>
  <si>
    <t xml:space="preserve">43.72 ± 1.5</t>
  </si>
  <si>
    <t xml:space="preserve">0.764</t>
  </si>
  <si>
    <t xml:space="preserve">β = -0.104 [-0.782, 0.575]</t>
  </si>
  <si>
    <t xml:space="preserve">0.302</t>
  </si>
  <si>
    <t xml:space="preserve">Weighted Wald test on ranks (GEE, robust SE)</t>
  </si>
  <si>
    <t xml:space="preserve">27.3/42.8 (63.9%)</t>
  </si>
  <si>
    <t xml:space="preserve">12/24 (50%)</t>
  </si>
  <si>
    <t xml:space="preserve">0.271</t>
  </si>
  <si>
    <t xml:space="preserve">OR = 0.476 [0.162, 1.399]</t>
  </si>
  <si>
    <t xml:space="preserve">0.177</t>
  </si>
  <si>
    <t xml:space="preserve">7.5/42.8 (17.6%)</t>
  </si>
  <si>
    <t xml:space="preserve">6/24 (25%)</t>
  </si>
  <si>
    <t xml:space="preserve">0.475</t>
  </si>
  <si>
    <t xml:space="preserve">OR = 1.000 [0.272, 3.680]</t>
  </si>
  <si>
    <t xml:space="preserve">17.4/57 (30.6%)</t>
  </si>
  <si>
    <t xml:space="preserve">9/36 (25%)</t>
  </si>
  <si>
    <t xml:space="preserve">Not available with matching weights</t>
  </si>
  <si>
    <t xml:space="preserve">Not estimable - no weighted test for a categorical variable with more than two levels.</t>
  </si>
  <si>
    <t xml:space="preserve">28.5/57 (50%)</t>
  </si>
  <si>
    <t xml:space="preserve">12/36 (33.3%)</t>
  </si>
  <si>
    <t xml:space="preserve">11.1/57 (19.4%)</t>
  </si>
  <si>
    <t xml:space="preserve">15/36 (41.7%)</t>
  </si>
  <si>
    <t xml:space="preserve">Preoperative / intraoperative (matched)</t>
  </si>
  <si>
    <t xml:space="preserve">6.54 ± 0.29</t>
  </si>
  <si>
    <t xml:space="preserve">6.5 ± 0.29</t>
  </si>
  <si>
    <t xml:space="preserve">β = -0.040 [-0.159, 0.080]</t>
  </si>
  <si>
    <t xml:space="preserve">70.42 ± 29.84</t>
  </si>
  <si>
    <t xml:space="preserve">68.5 ± 21.98</t>
  </si>
  <si>
    <t xml:space="preserve">0.717</t>
  </si>
  <si>
    <t xml:space="preserve">β = -1.917 [-12.272, 8.439]</t>
  </si>
  <si>
    <t xml:space="preserve">57/57 (100%)</t>
  </si>
  <si>
    <t xml:space="preserve">36/36 (100%)</t>
  </si>
  <si>
    <t xml:space="preserve">185.96 ± 86.98</t>
  </si>
  <si>
    <t xml:space="preserve">157.64 ± 65.51</t>
  </si>
  <si>
    <t xml:space="preserve">β = -28.319 [-57.977, 1.338]</t>
  </si>
  <si>
    <t xml:space="preserve">-0.16 ± 0.48</t>
  </si>
  <si>
    <t xml:space="preserve">0.030</t>
  </si>
  <si>
    <t xml:space="preserve">β = -0.184 [-0.350, -0.018]</t>
  </si>
  <si>
    <t xml:space="preserve">-0.2 ± 0.18</t>
  </si>
  <si>
    <t xml:space="preserve">-0.23 ± 0.18</t>
  </si>
  <si>
    <t xml:space="preserve">0.467</t>
  </si>
  <si>
    <t xml:space="preserve">β = -0.028 [-0.103, 0.047]</t>
  </si>
  <si>
    <t xml:space="preserve">0 ± 0.06</t>
  </si>
  <si>
    <t xml:space="preserve">0.07 ± 0.05</t>
  </si>
  <si>
    <t xml:space="preserve">β = 0.062 [0.038, 0.086]</t>
  </si>
  <si>
    <t xml:space="preserve">0.112</t>
  </si>
  <si>
    <t xml:space="preserve">β = 0.013 [-0.003, 0.029]</t>
  </si>
  <si>
    <t xml:space="preserve">0.710</t>
  </si>
  <si>
    <t xml:space="preserve">4 [4–5] (n = 55)</t>
  </si>
  <si>
    <t xml:space="preserve">4 [3–5] (n = 33)</t>
  </si>
  <si>
    <t xml:space="preserve">0.776</t>
  </si>
  <si>
    <t xml:space="preserve">7.1/57 (12.5%)</t>
  </si>
  <si>
    <t xml:space="preserve">11/36 (30.6%)</t>
  </si>
  <si>
    <t xml:space="preserve">0.031</t>
  </si>
  <si>
    <t xml:space="preserve">OR = 3.080 [1.107, 8.573]</t>
  </si>
  <si>
    <t xml:space="preserve">5.5/57 (9.7%)</t>
  </si>
  <si>
    <t xml:space="preserve">1/36 (2.8%)</t>
  </si>
  <si>
    <t xml:space="preserve">0.245</t>
  </si>
  <si>
    <t xml:space="preserve">OR = 0.265 [0.028, 2.486]</t>
  </si>
  <si>
    <t xml:space="preserve">0.8/57 (1.4%)</t>
  </si>
  <si>
    <t xml:space="preserve">2/36 (5.6%)</t>
  </si>
  <si>
    <t xml:space="preserve">2.4/57 (4.2%)</t>
  </si>
  <si>
    <t xml:space="preserve">0/36 (0%)</t>
  </si>
  <si>
    <t xml:space="preserve">51.5/57 (90.3%)</t>
  </si>
  <si>
    <t xml:space="preserve">32/36 (88.9%)</t>
  </si>
  <si>
    <t xml:space="preserve">- no weighted test for a categorical variable with more than two levels: Surgeon; Complication Type.</t>
  </si>
  <si>
    <t xml:space="preserve">StandardEyes version</t>
  </si>
  <si>
    <t xml:space="preserve">not recorded (run from the command line)</t>
  </si>
  <si>
    <t xml:space="preserve">Build</t>
  </si>
  <si>
    <t xml:space="preserve">R version</t>
  </si>
  <si>
    <t xml:space="preserve">R version 4.5.2 (2025-10-31 ucrt)</t>
  </si>
  <si>
    <t xml:space="preserve">MatchIt</t>
  </si>
  <si>
    <t xml:space="preserve">4.7.2</t>
  </si>
  <si>
    <t xml:space="preserve">cobalt</t>
  </si>
  <si>
    <t xml:space="preserve">4.6.1</t>
  </si>
  <si>
    <t xml:space="preserve">geepack</t>
  </si>
  <si>
    <t xml:space="preserve">1.3.13</t>
  </si>
  <si>
    <t xml:space="preserve">ggplot2</t>
  </si>
  <si>
    <t xml:space="preserve">4.0.1</t>
  </si>
  <si>
    <t xml:space="preserve">openxlsx</t>
  </si>
  <si>
    <t xml:space="preserve">4.2.8.1</t>
  </si>
  <si>
    <t xml:space="preserve">Run time</t>
  </si>
  <si>
    <t xml:space="preserve">2026-10-02 22:38:47</t>
  </si>
  <si>
    <t xml:space="preserve">Input file</t>
  </si>
  <si>
    <t xml:space="preserve">Example_Refractive_Dataset.xlsx</t>
  </si>
  <si>
    <t xml:space="preserve">Sheet</t>
  </si>
  <si>
    <t xml:space="preserve">sheet 1 ('Surgeries')</t>
  </si>
  <si>
    <t xml:space="preserve">Input MD5 checksum</t>
  </si>
  <si>
    <t xml:space="preserve">90362219da759c9a1c04ef170ffca4ec</t>
  </si>
  <si>
    <t xml:space="preserve">Run / subset</t>
  </si>
  <si>
    <t xml:space="preserve">LASIK: Procedure in {LASIK}</t>
  </si>
  <si>
    <t xml:space="preserve">Rows analyzed</t>
  </si>
  <si>
    <t xml:space="preserve">Patient ID</t>
  </si>
  <si>
    <t xml:space="preserve">'PatientID'</t>
  </si>
  <si>
    <t xml:space="preserve">Control = 102; Diabetes = 48</t>
  </si>
  <si>
    <t xml:space="preserve">Filter rules</t>
  </si>
  <si>
    <t xml:space="preserve">4</t>
  </si>
  <si>
    <t xml:space="preserve">VA notation</t>
  </si>
  <si>
    <t xml:space="preserve">decimal (1.0 = 20/20)</t>
  </si>
  <si>
    <t xml:space="preserve">LogMAR conversion</t>
  </si>
  <si>
    <t xml:space="preserve">on: Preop_UDVA, Preop_CDVA, Postop_UDVA, Postop_CDVA</t>
  </si>
  <si>
    <t xml:space="preserve">Matching</t>
  </si>
  <si>
    <t xml:space="preserve">nearest-neighbour on the propensity score (MatchIt)</t>
  </si>
  <si>
    <t xml:space="preserve">Matching settings</t>
  </si>
  <si>
    <t xml:space="preserve">method nearest, distance logit, ratio 2, replacement off, caliper 0.2 (SD of the propensity score), order largest, seed 20250601</t>
  </si>
  <si>
    <t xml:space="preserve">Matching weights</t>
  </si>
  <si>
    <t xml:space="preserve">non-unit (0.792-1.58); used in the matched tables and in the matched GEE / regression (working correlation: independence (weighted))</t>
  </si>
  <si>
    <t xml:space="preserve">GEE stage</t>
  </si>
  <si>
    <t xml:space="preserve">both</t>
  </si>
  <si>
    <t xml:space="preserve">GEE adjustment covariates</t>
  </si>
  <si>
    <t xml:space="preserve">GEE columns in summary tables</t>
  </si>
  <si>
    <t xml:space="preserve">main GEE, in the unmatched and matched summary tables</t>
  </si>
  <si>
    <t xml:space="preserve">Regression</t>
  </si>
  <si>
    <t xml:space="preserve">on</t>
  </si>
  <si>
    <t xml:space="preserve">Minus-cyl standardization</t>
  </si>
  <si>
    <t xml:space="preserve">Astigmatism test</t>
  </si>
  <si>
    <t xml:space="preserve">robust (20%-trimmed mean vectors, pooled winsorized covariance; cluster bootstrap over patients B = 999, seed 20250601)</t>
  </si>
  <si>
    <t xml:space="preserve">mEYEstro intended refraction</t>
  </si>
  <si>
    <t xml:space="preserve">SEQ plano (no target SEQ mapped); no cylinder (no astigmatism target mapped); vertex distance 12 mm assumed</t>
  </si>
  <si>
    <t xml:space="preserve">mEYEstro refraction notation</t>
  </si>
  <si>
    <t xml:space="preserve">minus cylinder (plus-cylinder rows transposed in the tab only)</t>
  </si>
  <si>
    <t xml:space="preserve">Random seeds</t>
  </si>
  <si>
    <t xml:space="preserve">bootstrap and Monte-Carlo exact tests 20250601; matching 20250601 (fixed, set locally; identical settings give identical results)</t>
  </si>
  <si>
    <t xml:space="preserve">Figure p-values</t>
  </si>
  <si>
    <t xml:space="preserve">clustered by patient (GEE)</t>
  </si>
  <si>
    <t xml:space="preserve">Full name</t>
  </si>
  <si>
    <t xml:space="preserve">Manifest</t>
  </si>
  <si>
    <t xml:space="preserve">Versions, input checksum and settings of this run.</t>
  </si>
  <si>
    <t xml:space="preserve">Overview</t>
  </si>
  <si>
    <t xml:space="preserve">Initial data summary, notes and quality checks.</t>
  </si>
  <si>
    <t xml:space="preserve">Baseline &amp; Preop Summary</t>
  </si>
  <si>
    <t xml:space="preserve">Baseline and preoperative tables, with within-group sections.</t>
  </si>
  <si>
    <t xml:space="preserve">Outcome Summary</t>
  </si>
  <si>
    <t xml:space="preserve">Outcome comparisons (GEE / adjusted columns merged in when requested).</t>
  </si>
  <si>
    <t xml:space="preserve">Publication Table</t>
  </si>
  <si>
    <t xml:space="preserve">Manuscript-ready stacked table.</t>
  </si>
  <si>
    <t xml:space="preserve">mEYEstro_Control</t>
  </si>
  <si>
    <t xml:space="preserve">mEYEstro-format export of one group (all rows): copy columns E-S (15 columns, template order) into the mEYEstro template - yellow E-I preop refraction, vertex (12 mm), preop CDVA; green J-M intended refraction; red N-S postop refraction, vertex, postop CDVA, postop UDVA. Grey A-D (group, decimal acuities) and blue T (postop SEQ) are for reference only.</t>
  </si>
  <si>
    <t xml:space="preserve">mEYEstro_Diabetes</t>
  </si>
  <si>
    <t xml:space="preserve">AstigMATIC_Control</t>
  </si>
  <si>
    <t xml:space="preserve">AstigMATIC input for one group (all rows): columns A-E (eye OD/OS, preop cylinder, preop axis, postop cylinder, postop axis) load directly into AstigMATIC; minus cylinder accepted.</t>
  </si>
  <si>
    <t xml:space="preserve">AstigMATIC_Diabetes</t>
  </si>
  <si>
    <t xml:space="preserve">GEE_Main_Unmatched_Base</t>
  </si>
  <si>
    <t xml:space="preserve">Clustered GEE, group as the only predictor.</t>
  </si>
  <si>
    <t xml:space="preserve">GEE_Main_Unmatched_Preop</t>
  </si>
  <si>
    <t xml:space="preserve">GEE_Main_Unmatched_Out</t>
  </si>
  <si>
    <t xml:space="preserve">GEE_Adj_Unmatched_Base</t>
  </si>
  <si>
    <t xml:space="preserve">Clustered GEE adjusted for the covariates listed per row and in the Manifest (a variable is never adjusted for itself).</t>
  </si>
  <si>
    <t xml:space="preserve">GEE_Adj_Unmatched_Preop</t>
  </si>
  <si>
    <t xml:space="preserve">GEE_Adj_Unmatched_Out</t>
  </si>
  <si>
    <t xml:space="preserve">Regression (adjusted)</t>
  </si>
  <si>
    <t xml:space="preserve">Covariate-adjusted models, with full-model appendix.</t>
  </si>
  <si>
    <t xml:space="preserve">PSM_Diabetes_vs_Control</t>
  </si>
  <si>
    <t xml:space="preserve">Matching (MatchIt): settings, covariates, balance and the matched rows.</t>
  </si>
  <si>
    <t xml:space="preserve">GEE_M_Diabetes_vs_Control</t>
  </si>
  <si>
    <t xml:space="preserve">Clustered GEE on the matched cohort.</t>
  </si>
  <si>
    <t xml:space="preserve">GEE_Adj_M_Diabetes_vs_Control</t>
  </si>
  <si>
    <t xml:space="preserve">Adjusted clustered GEE on the matched cohort (covariates listed per row and in the Manifest).</t>
  </si>
  <si>
    <t xml:space="preserve">Reg_M_Diabetes_vs_Control</t>
  </si>
  <si>
    <t xml:space="preserve">Covariate-adjusted models on the matched cohort.</t>
  </si>
  <si>
    <t xml:space="preserve">BasePreop_M_Diabetes_vs_Control</t>
  </si>
  <si>
    <t xml:space="preserve">Baseline and preop tables after matching.</t>
  </si>
  <si>
    <t xml:space="preserve">Out_M_Diabetes_vs_Control</t>
  </si>
  <si>
    <t xml:space="preserve">Outcome comparisons after matching.</t>
  </si>
  <si>
    <t xml:space="preserve">Pub_M_Diabetes_vs_Control</t>
  </si>
  <si>
    <t xml:space="preserve">Publication-style table for the matched cohort.</t>
  </si>
  <si>
    <t xml:space="preserve">mEYEstro_M_Control_Diabetes_vs_</t>
  </si>
  <si>
    <t xml:space="preserve">mEYEstro_M_Control_Diabetes_vs_Control</t>
  </si>
  <si>
    <t xml:space="preserve">mEYEstro-format export of one group of a matched pairing (matched rows, unweighted): copy columns E-S (15 columns, template order) into the mEYEstro template - yellow E-I preop refraction, vertex (12 mm), preop CDVA; green J-M intended refraction; red N-S postop refraction, vertex, postop CDVA, postop UDVA. Grey A-D (group, decimal acuities) and blue T (postop SEQ) are for reference only.</t>
  </si>
  <si>
    <t xml:space="preserve">mEYEstro_M_Diabetes_Diabetes_vs</t>
  </si>
  <si>
    <t xml:space="preserve">mEYEstro_M_Diabetes_Diabetes_vs_Control</t>
  </si>
  <si>
    <t xml:space="preserve">AstigMATIC_M_Control_Diabetes_v</t>
  </si>
  <si>
    <t xml:space="preserve">AstigMATIC_M_Control_Diabetes_vs_Control</t>
  </si>
  <si>
    <t xml:space="preserve">AstigMATIC input for one group of a matched pairing (matched rows, unweighted): columns A-E (eye OD/OS, preop cylinder, preop axis, postop cylinder, postop axis) load directly into AstigMATIC; minus cylinder accepted.</t>
  </si>
  <si>
    <t xml:space="preserve">AstigMATIC_M_Diabetes_Diabetes_</t>
  </si>
  <si>
    <t xml:space="preserve">AstigMATIC_M_Diabetes_Diabetes_vs_Control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</si>
</sst>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  <b/>
    </font>
    <font>
      <sz val="11"/>
      <color rgb="FFC00000"/>
      <name val="Calibri"/>
      <b/>
    </font>
    <font>
      <sz val="11"/>
      <color theme="10"/>
      <name val="Calibri"/>
      <u val="single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3D3D3"/>
      </patternFill>
    </fill>
    <fill>
      <patternFill patternType="solid">
        <fgColor rgb="FFFFFF99"/>
      </patternFill>
    </fill>
    <fill>
      <patternFill patternType="solid">
        <fgColor rgb="FFCCFFCC"/>
      </patternFill>
    </fill>
    <fill>
      <patternFill patternType="solid">
        <fgColor rgb="FFFF9999"/>
      </patternFill>
    </fill>
    <fill>
      <patternFill patternType="solid">
        <fgColor rgb="FF99CCFF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2" borderId="0" xfId="0" applyFont="1" applyFill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theme" Target="theme/theme1.xml"/><Relationship Id="rId30" Type="http://schemas.openxmlformats.org/officeDocument/2006/relationships/styles" Target="styles.xml"/><Relationship Id="rId31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E103" totalsRowCount="0" totalsRowShown="0">
  <autoFilter ref="A1:E103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E49" totalsRowCount="0" totalsRowShown="0">
  <autoFilter ref="A1:E49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E58" totalsRowCount="0" totalsRowShown="0">
  <autoFilter ref="A1:E58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E37" totalsRowCount="0" totalsRowShown="0">
  <autoFilter ref="A1:E37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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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
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
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
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
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Relationship Id="rId3" Type="http://schemas.openxmlformats.org/officeDocument/2006/relationships/table" Target="../tables/table3.xml"/></Relationships>
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Relationship Id="rId4" Type="http://schemas.openxmlformats.org/officeDocument/2006/relationships/table" Target="../tables/table4.xml"/></Relationships>
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
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
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
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
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
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
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
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
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
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
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
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
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
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

</file>

<file path=xl/worksheets/_rels/sheet2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3.bin"/></Relationships>

</file>

<file path=xl/worksheets/_rels/sheet2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4.bin"/></Relationships>

</file>

<file path=xl/worksheets/_rels/sheet2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5.bin"/><Relationship Id="rId5" Type="http://schemas.openxmlformats.org/officeDocument/2006/relationships/table" Target="../tables/table5.xml"/></Relationships>
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Relationship Id="rId6" Type="http://schemas.openxmlformats.org/officeDocument/2006/relationships/table" Target="../tables/table6.xml"/></Relationships>

</file>

<file path=xl/worksheets/_rels/sheet2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7.bin"/></Relationships>

</file>

<file path=xl/worksheets/_rels/sheet2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8.bin"/></Relationships>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t="s">
        <v>1</v>
      </c>
    </row>
    <row r="3">
      <c r="A3" t="s">
        <v>2</v>
      </c>
    </row>
    <row r="5">
      <c r="A5" s="1" t="s">
        <v>3</v>
      </c>
    </row>
    <row r="6">
      <c r="A6" t="s">
        <v>4</v>
      </c>
      <c r="B6" t="s">
        <v>5</v>
      </c>
    </row>
    <row r="7">
      <c r="A7" t="s">
        <v>6</v>
      </c>
      <c r="B7" t="s">
        <v>7</v>
      </c>
    </row>
    <row r="8">
      <c r="A8" t="s">
        <v>8</v>
      </c>
      <c r="B8" t="s">
        <v>9</v>
      </c>
    </row>
    <row r="9">
      <c r="A9" t="s">
        <v>10</v>
      </c>
      <c r="B9" t="s">
        <v>11</v>
      </c>
    </row>
    <row r="10">
      <c r="A10" t="s">
        <v>12</v>
      </c>
      <c r="B10" t="s">
        <v>13</v>
      </c>
    </row>
    <row r="11">
      <c r="A11" t="s">
        <v>14</v>
      </c>
      <c r="B11" t="s">
        <v>15</v>
      </c>
    </row>
    <row r="12">
      <c r="A12" t="s">
        <v>16</v>
      </c>
      <c r="B12" t="s">
        <v>17</v>
      </c>
    </row>
    <row r="13">
      <c r="A13" t="s">
        <v>18</v>
      </c>
      <c r="B13" t="s">
        <v>19</v>
      </c>
    </row>
    <row r="14">
      <c r="A14" t="s">
        <v>20</v>
      </c>
      <c r="B14" t="s">
        <v>21</v>
      </c>
    </row>
    <row r="16">
      <c r="A16" s="1" t="s">
        <v>22</v>
      </c>
    </row>
    <row r="17">
      <c r="A17" t="s">
        <v>23</v>
      </c>
      <c r="B17" t="s">
        <v>24</v>
      </c>
      <c r="C17" t="s">
        <v>25</v>
      </c>
    </row>
    <row r="18">
      <c r="A18" t="s">
        <v>26</v>
      </c>
      <c r="B18" t="n">
        <v>49</v>
      </c>
      <c r="C18" t="n">
        <v>51.6</v>
      </c>
    </row>
    <row r="19">
      <c r="A19" t="s">
        <v>27</v>
      </c>
      <c r="B19" t="n">
        <v>46</v>
      </c>
      <c r="C19" t="n">
        <v>48.4</v>
      </c>
    </row>
    <row r="21">
      <c r="A21" s="1" t="s">
        <v>28</v>
      </c>
    </row>
    <row r="22">
      <c r="A22" t="s">
        <v>29</v>
      </c>
      <c r="B22" t="s">
        <v>24</v>
      </c>
      <c r="C22" t="s">
        <v>25</v>
      </c>
    </row>
    <row r="23">
      <c r="A23" t="s">
        <v>30</v>
      </c>
      <c r="B23" t="n">
        <v>102</v>
      </c>
      <c r="C23" t="n">
        <v>68</v>
      </c>
    </row>
    <row r="24">
      <c r="A24" t="s">
        <v>31</v>
      </c>
      <c r="B24" t="n">
        <v>48</v>
      </c>
      <c r="C24" t="n">
        <v>32</v>
      </c>
    </row>
    <row r="26">
      <c r="A26" s="1" t="s">
        <v>32</v>
      </c>
    </row>
    <row r="27">
      <c r="A27" t="s">
        <v>33</v>
      </c>
      <c r="B27" t="s">
        <v>29</v>
      </c>
      <c r="C27" t="s">
        <v>34</v>
      </c>
    </row>
    <row r="28">
      <c r="A28" t="s">
        <v>30</v>
      </c>
      <c r="B28" t="s">
        <v>30</v>
      </c>
      <c r="C28" t="n">
        <v>102</v>
      </c>
    </row>
    <row r="29">
      <c r="A29" t="s">
        <v>31</v>
      </c>
      <c r="B29" t="s">
        <v>31</v>
      </c>
      <c r="C29" t="n">
        <v>48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35</v>
      </c>
    </row>
    <row r="2">
      <c r="A2" t="s">
        <v>36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>
      <c r="A3" t="s">
        <v>44</v>
      </c>
      <c r="B3" t="s">
        <v>45</v>
      </c>
      <c r="C3" t="s">
        <v>46</v>
      </c>
      <c r="D3" t="s">
        <v>47</v>
      </c>
      <c r="E3" t="s">
        <v>48</v>
      </c>
      <c r="F3" t="s">
        <v>49</v>
      </c>
      <c r="G3" t="s">
        <v>50</v>
      </c>
      <c r="H3" t="s">
        <v>47</v>
      </c>
    </row>
    <row r="4">
      <c r="A4" t="s">
        <v>51</v>
      </c>
      <c r="B4" t="s">
        <v>52</v>
      </c>
      <c r="C4" t="s">
        <v>53</v>
      </c>
      <c r="D4" t="s">
        <v>54</v>
      </c>
      <c r="E4" t="s">
        <v>48</v>
      </c>
      <c r="F4" t="s">
        <v>55</v>
      </c>
      <c r="G4" t="s">
        <v>56</v>
      </c>
      <c r="H4" t="s">
        <v>57</v>
      </c>
    </row>
    <row r="5">
      <c r="A5" t="s">
        <v>58</v>
      </c>
      <c r="B5" t="s">
        <v>59</v>
      </c>
      <c r="C5" t="s">
        <v>60</v>
      </c>
      <c r="D5" t="s">
        <v>61</v>
      </c>
      <c r="E5" t="s">
        <v>48</v>
      </c>
      <c r="F5" t="s">
        <v>55</v>
      </c>
      <c r="G5" t="s">
        <v>62</v>
      </c>
      <c r="H5" t="s">
        <v>63</v>
      </c>
    </row>
    <row r="6">
      <c r="A6" t="s">
        <v>64</v>
      </c>
      <c r="B6" t="s">
        <v>65</v>
      </c>
      <c r="C6" t="s">
        <v>66</v>
      </c>
      <c r="D6" t="s">
        <v>67</v>
      </c>
      <c r="E6" t="s">
        <v>48</v>
      </c>
      <c r="F6" t="s">
        <v>55</v>
      </c>
      <c r="G6" t="s">
        <v>68</v>
      </c>
      <c r="H6" t="s">
        <v>69</v>
      </c>
    </row>
    <row r="7">
      <c r="A7" t="s">
        <v>70</v>
      </c>
      <c r="B7" t="s">
        <v>71</v>
      </c>
      <c r="C7" t="s">
        <v>72</v>
      </c>
      <c r="D7" t="s">
        <v>73</v>
      </c>
      <c r="E7" t="s">
        <v>48</v>
      </c>
      <c r="F7" t="s">
        <v>55</v>
      </c>
      <c r="G7" t="s">
        <v>74</v>
      </c>
      <c r="H7" t="s">
        <v>75</v>
      </c>
    </row>
    <row r="8">
      <c r="A8" t="s">
        <v>76</v>
      </c>
      <c r="B8" t="s">
        <v>77</v>
      </c>
      <c r="C8" t="s">
        <v>77</v>
      </c>
      <c r="D8" t="s">
        <v>78</v>
      </c>
      <c r="E8" t="s">
        <v>48</v>
      </c>
      <c r="F8" t="s">
        <v>55</v>
      </c>
      <c r="G8" t="s">
        <v>79</v>
      </c>
      <c r="H8" t="s">
        <v>80</v>
      </c>
    </row>
    <row r="9">
      <c r="A9" t="s">
        <v>81</v>
      </c>
      <c r="B9" t="s">
        <v>82</v>
      </c>
      <c r="C9" t="s">
        <v>83</v>
      </c>
      <c r="D9" t="s">
        <v>84</v>
      </c>
      <c r="E9" t="s">
        <v>48</v>
      </c>
      <c r="F9" t="s">
        <v>49</v>
      </c>
      <c r="G9" t="s">
        <v>85</v>
      </c>
      <c r="H9" t="s">
        <v>86</v>
      </c>
    </row>
    <row r="10">
      <c r="A10" t="s">
        <v>87</v>
      </c>
      <c r="B10" t="s">
        <v>88</v>
      </c>
      <c r="C10" t="s">
        <v>89</v>
      </c>
      <c r="D10" t="s">
        <v>90</v>
      </c>
      <c r="E10" t="s">
        <v>48</v>
      </c>
      <c r="F10" t="s">
        <v>55</v>
      </c>
      <c r="G10" t="s">
        <v>91</v>
      </c>
      <c r="H10" t="s">
        <v>92</v>
      </c>
    </row>
    <row r="11">
      <c r="A11" t="s">
        <v>93</v>
      </c>
      <c r="B11" t="s">
        <v>94</v>
      </c>
      <c r="C11" t="s">
        <v>95</v>
      </c>
      <c r="D11" t="s">
        <v>96</v>
      </c>
      <c r="E11" t="s">
        <v>97</v>
      </c>
      <c r="F11" t="s">
        <v>55</v>
      </c>
      <c r="G11" t="s">
        <v>98</v>
      </c>
      <c r="H11" t="s">
        <v>98</v>
      </c>
    </row>
    <row r="12">
      <c r="A12" t="s">
        <v>99</v>
      </c>
      <c r="B12" t="s">
        <v>100</v>
      </c>
      <c r="C12" t="s">
        <v>101</v>
      </c>
      <c r="D12" t="s">
        <v>102</v>
      </c>
      <c r="E12" t="s">
        <v>103</v>
      </c>
      <c r="F12" t="s">
        <v>55</v>
      </c>
      <c r="G12" t="s">
        <v>104</v>
      </c>
      <c r="H12" t="s">
        <v>105</v>
      </c>
    </row>
    <row r="13">
      <c r="A13" t="s">
        <v>106</v>
      </c>
      <c r="B13" t="s">
        <v>107</v>
      </c>
      <c r="C13" t="s">
        <v>108</v>
      </c>
      <c r="D13" t="s">
        <v>109</v>
      </c>
      <c r="E13" t="s">
        <v>103</v>
      </c>
      <c r="F13" t="s">
        <v>55</v>
      </c>
      <c r="G13" t="s">
        <v>110</v>
      </c>
      <c r="H13" t="s">
        <v>111</v>
      </c>
    </row>
    <row r="14">
      <c r="A14" t="s">
        <v>112</v>
      </c>
      <c r="B14" t="s">
        <v>113</v>
      </c>
      <c r="C14" t="s">
        <v>114</v>
      </c>
      <c r="D14" t="s">
        <v>115</v>
      </c>
      <c r="E14" t="s">
        <v>103</v>
      </c>
      <c r="F14" t="s">
        <v>55</v>
      </c>
      <c r="G14" t="s">
        <v>98</v>
      </c>
      <c r="H14" t="s">
        <v>98</v>
      </c>
    </row>
    <row r="15">
      <c r="A15" t="s">
        <v>116</v>
      </c>
      <c r="B15" t="s">
        <v>117</v>
      </c>
      <c r="C15" t="s">
        <v>118</v>
      </c>
      <c r="D15" t="s">
        <v>98</v>
      </c>
      <c r="E15" t="s">
        <v>98</v>
      </c>
      <c r="F15" t="s">
        <v>98</v>
      </c>
      <c r="G15" t="s">
        <v>98</v>
      </c>
      <c r="H15" t="s">
        <v>98</v>
      </c>
    </row>
    <row r="16">
      <c r="A16" t="s">
        <v>119</v>
      </c>
      <c r="B16" t="s">
        <v>120</v>
      </c>
      <c r="C16" t="s">
        <v>121</v>
      </c>
      <c r="D16" t="s">
        <v>98</v>
      </c>
      <c r="E16" t="s">
        <v>98</v>
      </c>
      <c r="F16" t="s">
        <v>98</v>
      </c>
      <c r="G16" t="s">
        <v>98</v>
      </c>
      <c r="H16" t="s">
        <v>98</v>
      </c>
    </row>
    <row r="18">
      <c r="A18" s="1" t="s">
        <v>122</v>
      </c>
    </row>
    <row r="19">
      <c r="A19" t="s">
        <v>36</v>
      </c>
      <c r="B19" t="s">
        <v>37</v>
      </c>
      <c r="C19" t="s">
        <v>38</v>
      </c>
      <c r="D19" t="s">
        <v>39</v>
      </c>
      <c r="E19" t="s">
        <v>40</v>
      </c>
      <c r="F19" t="s">
        <v>41</v>
      </c>
      <c r="G19" t="s">
        <v>42</v>
      </c>
      <c r="H19" t="s">
        <v>43</v>
      </c>
    </row>
    <row r="20">
      <c r="A20" t="s">
        <v>123</v>
      </c>
      <c r="B20" t="s">
        <v>124</v>
      </c>
      <c r="C20" t="s">
        <v>125</v>
      </c>
      <c r="D20" t="s">
        <v>126</v>
      </c>
      <c r="E20" t="s">
        <v>48</v>
      </c>
      <c r="F20" t="s">
        <v>55</v>
      </c>
      <c r="G20" t="s">
        <v>127</v>
      </c>
      <c r="H20" t="s">
        <v>128</v>
      </c>
    </row>
    <row r="21">
      <c r="A21" t="s">
        <v>129</v>
      </c>
      <c r="B21" t="s">
        <v>130</v>
      </c>
      <c r="C21" t="s">
        <v>131</v>
      </c>
      <c r="D21" t="s">
        <v>132</v>
      </c>
      <c r="E21" t="s">
        <v>48</v>
      </c>
      <c r="F21" t="s">
        <v>55</v>
      </c>
      <c r="G21" t="s">
        <v>133</v>
      </c>
      <c r="H21" t="s">
        <v>134</v>
      </c>
    </row>
    <row r="22">
      <c r="A22" t="s">
        <v>135</v>
      </c>
      <c r="B22" t="s">
        <v>136</v>
      </c>
      <c r="C22" t="s">
        <v>137</v>
      </c>
      <c r="D22"/>
      <c r="E22" t="s">
        <v>138</v>
      </c>
      <c r="F22" t="s">
        <v>139</v>
      </c>
      <c r="G22" t="s">
        <v>98</v>
      </c>
      <c r="H22" t="s">
        <v>98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140</v>
      </c>
      <c r="J1" t="s">
        <v>141</v>
      </c>
    </row>
    <row r="2">
      <c r="A2" t="s">
        <v>142</v>
      </c>
      <c r="B2" t="s">
        <v>143</v>
      </c>
      <c r="C2" t="s">
        <v>144</v>
      </c>
      <c r="D2" t="s">
        <v>145</v>
      </c>
      <c r="E2" t="s">
        <v>48</v>
      </c>
      <c r="F2" t="s">
        <v>55</v>
      </c>
      <c r="G2" t="s">
        <v>146</v>
      </c>
      <c r="H2" t="s">
        <v>147</v>
      </c>
      <c r="I2" t="s">
        <v>148</v>
      </c>
      <c r="J2" t="s">
        <v>149</v>
      </c>
    </row>
    <row r="3">
      <c r="A3" t="s">
        <v>150</v>
      </c>
      <c r="B3" t="s">
        <v>151</v>
      </c>
      <c r="C3" t="s">
        <v>152</v>
      </c>
      <c r="D3" t="s">
        <v>153</v>
      </c>
      <c r="E3" t="s">
        <v>48</v>
      </c>
      <c r="F3" t="s">
        <v>49</v>
      </c>
      <c r="G3" t="s">
        <v>154</v>
      </c>
      <c r="H3" t="s">
        <v>155</v>
      </c>
      <c r="I3" t="s">
        <v>156</v>
      </c>
      <c r="J3" t="s">
        <v>157</v>
      </c>
    </row>
    <row r="4">
      <c r="A4" t="s">
        <v>158</v>
      </c>
      <c r="B4" t="s">
        <v>159</v>
      </c>
      <c r="C4" t="s">
        <v>160</v>
      </c>
      <c r="D4" t="s">
        <v>161</v>
      </c>
      <c r="E4" t="s">
        <v>48</v>
      </c>
      <c r="F4" t="s">
        <v>55</v>
      </c>
      <c r="G4" t="s">
        <v>162</v>
      </c>
      <c r="H4" t="s">
        <v>163</v>
      </c>
      <c r="I4" t="s">
        <v>164</v>
      </c>
      <c r="J4" t="s">
        <v>165</v>
      </c>
    </row>
    <row r="5">
      <c r="A5" t="s">
        <v>166</v>
      </c>
      <c r="B5" t="s">
        <v>167</v>
      </c>
      <c r="C5" t="s">
        <v>168</v>
      </c>
      <c r="D5" t="s">
        <v>47</v>
      </c>
      <c r="E5" t="s">
        <v>48</v>
      </c>
      <c r="F5" t="s">
        <v>49</v>
      </c>
      <c r="G5" t="s">
        <v>169</v>
      </c>
      <c r="H5" t="s">
        <v>47</v>
      </c>
      <c r="I5" t="s">
        <v>170</v>
      </c>
      <c r="J5" t="s">
        <v>47</v>
      </c>
    </row>
    <row r="6">
      <c r="A6" t="s">
        <v>171</v>
      </c>
      <c r="B6" t="s">
        <v>172</v>
      </c>
      <c r="C6" t="s">
        <v>77</v>
      </c>
      <c r="D6" t="s">
        <v>173</v>
      </c>
      <c r="E6" t="s">
        <v>48</v>
      </c>
      <c r="F6" t="s">
        <v>55</v>
      </c>
      <c r="G6" t="s">
        <v>174</v>
      </c>
      <c r="H6" t="s">
        <v>175</v>
      </c>
      <c r="I6" t="s">
        <v>176</v>
      </c>
      <c r="J6" t="s">
        <v>177</v>
      </c>
    </row>
    <row r="7">
      <c r="A7" t="s">
        <v>178</v>
      </c>
      <c r="B7" t="s">
        <v>179</v>
      </c>
      <c r="C7" t="s">
        <v>179</v>
      </c>
      <c r="D7" t="s">
        <v>180</v>
      </c>
      <c r="E7" t="s">
        <v>97</v>
      </c>
      <c r="F7" t="s">
        <v>55</v>
      </c>
      <c r="G7" t="s">
        <v>98</v>
      </c>
      <c r="H7" t="s">
        <v>98</v>
      </c>
      <c r="I7" t="s">
        <v>98</v>
      </c>
      <c r="J7" t="s">
        <v>98</v>
      </c>
    </row>
    <row r="8">
      <c r="A8" t="s">
        <v>181</v>
      </c>
      <c r="B8" t="s">
        <v>182</v>
      </c>
      <c r="C8" t="s">
        <v>183</v>
      </c>
      <c r="D8" t="s">
        <v>184</v>
      </c>
      <c r="E8" t="s">
        <v>97</v>
      </c>
      <c r="F8" t="s">
        <v>55</v>
      </c>
      <c r="G8" t="s">
        <v>98</v>
      </c>
      <c r="H8" t="s">
        <v>98</v>
      </c>
      <c r="I8" t="s">
        <v>98</v>
      </c>
      <c r="J8" t="s">
        <v>98</v>
      </c>
    </row>
    <row r="9">
      <c r="A9" t="s">
        <v>185</v>
      </c>
      <c r="B9" t="s">
        <v>186</v>
      </c>
      <c r="C9" t="s">
        <v>187</v>
      </c>
      <c r="D9" t="s">
        <v>188</v>
      </c>
      <c r="E9" t="s">
        <v>103</v>
      </c>
      <c r="F9" t="s">
        <v>55</v>
      </c>
      <c r="G9" t="s">
        <v>189</v>
      </c>
      <c r="H9" t="s">
        <v>190</v>
      </c>
      <c r="I9" t="s">
        <v>191</v>
      </c>
      <c r="J9" t="s">
        <v>192</v>
      </c>
    </row>
    <row r="10">
      <c r="A10" t="s">
        <v>193</v>
      </c>
      <c r="B10" t="s">
        <v>194</v>
      </c>
      <c r="C10" t="s">
        <v>195</v>
      </c>
      <c r="D10" t="s">
        <v>196</v>
      </c>
      <c r="E10" t="s">
        <v>197</v>
      </c>
      <c r="F10" t="s">
        <v>55</v>
      </c>
      <c r="G10" t="s">
        <v>198</v>
      </c>
      <c r="H10" t="s">
        <v>199</v>
      </c>
      <c r="I10" t="s">
        <v>200</v>
      </c>
      <c r="J10" t="s">
        <v>201</v>
      </c>
    </row>
    <row r="11">
      <c r="A11" t="s">
        <v>202</v>
      </c>
      <c r="B11" t="s">
        <v>203</v>
      </c>
      <c r="C11" t="s">
        <v>195</v>
      </c>
      <c r="D11" t="s">
        <v>204</v>
      </c>
      <c r="E11" t="s">
        <v>197</v>
      </c>
      <c r="F11" t="s">
        <v>55</v>
      </c>
      <c r="G11" t="s">
        <v>98</v>
      </c>
      <c r="H11" t="s">
        <v>98</v>
      </c>
      <c r="I11" t="s">
        <v>98</v>
      </c>
      <c r="J11" t="s">
        <v>98</v>
      </c>
    </row>
    <row r="12">
      <c r="A12" t="s">
        <v>205</v>
      </c>
      <c r="B12" t="s">
        <v>206</v>
      </c>
      <c r="C12" t="s">
        <v>207</v>
      </c>
      <c r="D12" t="s">
        <v>98</v>
      </c>
      <c r="E12" t="s">
        <v>98</v>
      </c>
      <c r="F12" t="s">
        <v>98</v>
      </c>
      <c r="G12" t="s">
        <v>98</v>
      </c>
      <c r="H12" t="s">
        <v>98</v>
      </c>
      <c r="I12" t="s">
        <v>98</v>
      </c>
      <c r="J12" t="s">
        <v>98</v>
      </c>
    </row>
    <row r="13">
      <c r="A13" t="s">
        <v>208</v>
      </c>
      <c r="B13" t="s">
        <v>209</v>
      </c>
      <c r="C13" t="s">
        <v>210</v>
      </c>
      <c r="D13" t="s">
        <v>98</v>
      </c>
      <c r="E13" t="s">
        <v>98</v>
      </c>
      <c r="F13" t="s">
        <v>98</v>
      </c>
      <c r="G13" t="s">
        <v>98</v>
      </c>
      <c r="H13" t="s">
        <v>98</v>
      </c>
      <c r="I13" t="s">
        <v>98</v>
      </c>
      <c r="J13" t="s">
        <v>98</v>
      </c>
    </row>
    <row r="14">
      <c r="A14" t="s">
        <v>211</v>
      </c>
      <c r="B14" t="s">
        <v>212</v>
      </c>
      <c r="C14" t="s">
        <v>213</v>
      </c>
      <c r="D14" t="s">
        <v>98</v>
      </c>
      <c r="E14" t="s">
        <v>98</v>
      </c>
      <c r="F14" t="s">
        <v>98</v>
      </c>
      <c r="G14" t="s">
        <v>98</v>
      </c>
      <c r="H14" t="s">
        <v>98</v>
      </c>
      <c r="I14" t="s">
        <v>98</v>
      </c>
      <c r="J14" t="s">
        <v>98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</cols>
  <sheetData>
    <row r="1">
      <c r="A1" s="2" t="s">
        <v>36</v>
      </c>
      <c r="B1" s="2" t="s">
        <v>37</v>
      </c>
      <c r="C1" s="2" t="s">
        <v>38</v>
      </c>
      <c r="D1" s="2" t="s">
        <v>214</v>
      </c>
      <c r="E1" s="2" t="s">
        <v>42</v>
      </c>
      <c r="F1" s="2" t="s">
        <v>43</v>
      </c>
      <c r="G1" s="2" t="s">
        <v>140</v>
      </c>
      <c r="H1" s="2" t="s">
        <v>141</v>
      </c>
    </row>
    <row r="2">
      <c r="A2" s="3" t="s">
        <v>215</v>
      </c>
      <c r="B2" s="3" t="s">
        <v>98</v>
      </c>
      <c r="C2" s="3" t="s">
        <v>98</v>
      </c>
      <c r="D2" s="3" t="s">
        <v>98</v>
      </c>
      <c r="E2" s="3" t="s">
        <v>98</v>
      </c>
      <c r="F2" s="3" t="s">
        <v>98</v>
      </c>
      <c r="G2" s="3" t="s">
        <v>98</v>
      </c>
      <c r="H2" s="3" t="s">
        <v>98</v>
      </c>
    </row>
    <row r="3">
      <c r="A3" t="s">
        <v>216</v>
      </c>
      <c r="B3" t="s">
        <v>45</v>
      </c>
      <c r="C3" t="s">
        <v>46</v>
      </c>
      <c r="D3" t="s">
        <v>47</v>
      </c>
      <c r="E3" t="s">
        <v>50</v>
      </c>
      <c r="F3" t="s">
        <v>47</v>
      </c>
      <c r="G3" t="s">
        <v>98</v>
      </c>
      <c r="H3" t="s">
        <v>98</v>
      </c>
    </row>
    <row r="4">
      <c r="A4" t="s">
        <v>217</v>
      </c>
      <c r="B4" t="s">
        <v>52</v>
      </c>
      <c r="C4" t="s">
        <v>53</v>
      </c>
      <c r="D4" t="s">
        <v>54</v>
      </c>
      <c r="E4" t="s">
        <v>56</v>
      </c>
      <c r="F4" t="s">
        <v>57</v>
      </c>
      <c r="G4" t="s">
        <v>98</v>
      </c>
      <c r="H4" t="s">
        <v>98</v>
      </c>
    </row>
    <row r="5">
      <c r="A5" t="s">
        <v>218</v>
      </c>
      <c r="B5" t="s">
        <v>59</v>
      </c>
      <c r="C5" t="s">
        <v>60</v>
      </c>
      <c r="D5" t="s">
        <v>61</v>
      </c>
      <c r="E5" t="s">
        <v>62</v>
      </c>
      <c r="F5" t="s">
        <v>63</v>
      </c>
      <c r="G5" t="s">
        <v>98</v>
      </c>
      <c r="H5" t="s">
        <v>98</v>
      </c>
    </row>
    <row r="6">
      <c r="A6" t="s">
        <v>219</v>
      </c>
      <c r="B6" t="s">
        <v>65</v>
      </c>
      <c r="C6" t="s">
        <v>66</v>
      </c>
      <c r="D6" t="s">
        <v>67</v>
      </c>
      <c r="E6" t="s">
        <v>68</v>
      </c>
      <c r="F6" t="s">
        <v>69</v>
      </c>
      <c r="G6" t="s">
        <v>98</v>
      </c>
      <c r="H6" t="s">
        <v>98</v>
      </c>
    </row>
    <row r="7">
      <c r="A7" t="s">
        <v>220</v>
      </c>
      <c r="B7" t="s">
        <v>71</v>
      </c>
      <c r="C7" t="s">
        <v>72</v>
      </c>
      <c r="D7" t="s">
        <v>73</v>
      </c>
      <c r="E7" t="s">
        <v>74</v>
      </c>
      <c r="F7" t="s">
        <v>75</v>
      </c>
      <c r="G7" t="s">
        <v>98</v>
      </c>
      <c r="H7" t="s">
        <v>98</v>
      </c>
    </row>
    <row r="8">
      <c r="A8" t="s">
        <v>221</v>
      </c>
      <c r="B8" t="s">
        <v>77</v>
      </c>
      <c r="C8" t="s">
        <v>77</v>
      </c>
      <c r="D8" t="s">
        <v>78</v>
      </c>
      <c r="E8" t="s">
        <v>79</v>
      </c>
      <c r="F8" t="s">
        <v>80</v>
      </c>
      <c r="G8" t="s">
        <v>98</v>
      </c>
      <c r="H8" t="s">
        <v>98</v>
      </c>
    </row>
    <row r="9">
      <c r="A9" t="s">
        <v>222</v>
      </c>
      <c r="B9" t="s">
        <v>82</v>
      </c>
      <c r="C9" t="s">
        <v>83</v>
      </c>
      <c r="D9" t="s">
        <v>84</v>
      </c>
      <c r="E9" t="s">
        <v>85</v>
      </c>
      <c r="F9" t="s">
        <v>86</v>
      </c>
      <c r="G9" t="s">
        <v>98</v>
      </c>
      <c r="H9" t="s">
        <v>98</v>
      </c>
    </row>
    <row r="10">
      <c r="A10" t="s">
        <v>223</v>
      </c>
      <c r="B10" t="s">
        <v>88</v>
      </c>
      <c r="C10" t="s">
        <v>89</v>
      </c>
      <c r="D10" t="s">
        <v>90</v>
      </c>
      <c r="E10" t="s">
        <v>91</v>
      </c>
      <c r="F10" t="s">
        <v>92</v>
      </c>
      <c r="G10" t="s">
        <v>98</v>
      </c>
      <c r="H10" t="s">
        <v>98</v>
      </c>
    </row>
    <row r="11">
      <c r="A11" t="s">
        <v>224</v>
      </c>
      <c r="B11" t="s">
        <v>94</v>
      </c>
      <c r="C11" t="s">
        <v>95</v>
      </c>
      <c r="D11" t="s">
        <v>96</v>
      </c>
      <c r="E11" t="s">
        <v>98</v>
      </c>
      <c r="F11" t="s">
        <v>98</v>
      </c>
      <c r="G11" t="s">
        <v>98</v>
      </c>
      <c r="H11" t="s">
        <v>98</v>
      </c>
    </row>
    <row r="12">
      <c r="A12" t="s">
        <v>99</v>
      </c>
      <c r="B12" t="s">
        <v>100</v>
      </c>
      <c r="C12" t="s">
        <v>101</v>
      </c>
      <c r="D12" t="s">
        <v>102</v>
      </c>
      <c r="E12" t="s">
        <v>104</v>
      </c>
      <c r="F12" t="s">
        <v>105</v>
      </c>
      <c r="G12" t="s">
        <v>98</v>
      </c>
      <c r="H12" t="s">
        <v>98</v>
      </c>
    </row>
    <row r="13">
      <c r="A13" t="s">
        <v>106</v>
      </c>
      <c r="B13" t="s">
        <v>107</v>
      </c>
      <c r="C13" t="s">
        <v>108</v>
      </c>
      <c r="D13" t="s">
        <v>109</v>
      </c>
      <c r="E13" t="s">
        <v>110</v>
      </c>
      <c r="F13" t="s">
        <v>111</v>
      </c>
      <c r="G13" t="s">
        <v>98</v>
      </c>
      <c r="H13" t="s">
        <v>98</v>
      </c>
    </row>
    <row r="14">
      <c r="A14" t="s">
        <v>112</v>
      </c>
      <c r="B14" t="s">
        <v>113</v>
      </c>
      <c r="C14" t="s">
        <v>114</v>
      </c>
      <c r="D14" t="s">
        <v>115</v>
      </c>
      <c r="E14" t="s">
        <v>98</v>
      </c>
      <c r="F14" t="s">
        <v>98</v>
      </c>
      <c r="G14" t="s">
        <v>98</v>
      </c>
      <c r="H14" t="s">
        <v>98</v>
      </c>
    </row>
    <row r="15">
      <c r="A15" t="s">
        <v>116</v>
      </c>
      <c r="B15" t="s">
        <v>117</v>
      </c>
      <c r="C15" t="s">
        <v>118</v>
      </c>
      <c r="D15" t="s">
        <v>98</v>
      </c>
      <c r="E15" t="s">
        <v>98</v>
      </c>
      <c r="F15" t="s">
        <v>98</v>
      </c>
      <c r="G15" t="s">
        <v>98</v>
      </c>
      <c r="H15" t="s">
        <v>98</v>
      </c>
    </row>
    <row r="16">
      <c r="A16" t="s">
        <v>119</v>
      </c>
      <c r="B16" t="s">
        <v>120</v>
      </c>
      <c r="C16" t="s">
        <v>121</v>
      </c>
      <c r="D16" t="s">
        <v>98</v>
      </c>
      <c r="E16" t="s">
        <v>98</v>
      </c>
      <c r="F16" t="s">
        <v>98</v>
      </c>
      <c r="G16" t="s">
        <v>98</v>
      </c>
      <c r="H16" t="s">
        <v>98</v>
      </c>
    </row>
    <row r="17">
      <c r="A17" s="3" t="s">
        <v>122</v>
      </c>
      <c r="B17" s="3" t="s">
        <v>98</v>
      </c>
      <c r="C17" s="3" t="s">
        <v>98</v>
      </c>
      <c r="D17" s="3" t="s">
        <v>98</v>
      </c>
      <c r="E17" s="3" t="s">
        <v>98</v>
      </c>
      <c r="F17" s="3" t="s">
        <v>98</v>
      </c>
      <c r="G17" s="3" t="s">
        <v>98</v>
      </c>
      <c r="H17" s="3" t="s">
        <v>98</v>
      </c>
    </row>
    <row r="18">
      <c r="A18" t="s">
        <v>225</v>
      </c>
      <c r="B18" t="s">
        <v>124</v>
      </c>
      <c r="C18" t="s">
        <v>125</v>
      </c>
      <c r="D18" t="s">
        <v>126</v>
      </c>
      <c r="E18" t="s">
        <v>127</v>
      </c>
      <c r="F18" t="s">
        <v>128</v>
      </c>
      <c r="G18" t="s">
        <v>98</v>
      </c>
      <c r="H18" t="s">
        <v>98</v>
      </c>
    </row>
    <row r="19">
      <c r="A19" t="s">
        <v>226</v>
      </c>
      <c r="B19" t="s">
        <v>130</v>
      </c>
      <c r="C19" t="s">
        <v>131</v>
      </c>
      <c r="D19" t="s">
        <v>132</v>
      </c>
      <c r="E19" t="s">
        <v>133</v>
      </c>
      <c r="F19" t="s">
        <v>134</v>
      </c>
      <c r="G19" t="s">
        <v>98</v>
      </c>
      <c r="H19" t="s">
        <v>98</v>
      </c>
    </row>
    <row r="20">
      <c r="A20" t="s">
        <v>135</v>
      </c>
      <c r="B20" t="s">
        <v>136</v>
      </c>
      <c r="C20" t="s">
        <v>137</v>
      </c>
      <c r="D20" t="s">
        <v>227</v>
      </c>
      <c r="E20" t="s">
        <v>98</v>
      </c>
      <c r="F20" t="s">
        <v>98</v>
      </c>
      <c r="G20" t="s">
        <v>98</v>
      </c>
      <c r="H20" t="s">
        <v>98</v>
      </c>
    </row>
    <row r="21">
      <c r="A21" s="3" t="s">
        <v>228</v>
      </c>
      <c r="B21" s="3" t="s">
        <v>98</v>
      </c>
      <c r="C21" s="3" t="s">
        <v>98</v>
      </c>
      <c r="D21" s="3" t="s">
        <v>98</v>
      </c>
      <c r="E21" s="3" t="s">
        <v>98</v>
      </c>
      <c r="F21" s="3" t="s">
        <v>98</v>
      </c>
      <c r="G21" s="3" t="s">
        <v>98</v>
      </c>
      <c r="H21" s="3" t="s">
        <v>98</v>
      </c>
    </row>
    <row r="22">
      <c r="A22" t="s">
        <v>229</v>
      </c>
      <c r="B22" t="s">
        <v>143</v>
      </c>
      <c r="C22" t="s">
        <v>144</v>
      </c>
      <c r="D22" t="s">
        <v>145</v>
      </c>
      <c r="E22" t="s">
        <v>146</v>
      </c>
      <c r="F22" t="s">
        <v>147</v>
      </c>
      <c r="G22" t="s">
        <v>148</v>
      </c>
      <c r="H22" t="s">
        <v>149</v>
      </c>
    </row>
    <row r="23">
      <c r="A23" t="s">
        <v>230</v>
      </c>
      <c r="B23" t="s">
        <v>151</v>
      </c>
      <c r="C23" t="s">
        <v>152</v>
      </c>
      <c r="D23" t="s">
        <v>153</v>
      </c>
      <c r="E23" t="s">
        <v>154</v>
      </c>
      <c r="F23" t="s">
        <v>155</v>
      </c>
      <c r="G23" t="s">
        <v>156</v>
      </c>
      <c r="H23" t="s">
        <v>157</v>
      </c>
    </row>
    <row r="24">
      <c r="A24" t="s">
        <v>231</v>
      </c>
      <c r="B24" t="s">
        <v>159</v>
      </c>
      <c r="C24" t="s">
        <v>160</v>
      </c>
      <c r="D24" t="s">
        <v>161</v>
      </c>
      <c r="E24" t="s">
        <v>162</v>
      </c>
      <c r="F24" t="s">
        <v>163</v>
      </c>
      <c r="G24" t="s">
        <v>164</v>
      </c>
      <c r="H24" t="s">
        <v>165</v>
      </c>
    </row>
    <row r="25">
      <c r="A25" t="s">
        <v>232</v>
      </c>
      <c r="B25" t="s">
        <v>167</v>
      </c>
      <c r="C25" t="s">
        <v>168</v>
      </c>
      <c r="D25" t="s">
        <v>47</v>
      </c>
      <c r="E25" t="s">
        <v>169</v>
      </c>
      <c r="F25" t="s">
        <v>47</v>
      </c>
      <c r="G25" t="s">
        <v>170</v>
      </c>
      <c r="H25" t="s">
        <v>47</v>
      </c>
    </row>
    <row r="26">
      <c r="A26" t="s">
        <v>233</v>
      </c>
      <c r="B26" t="s">
        <v>172</v>
      </c>
      <c r="C26" t="s">
        <v>77</v>
      </c>
      <c r="D26" t="s">
        <v>173</v>
      </c>
      <c r="E26" t="s">
        <v>174</v>
      </c>
      <c r="F26" t="s">
        <v>175</v>
      </c>
      <c r="G26" t="s">
        <v>176</v>
      </c>
      <c r="H26" t="s">
        <v>177</v>
      </c>
    </row>
    <row r="27">
      <c r="A27" t="s">
        <v>234</v>
      </c>
      <c r="B27" t="s">
        <v>179</v>
      </c>
      <c r="C27" t="s">
        <v>179</v>
      </c>
      <c r="D27" t="s">
        <v>180</v>
      </c>
      <c r="E27" t="s">
        <v>98</v>
      </c>
      <c r="F27" t="s">
        <v>98</v>
      </c>
      <c r="G27" t="s">
        <v>98</v>
      </c>
      <c r="H27" t="s">
        <v>98</v>
      </c>
    </row>
    <row r="28">
      <c r="A28" t="s">
        <v>235</v>
      </c>
      <c r="B28" t="s">
        <v>182</v>
      </c>
      <c r="C28" t="s">
        <v>183</v>
      </c>
      <c r="D28" t="s">
        <v>184</v>
      </c>
      <c r="E28" t="s">
        <v>98</v>
      </c>
      <c r="F28" t="s">
        <v>98</v>
      </c>
      <c r="G28" t="s">
        <v>98</v>
      </c>
      <c r="H28" t="s">
        <v>98</v>
      </c>
    </row>
    <row r="29">
      <c r="A29" t="s">
        <v>236</v>
      </c>
      <c r="B29" t="s">
        <v>186</v>
      </c>
      <c r="C29" t="s">
        <v>187</v>
      </c>
      <c r="D29" t="s">
        <v>188</v>
      </c>
      <c r="E29" t="s">
        <v>189</v>
      </c>
      <c r="F29" t="s">
        <v>190</v>
      </c>
      <c r="G29" t="s">
        <v>191</v>
      </c>
      <c r="H29" t="s">
        <v>192</v>
      </c>
    </row>
    <row r="30">
      <c r="A30" t="s">
        <v>237</v>
      </c>
      <c r="B30" t="s">
        <v>194</v>
      </c>
      <c r="C30" t="s">
        <v>195</v>
      </c>
      <c r="D30" t="s">
        <v>196</v>
      </c>
      <c r="E30" t="s">
        <v>198</v>
      </c>
      <c r="F30" t="s">
        <v>199</v>
      </c>
      <c r="G30" t="s">
        <v>200</v>
      </c>
      <c r="H30" t="s">
        <v>201</v>
      </c>
    </row>
    <row r="31">
      <c r="A31" t="s">
        <v>238</v>
      </c>
      <c r="B31" t="s">
        <v>203</v>
      </c>
      <c r="C31" t="s">
        <v>195</v>
      </c>
      <c r="D31" t="s">
        <v>204</v>
      </c>
      <c r="E31" t="s">
        <v>98</v>
      </c>
      <c r="F31" t="s">
        <v>98</v>
      </c>
      <c r="G31" t="s">
        <v>98</v>
      </c>
      <c r="H31" t="s">
        <v>98</v>
      </c>
    </row>
    <row r="32">
      <c r="A32" t="s">
        <v>239</v>
      </c>
      <c r="B32" t="s">
        <v>206</v>
      </c>
      <c r="C32" t="s">
        <v>207</v>
      </c>
      <c r="D32" t="s">
        <v>98</v>
      </c>
      <c r="E32" t="s">
        <v>98</v>
      </c>
      <c r="F32" t="s">
        <v>98</v>
      </c>
      <c r="G32" t="s">
        <v>98</v>
      </c>
      <c r="H32" t="s">
        <v>98</v>
      </c>
    </row>
    <row r="33">
      <c r="A33" t="s">
        <v>240</v>
      </c>
      <c r="B33" t="s">
        <v>209</v>
      </c>
      <c r="C33" t="s">
        <v>210</v>
      </c>
      <c r="D33" t="s">
        <v>98</v>
      </c>
      <c r="E33" t="s">
        <v>98</v>
      </c>
      <c r="F33" t="s">
        <v>98</v>
      </c>
      <c r="G33" t="s">
        <v>98</v>
      </c>
      <c r="H33" t="s">
        <v>98</v>
      </c>
    </row>
    <row r="34">
      <c r="A34" t="s">
        <v>241</v>
      </c>
      <c r="B34" t="s">
        <v>212</v>
      </c>
      <c r="C34" t="s">
        <v>213</v>
      </c>
      <c r="D34" t="s">
        <v>98</v>
      </c>
      <c r="E34" t="s">
        <v>98</v>
      </c>
      <c r="F34" t="s">
        <v>98</v>
      </c>
      <c r="G34" t="s">
        <v>98</v>
      </c>
      <c r="H34" t="s">
        <v>98</v>
      </c>
    </row>
    <row r="36">
      <c r="A36" t="s">
        <v>242</v>
      </c>
    </row>
    <row r="37">
      <c r="A37" t="s">
        <v>243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29</v>
      </c>
      <c r="B1" s="4" t="s">
        <v>244</v>
      </c>
      <c r="C1" s="4" t="s">
        <v>245</v>
      </c>
      <c r="D1" s="4" t="s">
        <v>246</v>
      </c>
      <c r="E1" s="5" t="s">
        <v>247</v>
      </c>
      <c r="F1" s="5" t="s">
        <v>248</v>
      </c>
      <c r="G1" s="5" t="s">
        <v>249</v>
      </c>
      <c r="H1" s="5" t="s">
        <v>250</v>
      </c>
      <c r="I1" s="5" t="s">
        <v>76</v>
      </c>
      <c r="J1" s="6" t="s">
        <v>251</v>
      </c>
      <c r="K1" s="6" t="s">
        <v>252</v>
      </c>
      <c r="L1" s="6" t="s">
        <v>253</v>
      </c>
      <c r="M1" s="6" t="s">
        <v>254</v>
      </c>
      <c r="N1" s="7" t="s">
        <v>255</v>
      </c>
      <c r="O1" s="7" t="s">
        <v>256</v>
      </c>
      <c r="P1" s="7" t="s">
        <v>257</v>
      </c>
      <c r="Q1" s="7" t="s">
        <v>258</v>
      </c>
      <c r="R1" s="7" t="s">
        <v>171</v>
      </c>
      <c r="S1" s="7" t="s">
        <v>166</v>
      </c>
      <c r="T1" s="8" t="s">
        <v>259</v>
      </c>
    </row>
    <row r="2">
      <c r="A2" t="s">
        <v>30</v>
      </c>
      <c r="B2" t="n">
        <v>0.97</v>
      </c>
      <c r="C2" t="n">
        <v>0.78</v>
      </c>
      <c r="D2" t="n">
        <v>0.93</v>
      </c>
      <c r="E2" t="n">
        <v>-3.75</v>
      </c>
      <c r="F2" t="n">
        <v>-2.25</v>
      </c>
      <c r="G2" t="n">
        <v>35</v>
      </c>
      <c r="H2" t="n">
        <v>12</v>
      </c>
      <c r="I2" t="s">
        <v>260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0</v>
      </c>
      <c r="P2" t="n">
        <v>40</v>
      </c>
      <c r="Q2" t="n">
        <v>12</v>
      </c>
      <c r="R2" t="s">
        <v>261</v>
      </c>
      <c r="S2" t="s">
        <v>262</v>
      </c>
      <c r="T2" t="n">
        <v>0</v>
      </c>
    </row>
    <row r="3">
      <c r="A3" t="s">
        <v>30</v>
      </c>
      <c r="B3" t="n">
        <v>1.16</v>
      </c>
      <c r="C3" t="n">
        <v>1</v>
      </c>
      <c r="D3" t="n">
        <v>1.16</v>
      </c>
      <c r="E3" t="n">
        <v>-1.5</v>
      </c>
      <c r="F3" t="n">
        <v>-0.25</v>
      </c>
      <c r="G3" t="n">
        <v>3</v>
      </c>
      <c r="H3" t="n">
        <v>12</v>
      </c>
      <c r="I3" t="s">
        <v>263</v>
      </c>
      <c r="J3" t="n">
        <v>0</v>
      </c>
      <c r="K3" t="n">
        <v>0</v>
      </c>
      <c r="L3" t="n">
        <v>0</v>
      </c>
      <c r="M3" t="n">
        <v>12</v>
      </c>
      <c r="N3" t="n">
        <v>0.5</v>
      </c>
      <c r="O3" t="n">
        <v>-0.25</v>
      </c>
      <c r="P3" t="n">
        <v>152</v>
      </c>
      <c r="Q3" t="n">
        <v>12</v>
      </c>
      <c r="R3" t="s">
        <v>263</v>
      </c>
      <c r="S3" t="s">
        <v>264</v>
      </c>
      <c r="T3" t="n">
        <v>0.5</v>
      </c>
    </row>
    <row r="4">
      <c r="A4" t="s">
        <v>30</v>
      </c>
      <c r="B4" t="n">
        <v>0.83</v>
      </c>
      <c r="C4" t="n">
        <v>0.7</v>
      </c>
      <c r="D4" t="n">
        <v>0.8</v>
      </c>
      <c r="E4" t="n">
        <v>-7</v>
      </c>
      <c r="F4" t="n">
        <v>0</v>
      </c>
      <c r="G4" t="n">
        <v>8</v>
      </c>
      <c r="H4" t="n">
        <v>12</v>
      </c>
      <c r="I4" t="s">
        <v>265</v>
      </c>
      <c r="J4" t="n">
        <v>0</v>
      </c>
      <c r="K4" t="n">
        <v>0</v>
      </c>
      <c r="L4" t="n">
        <v>0</v>
      </c>
      <c r="M4" t="n">
        <v>12</v>
      </c>
      <c r="N4" t="n">
        <v>0</v>
      </c>
      <c r="O4" t="n">
        <v>-0.25</v>
      </c>
      <c r="P4" t="n">
        <v>75</v>
      </c>
      <c r="Q4" t="n">
        <v>12</v>
      </c>
      <c r="R4" t="s">
        <v>262</v>
      </c>
      <c r="S4" t="s">
        <v>266</v>
      </c>
      <c r="T4" t="n">
        <v>-0.25</v>
      </c>
    </row>
    <row r="5">
      <c r="A5" t="s">
        <v>30</v>
      </c>
      <c r="B5" t="n">
        <v>1.13</v>
      </c>
      <c r="C5" t="n">
        <v>1.05</v>
      </c>
      <c r="D5" t="n">
        <v>1.14</v>
      </c>
      <c r="E5" t="n">
        <v>-3.25</v>
      </c>
      <c r="F5" t="n">
        <v>-1.5</v>
      </c>
      <c r="G5" t="n">
        <v>92</v>
      </c>
      <c r="H5" t="n">
        <v>12</v>
      </c>
      <c r="I5" t="s">
        <v>263</v>
      </c>
      <c r="J5" t="n">
        <v>0</v>
      </c>
      <c r="K5" t="n">
        <v>0</v>
      </c>
      <c r="L5" t="n">
        <v>0</v>
      </c>
      <c r="M5" t="n">
        <v>12</v>
      </c>
      <c r="N5" t="n">
        <v>0</v>
      </c>
      <c r="O5" t="n">
        <v>-0.25</v>
      </c>
      <c r="P5" t="n">
        <v>97</v>
      </c>
      <c r="Q5" t="n">
        <v>12</v>
      </c>
      <c r="R5" t="s">
        <v>263</v>
      </c>
      <c r="S5" t="s">
        <v>267</v>
      </c>
      <c r="T5" t="n">
        <v>0</v>
      </c>
    </row>
    <row r="6">
      <c r="A6" t="s">
        <v>30</v>
      </c>
      <c r="B6" t="n">
        <v>1.15</v>
      </c>
      <c r="C6" t="n">
        <v>1.04</v>
      </c>
      <c r="D6" t="n">
        <v>1.15</v>
      </c>
      <c r="E6" t="n">
        <v>-5.75</v>
      </c>
      <c r="F6" t="n">
        <v>-0.75</v>
      </c>
      <c r="G6" t="n">
        <v>17</v>
      </c>
      <c r="H6" t="n">
        <v>12</v>
      </c>
      <c r="I6" t="s">
        <v>263</v>
      </c>
      <c r="J6" t="n">
        <v>0</v>
      </c>
      <c r="K6" t="n">
        <v>0</v>
      </c>
      <c r="L6" t="n">
        <v>0</v>
      </c>
      <c r="M6" t="n">
        <v>12</v>
      </c>
      <c r="N6" t="n">
        <v>-0.5</v>
      </c>
      <c r="O6" t="n">
        <v>-0.25</v>
      </c>
      <c r="P6" t="n">
        <v>20</v>
      </c>
      <c r="Q6" t="n">
        <v>12</v>
      </c>
      <c r="R6" t="s">
        <v>263</v>
      </c>
      <c r="S6" t="s">
        <v>267</v>
      </c>
      <c r="T6" t="n">
        <v>-0.75</v>
      </c>
    </row>
    <row r="7">
      <c r="A7" t="s">
        <v>30</v>
      </c>
      <c r="B7" t="n">
        <v>1.05</v>
      </c>
      <c r="C7" t="n">
        <v>0.9</v>
      </c>
      <c r="D7" t="n">
        <v>1.06</v>
      </c>
      <c r="E7" t="n">
        <v>-6</v>
      </c>
      <c r="F7" t="n">
        <v>-1.5</v>
      </c>
      <c r="G7" t="n">
        <v>161</v>
      </c>
      <c r="H7" t="n">
        <v>12</v>
      </c>
      <c r="I7" t="s">
        <v>267</v>
      </c>
      <c r="J7" t="n">
        <v>0</v>
      </c>
      <c r="K7" t="n">
        <v>0</v>
      </c>
      <c r="L7" t="n">
        <v>0</v>
      </c>
      <c r="M7" t="n">
        <v>12</v>
      </c>
      <c r="N7" t="n">
        <v>0.5</v>
      </c>
      <c r="O7" t="n">
        <v>-0.25</v>
      </c>
      <c r="P7" t="n">
        <v>12</v>
      </c>
      <c r="Q7" t="n">
        <v>12</v>
      </c>
      <c r="R7" t="s">
        <v>267</v>
      </c>
      <c r="S7" t="s">
        <v>261</v>
      </c>
      <c r="T7" t="n">
        <v>0.25</v>
      </c>
    </row>
    <row r="8">
      <c r="A8" t="s">
        <v>30</v>
      </c>
      <c r="B8" t="n">
        <v>1.11</v>
      </c>
      <c r="C8" t="n">
        <v>1.14</v>
      </c>
      <c r="D8" t="n">
        <v>1.08</v>
      </c>
      <c r="E8" t="n">
        <v>-4.25</v>
      </c>
      <c r="F8" t="n">
        <v>-2.5</v>
      </c>
      <c r="G8" t="n">
        <v>3</v>
      </c>
      <c r="H8" t="n">
        <v>12</v>
      </c>
      <c r="I8" t="s">
        <v>268</v>
      </c>
      <c r="J8" t="n">
        <v>0</v>
      </c>
      <c r="K8" t="n">
        <v>0</v>
      </c>
      <c r="L8" t="n">
        <v>0</v>
      </c>
      <c r="M8" t="n">
        <v>12</v>
      </c>
      <c r="N8" t="n">
        <v>0</v>
      </c>
      <c r="O8" t="n">
        <v>0</v>
      </c>
      <c r="P8" t="n">
        <v>9</v>
      </c>
      <c r="Q8" t="n">
        <v>12</v>
      </c>
      <c r="R8" t="s">
        <v>268</v>
      </c>
      <c r="S8" t="s">
        <v>263</v>
      </c>
      <c r="T8" t="n">
        <v>0</v>
      </c>
    </row>
    <row r="9">
      <c r="A9" t="s">
        <v>30</v>
      </c>
      <c r="B9" t="n">
        <v>1.1</v>
      </c>
      <c r="C9" t="n">
        <v>1.09</v>
      </c>
      <c r="D9" t="n">
        <v>1.12</v>
      </c>
      <c r="E9" t="n">
        <v>-5.25</v>
      </c>
      <c r="F9" t="n">
        <v>-0.5</v>
      </c>
      <c r="G9" t="n">
        <v>13</v>
      </c>
      <c r="H9" t="n">
        <v>12</v>
      </c>
      <c r="I9" t="s">
        <v>268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-0.25</v>
      </c>
      <c r="P9" t="n">
        <v>173</v>
      </c>
      <c r="Q9" t="n">
        <v>12</v>
      </c>
      <c r="R9" t="s">
        <v>268</v>
      </c>
      <c r="S9" t="s">
        <v>268</v>
      </c>
      <c r="T9" t="n">
        <v>0</v>
      </c>
    </row>
    <row r="10">
      <c r="A10" t="s">
        <v>30</v>
      </c>
      <c r="B10" t="n">
        <v>0.92</v>
      </c>
      <c r="C10" t="n">
        <v>0.87</v>
      </c>
      <c r="D10" t="n">
        <v>0.92</v>
      </c>
      <c r="E10" t="n">
        <v>-3.25</v>
      </c>
      <c r="F10" t="n">
        <v>0</v>
      </c>
      <c r="G10" t="n">
        <v>3</v>
      </c>
      <c r="H10" t="n">
        <v>12</v>
      </c>
      <c r="I10" t="s">
        <v>261</v>
      </c>
      <c r="J10" t="n">
        <v>0</v>
      </c>
      <c r="K10" t="n">
        <v>0</v>
      </c>
      <c r="L10" t="n">
        <v>0</v>
      </c>
      <c r="M10" t="n">
        <v>12</v>
      </c>
      <c r="N10" t="n">
        <v>0</v>
      </c>
      <c r="O10" t="n">
        <v>-0.25</v>
      </c>
      <c r="P10" t="n">
        <v>140</v>
      </c>
      <c r="Q10" t="n">
        <v>12</v>
      </c>
      <c r="R10" t="s">
        <v>261</v>
      </c>
      <c r="S10" t="s">
        <v>269</v>
      </c>
      <c r="T10" t="n">
        <v>0</v>
      </c>
    </row>
    <row r="11">
      <c r="A11" t="s">
        <v>30</v>
      </c>
      <c r="B11" t="n">
        <v>0.89</v>
      </c>
      <c r="C11" t="n">
        <v>0.81</v>
      </c>
      <c r="D11" t="n">
        <v>0.85</v>
      </c>
      <c r="E11" t="n">
        <v>-2.5</v>
      </c>
      <c r="F11" t="n">
        <v>0</v>
      </c>
      <c r="G11" t="n">
        <v>1</v>
      </c>
      <c r="H11" t="n">
        <v>12</v>
      </c>
      <c r="I11" t="s">
        <v>269</v>
      </c>
      <c r="J11" t="n">
        <v>0</v>
      </c>
      <c r="K11" t="n">
        <v>0</v>
      </c>
      <c r="L11" t="n">
        <v>0</v>
      </c>
      <c r="M11" t="n">
        <v>12</v>
      </c>
      <c r="N11" t="n">
        <v>0.5</v>
      </c>
      <c r="O11" t="n">
        <v>-0.5</v>
      </c>
      <c r="P11" t="n">
        <v>23</v>
      </c>
      <c r="Q11" t="n">
        <v>12</v>
      </c>
      <c r="R11" t="s">
        <v>265</v>
      </c>
      <c r="S11" t="s">
        <v>262</v>
      </c>
      <c r="T11" t="n">
        <v>0.25</v>
      </c>
    </row>
    <row r="12">
      <c r="A12" t="s">
        <v>30</v>
      </c>
      <c r="B12" t="n">
        <v>1.12</v>
      </c>
      <c r="C12" t="n">
        <v>1.15</v>
      </c>
      <c r="D12" t="n">
        <v>1.17</v>
      </c>
      <c r="E12" t="n">
        <v>-0.75</v>
      </c>
      <c r="F12" t="n">
        <v>0</v>
      </c>
      <c r="G12" t="n">
        <v>163</v>
      </c>
      <c r="H12" t="n">
        <v>12</v>
      </c>
      <c r="I12" t="s">
        <v>268</v>
      </c>
      <c r="J12" t="n">
        <v>0</v>
      </c>
      <c r="K12" t="n">
        <v>0</v>
      </c>
      <c r="L12" t="n">
        <v>0</v>
      </c>
      <c r="M12" t="n">
        <v>12</v>
      </c>
      <c r="N12" t="n">
        <v>0</v>
      </c>
      <c r="O12" t="n">
        <v>-0.25</v>
      </c>
      <c r="P12" t="n">
        <v>149</v>
      </c>
      <c r="Q12" t="n">
        <v>12</v>
      </c>
      <c r="R12" t="s">
        <v>263</v>
      </c>
      <c r="S12" t="s">
        <v>263</v>
      </c>
      <c r="T12" t="n">
        <v>0</v>
      </c>
    </row>
    <row r="13">
      <c r="A13" t="s">
        <v>30</v>
      </c>
      <c r="B13" t="n">
        <v>1.01</v>
      </c>
      <c r="C13" t="n">
        <v>0.91</v>
      </c>
      <c r="D13" t="n">
        <v>1</v>
      </c>
      <c r="E13" t="n">
        <v>-3.25</v>
      </c>
      <c r="F13" t="n">
        <v>-0.25</v>
      </c>
      <c r="G13" t="n">
        <v>47</v>
      </c>
      <c r="H13" t="n">
        <v>12</v>
      </c>
      <c r="I13" t="s">
        <v>264</v>
      </c>
      <c r="J13" t="n">
        <v>0</v>
      </c>
      <c r="K13" t="n">
        <v>0</v>
      </c>
      <c r="L13" t="n">
        <v>0</v>
      </c>
      <c r="M13" t="n">
        <v>12</v>
      </c>
      <c r="N13" t="n">
        <v>0.5</v>
      </c>
      <c r="O13" t="n">
        <v>-0.5</v>
      </c>
      <c r="P13" t="n">
        <v>48</v>
      </c>
      <c r="Q13" t="n">
        <v>12</v>
      </c>
      <c r="R13" t="s">
        <v>264</v>
      </c>
      <c r="S13" t="s">
        <v>261</v>
      </c>
      <c r="T13" t="n">
        <v>0.25</v>
      </c>
    </row>
    <row r="14">
      <c r="A14" t="s">
        <v>30</v>
      </c>
      <c r="B14" t="n">
        <v>1.01</v>
      </c>
      <c r="C14" t="n">
        <v>1.14</v>
      </c>
      <c r="D14" t="n">
        <v>0.98</v>
      </c>
      <c r="E14" t="n">
        <v>-6.75</v>
      </c>
      <c r="F14" t="n">
        <v>-0.5</v>
      </c>
      <c r="G14" t="n">
        <v>7</v>
      </c>
      <c r="H14" t="n">
        <v>12</v>
      </c>
      <c r="I14" t="s">
        <v>264</v>
      </c>
      <c r="J14" t="n">
        <v>0</v>
      </c>
      <c r="K14" t="n">
        <v>0</v>
      </c>
      <c r="L14" t="n">
        <v>0</v>
      </c>
      <c r="M14" t="n">
        <v>12</v>
      </c>
      <c r="N14" t="n">
        <v>0</v>
      </c>
      <c r="O14" t="n">
        <v>-0.25</v>
      </c>
      <c r="P14" t="n">
        <v>21</v>
      </c>
      <c r="Q14" t="n">
        <v>12</v>
      </c>
      <c r="R14" t="s">
        <v>264</v>
      </c>
      <c r="S14" t="s">
        <v>263</v>
      </c>
      <c r="T14" t="n">
        <v>-0.25</v>
      </c>
    </row>
    <row r="15">
      <c r="A15" t="s">
        <v>30</v>
      </c>
      <c r="B15" t="n">
        <v>1.03</v>
      </c>
      <c r="C15" t="n">
        <v>0.93</v>
      </c>
      <c r="D15" t="n">
        <v>1.03</v>
      </c>
      <c r="E15" t="n">
        <v>-7.25</v>
      </c>
      <c r="F15" t="n">
        <v>-0.5</v>
      </c>
      <c r="G15" t="n">
        <v>180</v>
      </c>
      <c r="H15" t="n">
        <v>12</v>
      </c>
      <c r="I15" t="s">
        <v>267</v>
      </c>
      <c r="J15" t="n">
        <v>0</v>
      </c>
      <c r="K15" t="n">
        <v>0</v>
      </c>
      <c r="L15" t="n">
        <v>0</v>
      </c>
      <c r="M15" t="n">
        <v>12</v>
      </c>
      <c r="N15" t="n">
        <v>0.5</v>
      </c>
      <c r="O15" t="n">
        <v>-0.5</v>
      </c>
      <c r="P15" t="n">
        <v>16</v>
      </c>
      <c r="Q15" t="n">
        <v>12</v>
      </c>
      <c r="R15" t="s">
        <v>267</v>
      </c>
      <c r="S15" t="s">
        <v>261</v>
      </c>
      <c r="T15" t="n">
        <v>0.25</v>
      </c>
    </row>
    <row r="16">
      <c r="A16" t="s">
        <v>30</v>
      </c>
      <c r="B16" t="n">
        <v>1.13</v>
      </c>
      <c r="C16" t="n">
        <v>0.9</v>
      </c>
      <c r="D16" t="n">
        <v>1.12</v>
      </c>
      <c r="E16" t="n">
        <v>-2</v>
      </c>
      <c r="F16" t="n">
        <v>-0.75</v>
      </c>
      <c r="G16" t="n">
        <v>85</v>
      </c>
      <c r="H16" t="n">
        <v>12</v>
      </c>
      <c r="I16" t="s">
        <v>263</v>
      </c>
      <c r="J16" t="n">
        <v>0</v>
      </c>
      <c r="K16" t="n">
        <v>0</v>
      </c>
      <c r="L16" t="n">
        <v>0</v>
      </c>
      <c r="M16" t="n">
        <v>12</v>
      </c>
      <c r="N16" t="n">
        <v>0.5</v>
      </c>
      <c r="O16" t="n">
        <v>0</v>
      </c>
      <c r="P16" t="n">
        <v>137</v>
      </c>
      <c r="Q16" t="n">
        <v>12</v>
      </c>
      <c r="R16" t="s">
        <v>268</v>
      </c>
      <c r="S16" t="s">
        <v>261</v>
      </c>
      <c r="T16" t="n">
        <v>0.5</v>
      </c>
    </row>
    <row r="17">
      <c r="A17" t="s">
        <v>30</v>
      </c>
      <c r="B17" t="n">
        <v>0.98</v>
      </c>
      <c r="C17" t="n">
        <v>0.86</v>
      </c>
      <c r="D17" t="n">
        <v>0.95</v>
      </c>
      <c r="E17" t="n">
        <v>-7.25</v>
      </c>
      <c r="F17" t="n">
        <v>-0.75</v>
      </c>
      <c r="G17" t="n">
        <v>14</v>
      </c>
      <c r="H17" t="n">
        <v>12</v>
      </c>
      <c r="I17" t="s">
        <v>264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-0.5</v>
      </c>
      <c r="P17" t="n">
        <v>167</v>
      </c>
      <c r="Q17" t="n">
        <v>12</v>
      </c>
      <c r="R17" t="s">
        <v>260</v>
      </c>
      <c r="S17" t="s">
        <v>269</v>
      </c>
      <c r="T17" t="n">
        <v>-0.25</v>
      </c>
    </row>
    <row r="18">
      <c r="A18" t="s">
        <v>30</v>
      </c>
      <c r="B18" t="n">
        <v>0.88</v>
      </c>
      <c r="C18" t="n">
        <v>0.83</v>
      </c>
      <c r="D18" t="n">
        <v>0.82</v>
      </c>
      <c r="E18" t="n">
        <v>-4.5</v>
      </c>
      <c r="F18" t="n">
        <v>-1.25</v>
      </c>
      <c r="G18" t="n">
        <v>75</v>
      </c>
      <c r="H18" t="n">
        <v>12</v>
      </c>
      <c r="I18" t="s">
        <v>269</v>
      </c>
      <c r="J18" t="n">
        <v>0</v>
      </c>
      <c r="K18" t="n">
        <v>0</v>
      </c>
      <c r="L18" t="n">
        <v>0</v>
      </c>
      <c r="M18" t="n">
        <v>12</v>
      </c>
      <c r="N18" t="n">
        <v>0.25</v>
      </c>
      <c r="O18" t="n">
        <v>-0.5</v>
      </c>
      <c r="P18" t="n">
        <v>50</v>
      </c>
      <c r="Q18" t="n">
        <v>12</v>
      </c>
      <c r="R18" t="s">
        <v>265</v>
      </c>
      <c r="S18" t="s">
        <v>265</v>
      </c>
      <c r="T18" t="n">
        <v>0</v>
      </c>
    </row>
    <row r="19">
      <c r="A19" t="s">
        <v>30</v>
      </c>
      <c r="B19" t="n">
        <v>1.11</v>
      </c>
      <c r="C19" t="n">
        <v>1.08</v>
      </c>
      <c r="D19" t="n">
        <v>1.14</v>
      </c>
      <c r="E19" t="n">
        <v>-4.75</v>
      </c>
      <c r="F19" t="n">
        <v>-1.25</v>
      </c>
      <c r="G19" t="n">
        <v>17</v>
      </c>
      <c r="H19" t="n">
        <v>12</v>
      </c>
      <c r="I19" t="s">
        <v>268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0</v>
      </c>
      <c r="P19" t="n">
        <v>18</v>
      </c>
      <c r="Q19" t="n">
        <v>12</v>
      </c>
      <c r="R19" t="s">
        <v>263</v>
      </c>
      <c r="S19" t="s">
        <v>268</v>
      </c>
      <c r="T19" t="n">
        <v>0</v>
      </c>
    </row>
    <row r="20">
      <c r="A20" t="s">
        <v>30</v>
      </c>
      <c r="B20" t="n">
        <v>1.1</v>
      </c>
      <c r="C20" t="n">
        <v>1.22</v>
      </c>
      <c r="D20" t="n">
        <v>1.12</v>
      </c>
      <c r="E20" t="n">
        <v>-4.25</v>
      </c>
      <c r="F20" t="n">
        <v>-2.75</v>
      </c>
      <c r="G20" t="n">
        <v>170</v>
      </c>
      <c r="H20" t="n">
        <v>12</v>
      </c>
      <c r="I20" t="s">
        <v>268</v>
      </c>
      <c r="J20" t="n">
        <v>0</v>
      </c>
      <c r="K20" t="n">
        <v>0</v>
      </c>
      <c r="L20" t="n">
        <v>0</v>
      </c>
      <c r="M20" t="n">
        <v>12</v>
      </c>
      <c r="N20" t="n">
        <v>0.25</v>
      </c>
      <c r="O20" t="n">
        <v>-0.5</v>
      </c>
      <c r="P20" t="n">
        <v>13</v>
      </c>
      <c r="Q20" t="n">
        <v>12</v>
      </c>
      <c r="R20" t="s">
        <v>268</v>
      </c>
      <c r="S20" t="s">
        <v>270</v>
      </c>
      <c r="T20" t="n">
        <v>0</v>
      </c>
    </row>
    <row r="21">
      <c r="A21" t="s">
        <v>30</v>
      </c>
      <c r="B21" t="n">
        <v>1.02</v>
      </c>
      <c r="C21" t="n">
        <v>0.96</v>
      </c>
      <c r="D21" t="n">
        <v>0.96</v>
      </c>
      <c r="E21" t="n">
        <v>-4.25</v>
      </c>
      <c r="F21" t="n">
        <v>-0.5</v>
      </c>
      <c r="G21" t="n">
        <v>76</v>
      </c>
      <c r="H21" t="n">
        <v>12</v>
      </c>
      <c r="I21" t="s">
        <v>264</v>
      </c>
      <c r="J21" t="n">
        <v>0</v>
      </c>
      <c r="K21" t="n">
        <v>0</v>
      </c>
      <c r="L21" t="n">
        <v>0</v>
      </c>
      <c r="M21" t="n">
        <v>12</v>
      </c>
      <c r="N21" t="n">
        <v>0</v>
      </c>
      <c r="O21" t="n">
        <v>-0.25</v>
      </c>
      <c r="P21" t="n">
        <v>62</v>
      </c>
      <c r="Q21" t="n">
        <v>12</v>
      </c>
      <c r="R21" t="s">
        <v>260</v>
      </c>
      <c r="S21" t="s">
        <v>260</v>
      </c>
      <c r="T21" t="n">
        <v>0</v>
      </c>
    </row>
    <row r="22">
      <c r="A22" t="s">
        <v>30</v>
      </c>
      <c r="B22" t="n">
        <v>0.9</v>
      </c>
      <c r="C22" t="n">
        <v>0.91</v>
      </c>
      <c r="D22" t="n">
        <v>0.91</v>
      </c>
      <c r="E22" t="n">
        <v>-3.5</v>
      </c>
      <c r="F22" t="n">
        <v>0</v>
      </c>
      <c r="G22" t="n">
        <v>170</v>
      </c>
      <c r="H22" t="n">
        <v>12</v>
      </c>
      <c r="I22" t="s">
        <v>261</v>
      </c>
      <c r="J22" t="n">
        <v>0</v>
      </c>
      <c r="K22" t="n">
        <v>0</v>
      </c>
      <c r="L22" t="n">
        <v>0</v>
      </c>
      <c r="M22" t="n">
        <v>12</v>
      </c>
      <c r="N22" t="n">
        <v>0</v>
      </c>
      <c r="O22" t="n">
        <v>-0.25</v>
      </c>
      <c r="P22" t="n">
        <v>165</v>
      </c>
      <c r="Q22" t="n">
        <v>12</v>
      </c>
      <c r="R22" t="s">
        <v>261</v>
      </c>
      <c r="S22" t="s">
        <v>261</v>
      </c>
      <c r="T22" t="n">
        <v>0</v>
      </c>
    </row>
    <row r="23">
      <c r="A23" t="s">
        <v>30</v>
      </c>
      <c r="B23" t="n">
        <v>1.01</v>
      </c>
      <c r="C23" t="n">
        <v>1.07</v>
      </c>
      <c r="D23" t="n">
        <v>1.02</v>
      </c>
      <c r="E23" t="n">
        <v>-2.5</v>
      </c>
      <c r="F23" t="n">
        <v>-0.5</v>
      </c>
      <c r="G23" t="n">
        <v>149</v>
      </c>
      <c r="H23" t="n">
        <v>12</v>
      </c>
      <c r="I23" t="s">
        <v>264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-0.25</v>
      </c>
      <c r="P23" t="n">
        <v>161</v>
      </c>
      <c r="Q23" t="n">
        <v>12</v>
      </c>
      <c r="R23" t="s">
        <v>264</v>
      </c>
      <c r="S23" t="s">
        <v>267</v>
      </c>
      <c r="T23" t="n">
        <v>0</v>
      </c>
    </row>
    <row r="24">
      <c r="A24" t="s">
        <v>30</v>
      </c>
      <c r="B24" t="n">
        <v>0.92</v>
      </c>
      <c r="C24" t="n">
        <v>0.75</v>
      </c>
      <c r="D24" t="n">
        <v>0.93</v>
      </c>
      <c r="E24" t="n">
        <v>-8.25</v>
      </c>
      <c r="F24" t="n">
        <v>-0.75</v>
      </c>
      <c r="G24" t="n">
        <v>172</v>
      </c>
      <c r="H24" t="n">
        <v>12</v>
      </c>
      <c r="I24" t="s">
        <v>261</v>
      </c>
      <c r="J24" t="n">
        <v>0</v>
      </c>
      <c r="K24" t="n">
        <v>0</v>
      </c>
      <c r="L24" t="n">
        <v>0</v>
      </c>
      <c r="M24" t="n">
        <v>12</v>
      </c>
      <c r="N24" t="n">
        <v>-0.5</v>
      </c>
      <c r="O24" t="n">
        <v>-0.25</v>
      </c>
      <c r="P24" t="n">
        <v>171</v>
      </c>
      <c r="Q24" t="n">
        <v>12</v>
      </c>
      <c r="R24" t="s">
        <v>261</v>
      </c>
      <c r="S24" t="s">
        <v>271</v>
      </c>
      <c r="T24" t="n">
        <v>-0.5</v>
      </c>
    </row>
    <row r="25">
      <c r="A25" t="s">
        <v>30</v>
      </c>
      <c r="B25" t="n">
        <v>0.99</v>
      </c>
      <c r="C25" t="n">
        <v>0.96</v>
      </c>
      <c r="D25" t="n">
        <v>1.01</v>
      </c>
      <c r="E25" t="n">
        <v>-5</v>
      </c>
      <c r="F25" t="n">
        <v>-0.25</v>
      </c>
      <c r="G25" t="n">
        <v>161</v>
      </c>
      <c r="H25" t="n">
        <v>12</v>
      </c>
      <c r="I25" t="s">
        <v>264</v>
      </c>
      <c r="J25" t="n">
        <v>0</v>
      </c>
      <c r="K25" t="n">
        <v>0</v>
      </c>
      <c r="L25" t="n">
        <v>0</v>
      </c>
      <c r="M25" t="n">
        <v>12</v>
      </c>
      <c r="N25" t="n">
        <v>0</v>
      </c>
      <c r="O25" t="n">
        <v>0</v>
      </c>
      <c r="P25" t="n">
        <v>80</v>
      </c>
      <c r="Q25" t="n">
        <v>12</v>
      </c>
      <c r="R25" t="s">
        <v>264</v>
      </c>
      <c r="S25" t="s">
        <v>260</v>
      </c>
      <c r="T25" t="n">
        <v>0</v>
      </c>
    </row>
    <row r="26">
      <c r="A26" t="s">
        <v>30</v>
      </c>
      <c r="B26" t="n">
        <v>0.91</v>
      </c>
      <c r="C26" t="n">
        <v>0.89</v>
      </c>
      <c r="D26" t="n">
        <v>0.88</v>
      </c>
      <c r="E26" t="n">
        <v>-4</v>
      </c>
      <c r="F26" t="n">
        <v>0</v>
      </c>
      <c r="G26" t="n">
        <v>100</v>
      </c>
      <c r="H26" t="n">
        <v>12</v>
      </c>
      <c r="I26" t="s">
        <v>261</v>
      </c>
      <c r="J26" t="n">
        <v>0</v>
      </c>
      <c r="K26" t="n">
        <v>0</v>
      </c>
      <c r="L26" t="n">
        <v>0</v>
      </c>
      <c r="M26" t="n">
        <v>12</v>
      </c>
      <c r="N26" t="n">
        <v>0</v>
      </c>
      <c r="O26" t="n">
        <v>0</v>
      </c>
      <c r="P26" t="n">
        <v>124</v>
      </c>
      <c r="Q26" t="n">
        <v>12</v>
      </c>
      <c r="R26" t="s">
        <v>269</v>
      </c>
      <c r="S26" t="s">
        <v>269</v>
      </c>
      <c r="T26" t="n">
        <v>0</v>
      </c>
    </row>
    <row r="27">
      <c r="A27" t="s">
        <v>30</v>
      </c>
      <c r="B27" t="n">
        <v>1.04</v>
      </c>
      <c r="C27" t="n">
        <v>1.09</v>
      </c>
      <c r="D27" t="n">
        <v>1.03</v>
      </c>
      <c r="E27" t="n">
        <v>-3.25</v>
      </c>
      <c r="F27" t="n">
        <v>-0.5</v>
      </c>
      <c r="G27" t="n">
        <v>82</v>
      </c>
      <c r="H27" t="n">
        <v>12</v>
      </c>
      <c r="I27" t="s">
        <v>267</v>
      </c>
      <c r="J27" t="n">
        <v>0</v>
      </c>
      <c r="K27" t="n">
        <v>0</v>
      </c>
      <c r="L27" t="n">
        <v>0</v>
      </c>
      <c r="M27" t="n">
        <v>12</v>
      </c>
      <c r="N27" t="n">
        <v>0.5</v>
      </c>
      <c r="O27" t="n">
        <v>-0.5</v>
      </c>
      <c r="P27" t="n">
        <v>86</v>
      </c>
      <c r="Q27" t="n">
        <v>12</v>
      </c>
      <c r="R27" t="s">
        <v>267</v>
      </c>
      <c r="S27" t="s">
        <v>268</v>
      </c>
      <c r="T27" t="n">
        <v>0.25</v>
      </c>
    </row>
    <row r="28">
      <c r="A28" t="s">
        <v>30</v>
      </c>
      <c r="B28" t="n">
        <v>1.04</v>
      </c>
      <c r="C28" t="n">
        <v>1.1</v>
      </c>
      <c r="D28" t="n">
        <v>1.06</v>
      </c>
      <c r="E28" t="n">
        <v>-1.25</v>
      </c>
      <c r="F28" t="n">
        <v>-1</v>
      </c>
      <c r="G28" t="n">
        <v>180</v>
      </c>
      <c r="H28" t="n">
        <v>12</v>
      </c>
      <c r="I28" t="s">
        <v>267</v>
      </c>
      <c r="J28" t="n">
        <v>0</v>
      </c>
      <c r="K28" t="n">
        <v>0</v>
      </c>
      <c r="L28" t="n">
        <v>0</v>
      </c>
      <c r="M28" t="n">
        <v>12</v>
      </c>
      <c r="N28" t="n">
        <v>-0.5</v>
      </c>
      <c r="O28" t="n">
        <v>0</v>
      </c>
      <c r="P28" t="n">
        <v>178</v>
      </c>
      <c r="Q28" t="n">
        <v>12</v>
      </c>
      <c r="R28" t="s">
        <v>267</v>
      </c>
      <c r="S28" t="s">
        <v>268</v>
      </c>
      <c r="T28" t="n">
        <v>-0.5</v>
      </c>
    </row>
    <row r="29">
      <c r="A29" t="s">
        <v>30</v>
      </c>
      <c r="B29" t="n">
        <v>1.13</v>
      </c>
      <c r="C29" t="n">
        <v>1.05</v>
      </c>
      <c r="D29" t="n">
        <v>1.14</v>
      </c>
      <c r="E29" t="n">
        <v>-6</v>
      </c>
      <c r="F29" t="n">
        <v>-0.5</v>
      </c>
      <c r="G29" t="n">
        <v>86</v>
      </c>
      <c r="H29" t="n">
        <v>12</v>
      </c>
      <c r="I29" t="s">
        <v>263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-0.25</v>
      </c>
      <c r="P29" t="n">
        <v>106</v>
      </c>
      <c r="Q29" t="n">
        <v>12</v>
      </c>
      <c r="R29" t="s">
        <v>263</v>
      </c>
      <c r="S29" t="s">
        <v>267</v>
      </c>
      <c r="T29" t="n">
        <v>-0.25</v>
      </c>
    </row>
    <row r="30">
      <c r="A30" t="s">
        <v>30</v>
      </c>
      <c r="B30" t="n">
        <v>0.99</v>
      </c>
      <c r="C30" t="n">
        <v>1.09</v>
      </c>
      <c r="D30" t="n">
        <v>1.05</v>
      </c>
      <c r="E30" t="n">
        <v>-5.75</v>
      </c>
      <c r="F30" t="n">
        <v>-0.75</v>
      </c>
      <c r="G30" t="n">
        <v>171</v>
      </c>
      <c r="H30" t="n">
        <v>12</v>
      </c>
      <c r="I30" t="s">
        <v>264</v>
      </c>
      <c r="J30" t="n">
        <v>0</v>
      </c>
      <c r="K30" t="n">
        <v>0</v>
      </c>
      <c r="L30" t="n">
        <v>0</v>
      </c>
      <c r="M30" t="n">
        <v>12</v>
      </c>
      <c r="N30" t="n">
        <v>0.25</v>
      </c>
      <c r="O30" t="n">
        <v>-0.5</v>
      </c>
      <c r="P30" t="n">
        <v>129</v>
      </c>
      <c r="Q30" t="n">
        <v>12</v>
      </c>
      <c r="R30" t="s">
        <v>267</v>
      </c>
      <c r="S30" t="s">
        <v>268</v>
      </c>
      <c r="T30" t="n">
        <v>0</v>
      </c>
    </row>
    <row r="31">
      <c r="A31" t="s">
        <v>30</v>
      </c>
      <c r="B31" t="n">
        <v>0.86</v>
      </c>
      <c r="C31" t="n">
        <v>0.83</v>
      </c>
      <c r="D31" t="n">
        <v>0.84</v>
      </c>
      <c r="E31" t="n">
        <v>-3.75</v>
      </c>
      <c r="F31" t="n">
        <v>-1.25</v>
      </c>
      <c r="G31" t="n">
        <v>23</v>
      </c>
      <c r="H31" t="n">
        <v>12</v>
      </c>
      <c r="I31" t="s">
        <v>269</v>
      </c>
      <c r="J31" t="n">
        <v>0</v>
      </c>
      <c r="K31" t="n">
        <v>0</v>
      </c>
      <c r="L31" t="n">
        <v>0</v>
      </c>
      <c r="M31" t="n">
        <v>12</v>
      </c>
      <c r="N31" t="n">
        <v>0.5</v>
      </c>
      <c r="O31" t="n">
        <v>-0.75</v>
      </c>
      <c r="P31" t="n">
        <v>166</v>
      </c>
      <c r="Q31" t="n">
        <v>12</v>
      </c>
      <c r="R31" t="s">
        <v>265</v>
      </c>
      <c r="S31" t="s">
        <v>265</v>
      </c>
      <c r="T31" t="n">
        <v>0</v>
      </c>
    </row>
    <row r="32">
      <c r="A32" t="s">
        <v>30</v>
      </c>
      <c r="B32" t="n">
        <v>0.99</v>
      </c>
      <c r="C32" t="n">
        <v>0.82</v>
      </c>
      <c r="D32" t="n">
        <v>0.97</v>
      </c>
      <c r="E32" t="n">
        <v>-4.75</v>
      </c>
      <c r="F32" t="n">
        <v>0</v>
      </c>
      <c r="G32" t="n">
        <v>5</v>
      </c>
      <c r="H32" t="n">
        <v>12</v>
      </c>
      <c r="I32" t="s">
        <v>264</v>
      </c>
      <c r="J32" t="n">
        <v>0</v>
      </c>
      <c r="K32" t="n">
        <v>0</v>
      </c>
      <c r="L32" t="n">
        <v>0</v>
      </c>
      <c r="M32" t="n">
        <v>12</v>
      </c>
      <c r="N32" t="n">
        <v>0.5</v>
      </c>
      <c r="O32" t="n">
        <v>0</v>
      </c>
      <c r="P32" t="n">
        <v>177</v>
      </c>
      <c r="Q32" t="n">
        <v>12</v>
      </c>
      <c r="R32" t="s">
        <v>260</v>
      </c>
      <c r="S32" t="s">
        <v>265</v>
      </c>
      <c r="T32" t="n">
        <v>0.5</v>
      </c>
    </row>
    <row r="33">
      <c r="A33" t="s">
        <v>30</v>
      </c>
      <c r="B33" t="n">
        <v>0.96</v>
      </c>
      <c r="C33" t="n">
        <v>0.98</v>
      </c>
      <c r="D33" t="n">
        <v>0.97</v>
      </c>
      <c r="E33" t="n">
        <v>-6.25</v>
      </c>
      <c r="F33" t="n">
        <v>-0.25</v>
      </c>
      <c r="G33" t="n">
        <v>67</v>
      </c>
      <c r="H33" t="n">
        <v>12</v>
      </c>
      <c r="I33" t="s">
        <v>260</v>
      </c>
      <c r="J33" t="n">
        <v>0</v>
      </c>
      <c r="K33" t="n">
        <v>0</v>
      </c>
      <c r="L33" t="n">
        <v>0</v>
      </c>
      <c r="M33" t="n">
        <v>12</v>
      </c>
      <c r="N33" t="n">
        <v>0.5</v>
      </c>
      <c r="O33" t="n">
        <v>-0.25</v>
      </c>
      <c r="P33" t="n">
        <v>8</v>
      </c>
      <c r="Q33" t="n">
        <v>12</v>
      </c>
      <c r="R33" t="s">
        <v>260</v>
      </c>
      <c r="S33" t="s">
        <v>264</v>
      </c>
      <c r="T33" t="n">
        <v>0.5</v>
      </c>
    </row>
    <row r="34">
      <c r="A34" t="s">
        <v>30</v>
      </c>
      <c r="B34" t="n">
        <v>1.07</v>
      </c>
      <c r="C34" t="n">
        <v>1.11</v>
      </c>
      <c r="D34" t="n">
        <v>1.12</v>
      </c>
      <c r="E34" t="n">
        <v>-2.5</v>
      </c>
      <c r="F34" t="n">
        <v>-0.75</v>
      </c>
      <c r="G34" t="n">
        <v>100</v>
      </c>
      <c r="H34" t="n">
        <v>12</v>
      </c>
      <c r="I34" t="s">
        <v>267</v>
      </c>
      <c r="J34" t="n">
        <v>0</v>
      </c>
      <c r="K34" t="n">
        <v>0</v>
      </c>
      <c r="L34" t="n">
        <v>0</v>
      </c>
      <c r="M34" t="n">
        <v>12</v>
      </c>
      <c r="N34" t="n">
        <v>-0.25</v>
      </c>
      <c r="O34" t="n">
        <v>0</v>
      </c>
      <c r="P34" t="n">
        <v>86</v>
      </c>
      <c r="Q34" t="n">
        <v>12</v>
      </c>
      <c r="R34" t="s">
        <v>268</v>
      </c>
      <c r="S34" t="s">
        <v>268</v>
      </c>
      <c r="T34" t="n">
        <v>-0.25</v>
      </c>
    </row>
    <row r="35">
      <c r="A35" t="s">
        <v>30</v>
      </c>
      <c r="B35" t="n">
        <v>0.99</v>
      </c>
      <c r="C35" t="n">
        <v>1.01</v>
      </c>
      <c r="D35" t="n">
        <v>1</v>
      </c>
      <c r="E35" t="n">
        <v>-4</v>
      </c>
      <c r="F35" t="n">
        <v>-0.25</v>
      </c>
      <c r="G35" t="n">
        <v>89</v>
      </c>
      <c r="H35" t="n">
        <v>12</v>
      </c>
      <c r="I35" t="s">
        <v>264</v>
      </c>
      <c r="J35" t="n">
        <v>0</v>
      </c>
      <c r="K35" t="n">
        <v>0</v>
      </c>
      <c r="L35" t="n">
        <v>0</v>
      </c>
      <c r="M35" t="n">
        <v>12</v>
      </c>
      <c r="N35" t="n">
        <v>0</v>
      </c>
      <c r="O35" t="n">
        <v>-0.25</v>
      </c>
      <c r="P35" t="n">
        <v>106</v>
      </c>
      <c r="Q35" t="n">
        <v>12</v>
      </c>
      <c r="R35" t="s">
        <v>264</v>
      </c>
      <c r="S35" t="s">
        <v>264</v>
      </c>
      <c r="T35" t="n">
        <v>0</v>
      </c>
    </row>
    <row r="36">
      <c r="A36" t="s">
        <v>30</v>
      </c>
      <c r="B36" t="n">
        <v>1.04</v>
      </c>
      <c r="C36" t="n">
        <v>1.07</v>
      </c>
      <c r="D36" t="n">
        <v>1.02</v>
      </c>
      <c r="E36" t="n">
        <v>-3</v>
      </c>
      <c r="F36" t="n">
        <v>-0.5</v>
      </c>
      <c r="G36" t="n">
        <v>84</v>
      </c>
      <c r="H36" t="n">
        <v>12</v>
      </c>
      <c r="I36" t="s">
        <v>267</v>
      </c>
      <c r="J36" t="n">
        <v>0</v>
      </c>
      <c r="K36" t="n">
        <v>0</v>
      </c>
      <c r="L36" t="n">
        <v>0</v>
      </c>
      <c r="M36" t="n">
        <v>12</v>
      </c>
      <c r="N36" t="n">
        <v>0.5</v>
      </c>
      <c r="O36" t="n">
        <v>-0.25</v>
      </c>
      <c r="P36" t="n">
        <v>101</v>
      </c>
      <c r="Q36" t="n">
        <v>12</v>
      </c>
      <c r="R36" t="s">
        <v>264</v>
      </c>
      <c r="S36" t="s">
        <v>267</v>
      </c>
      <c r="T36" t="n">
        <v>0.25</v>
      </c>
    </row>
    <row r="37">
      <c r="A37" t="s">
        <v>30</v>
      </c>
      <c r="B37" t="n">
        <v>1.02</v>
      </c>
      <c r="C37" t="n">
        <v>0.91</v>
      </c>
      <c r="D37" t="n">
        <v>1.01</v>
      </c>
      <c r="E37" t="n">
        <v>-1.5</v>
      </c>
      <c r="F37" t="n">
        <v>-0.75</v>
      </c>
      <c r="G37" t="n">
        <v>168</v>
      </c>
      <c r="H37" t="n">
        <v>12</v>
      </c>
      <c r="I37" t="s">
        <v>264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-0.75</v>
      </c>
      <c r="P37" t="n">
        <v>163</v>
      </c>
      <c r="Q37" t="n">
        <v>12</v>
      </c>
      <c r="R37" t="s">
        <v>264</v>
      </c>
      <c r="S37" t="s">
        <v>261</v>
      </c>
      <c r="T37" t="n">
        <v>0.25</v>
      </c>
    </row>
    <row r="38">
      <c r="A38" t="s">
        <v>30</v>
      </c>
      <c r="B38" t="n">
        <v>0.98</v>
      </c>
      <c r="C38" t="n">
        <v>0.98</v>
      </c>
      <c r="D38" t="n">
        <v>0.97</v>
      </c>
      <c r="E38" t="n">
        <v>-6.25</v>
      </c>
      <c r="F38" t="n">
        <v>-0.25</v>
      </c>
      <c r="G38" t="n">
        <v>40</v>
      </c>
      <c r="H38" t="n">
        <v>12</v>
      </c>
      <c r="I38" t="s">
        <v>264</v>
      </c>
      <c r="J38" t="n">
        <v>0</v>
      </c>
      <c r="K38" t="n">
        <v>0</v>
      </c>
      <c r="L38" t="n">
        <v>0</v>
      </c>
      <c r="M38" t="n">
        <v>12</v>
      </c>
      <c r="N38" t="n">
        <v>0.25</v>
      </c>
      <c r="O38" t="n">
        <v>0</v>
      </c>
      <c r="P38" t="n">
        <v>139</v>
      </c>
      <c r="Q38" t="n">
        <v>12</v>
      </c>
      <c r="R38" t="s">
        <v>260</v>
      </c>
      <c r="S38" t="s">
        <v>264</v>
      </c>
      <c r="T38" t="n">
        <v>0.25</v>
      </c>
    </row>
    <row r="39">
      <c r="A39" t="s">
        <v>30</v>
      </c>
      <c r="B39" t="n">
        <v>1.02</v>
      </c>
      <c r="C39" t="n">
        <v>0.94</v>
      </c>
      <c r="D39" t="n">
        <v>1.03</v>
      </c>
      <c r="E39" t="n">
        <v>-6.5</v>
      </c>
      <c r="F39" t="n">
        <v>-0.25</v>
      </c>
      <c r="G39" t="n">
        <v>87</v>
      </c>
      <c r="H39" t="n">
        <v>12</v>
      </c>
      <c r="I39" t="s">
        <v>264</v>
      </c>
      <c r="J39" t="n">
        <v>0</v>
      </c>
      <c r="K39" t="n">
        <v>0</v>
      </c>
      <c r="L39" t="n">
        <v>0</v>
      </c>
      <c r="M39" t="n">
        <v>12</v>
      </c>
      <c r="N39" t="n">
        <v>-0.25</v>
      </c>
      <c r="O39" t="n">
        <v>0</v>
      </c>
      <c r="P39" t="n">
        <v>149</v>
      </c>
      <c r="Q39" t="n">
        <v>12</v>
      </c>
      <c r="R39" t="s">
        <v>267</v>
      </c>
      <c r="S39" t="s">
        <v>260</v>
      </c>
      <c r="T39" t="n">
        <v>-0.25</v>
      </c>
    </row>
    <row r="40">
      <c r="A40" t="s">
        <v>30</v>
      </c>
      <c r="B40" t="n">
        <v>1.05</v>
      </c>
      <c r="C40" t="n">
        <v>1.08</v>
      </c>
      <c r="D40" t="n">
        <v>1.07</v>
      </c>
      <c r="E40" t="n">
        <v>-7</v>
      </c>
      <c r="F40" t="n">
        <v>-0.25</v>
      </c>
      <c r="G40" t="n">
        <v>100</v>
      </c>
      <c r="H40" t="n">
        <v>12</v>
      </c>
      <c r="I40" t="s">
        <v>267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-0.25</v>
      </c>
      <c r="P40" t="n">
        <v>122</v>
      </c>
      <c r="Q40" t="n">
        <v>12</v>
      </c>
      <c r="R40" t="s">
        <v>267</v>
      </c>
      <c r="S40" t="s">
        <v>268</v>
      </c>
      <c r="T40" t="n">
        <v>0.25</v>
      </c>
    </row>
    <row r="41">
      <c r="A41" t="s">
        <v>30</v>
      </c>
      <c r="B41" t="n">
        <v>0.93</v>
      </c>
      <c r="C41" t="n">
        <v>0.92</v>
      </c>
      <c r="D41" t="n">
        <v>0.99</v>
      </c>
      <c r="E41" t="n">
        <v>-6</v>
      </c>
      <c r="F41" t="n">
        <v>-0.25</v>
      </c>
      <c r="G41" t="n">
        <v>156</v>
      </c>
      <c r="H41" t="n">
        <v>12</v>
      </c>
      <c r="I41" t="s">
        <v>261</v>
      </c>
      <c r="J41" t="n">
        <v>0</v>
      </c>
      <c r="K41" t="n">
        <v>0</v>
      </c>
      <c r="L41" t="n">
        <v>0</v>
      </c>
      <c r="M41" t="n">
        <v>12</v>
      </c>
      <c r="N41" t="n">
        <v>0.25</v>
      </c>
      <c r="O41" t="n">
        <v>0</v>
      </c>
      <c r="P41" t="n">
        <v>91</v>
      </c>
      <c r="Q41" t="n">
        <v>12</v>
      </c>
      <c r="R41" t="s">
        <v>264</v>
      </c>
      <c r="S41" t="s">
        <v>261</v>
      </c>
      <c r="T41" t="n">
        <v>0.25</v>
      </c>
    </row>
    <row r="42">
      <c r="A42" t="s">
        <v>30</v>
      </c>
      <c r="B42" t="n">
        <v>0.88</v>
      </c>
      <c r="C42" t="n">
        <v>0.71</v>
      </c>
      <c r="D42" t="n">
        <v>0.86</v>
      </c>
      <c r="E42" t="n">
        <v>-7.5</v>
      </c>
      <c r="F42" t="n">
        <v>-0.25</v>
      </c>
      <c r="G42" t="n">
        <v>79</v>
      </c>
      <c r="H42" t="n">
        <v>12</v>
      </c>
      <c r="I42" t="s">
        <v>269</v>
      </c>
      <c r="J42" t="n">
        <v>0</v>
      </c>
      <c r="K42" t="n">
        <v>0</v>
      </c>
      <c r="L42" t="n">
        <v>0</v>
      </c>
      <c r="M42" t="n">
        <v>12</v>
      </c>
      <c r="N42" t="n">
        <v>0.5</v>
      </c>
      <c r="O42" t="n">
        <v>0</v>
      </c>
      <c r="P42" t="n">
        <v>65</v>
      </c>
      <c r="Q42" t="n">
        <v>12</v>
      </c>
      <c r="R42" t="s">
        <v>269</v>
      </c>
      <c r="S42" t="s">
        <v>272</v>
      </c>
      <c r="T42" t="n">
        <v>0.5</v>
      </c>
    </row>
    <row r="43">
      <c r="A43" t="s">
        <v>30</v>
      </c>
      <c r="B43" t="n">
        <v>0.98</v>
      </c>
      <c r="C43" t="n">
        <v>1</v>
      </c>
      <c r="D43" t="n">
        <v>0.95</v>
      </c>
      <c r="E43" t="n">
        <v>-2</v>
      </c>
      <c r="F43" t="n">
        <v>-0.25</v>
      </c>
      <c r="G43" t="n">
        <v>92</v>
      </c>
      <c r="H43" t="n">
        <v>12</v>
      </c>
      <c r="I43" t="s">
        <v>264</v>
      </c>
      <c r="J43" t="n">
        <v>0</v>
      </c>
      <c r="K43" t="n">
        <v>0</v>
      </c>
      <c r="L43" t="n">
        <v>0</v>
      </c>
      <c r="M43" t="n">
        <v>12</v>
      </c>
      <c r="N43" t="n">
        <v>0</v>
      </c>
      <c r="O43" t="n">
        <v>-0.25</v>
      </c>
      <c r="P43" t="n">
        <v>69</v>
      </c>
      <c r="Q43" t="n">
        <v>12</v>
      </c>
      <c r="R43" t="s">
        <v>260</v>
      </c>
      <c r="S43" t="s">
        <v>264</v>
      </c>
      <c r="T43" t="n">
        <v>-0.25</v>
      </c>
    </row>
    <row r="44">
      <c r="A44" t="s">
        <v>30</v>
      </c>
      <c r="B44" t="n">
        <v>1.07</v>
      </c>
      <c r="C44" t="n">
        <v>1.07</v>
      </c>
      <c r="D44" t="n">
        <v>1.07</v>
      </c>
      <c r="E44" t="n">
        <v>-1.75</v>
      </c>
      <c r="F44" t="n">
        <v>-1</v>
      </c>
      <c r="G44" t="n">
        <v>162</v>
      </c>
      <c r="H44" t="n">
        <v>12</v>
      </c>
      <c r="I44" t="s">
        <v>267</v>
      </c>
      <c r="J44" t="n">
        <v>0</v>
      </c>
      <c r="K44" t="n">
        <v>0</v>
      </c>
      <c r="L44" t="n">
        <v>0</v>
      </c>
      <c r="M44" t="n">
        <v>12</v>
      </c>
      <c r="N44" t="n">
        <v>-0.25</v>
      </c>
      <c r="O44" t="n">
        <v>0</v>
      </c>
      <c r="P44" t="n">
        <v>78</v>
      </c>
      <c r="Q44" t="n">
        <v>12</v>
      </c>
      <c r="R44" t="s">
        <v>267</v>
      </c>
      <c r="S44" t="s">
        <v>267</v>
      </c>
      <c r="T44" t="n">
        <v>-0.25</v>
      </c>
    </row>
    <row r="45">
      <c r="A45" t="s">
        <v>30</v>
      </c>
      <c r="B45" t="n">
        <v>0.95</v>
      </c>
      <c r="C45" t="n">
        <v>0.88</v>
      </c>
      <c r="D45" t="n">
        <v>0.94</v>
      </c>
      <c r="E45" t="n">
        <v>-3.75</v>
      </c>
      <c r="F45" t="n">
        <v>-0.25</v>
      </c>
      <c r="G45" t="n">
        <v>96</v>
      </c>
      <c r="H45" t="n">
        <v>12</v>
      </c>
      <c r="I45" t="s">
        <v>260</v>
      </c>
      <c r="J45" t="n">
        <v>0</v>
      </c>
      <c r="K45" t="n">
        <v>0</v>
      </c>
      <c r="L45" t="n">
        <v>0</v>
      </c>
      <c r="M45" t="n">
        <v>12</v>
      </c>
      <c r="N45" t="n">
        <v>-0.25</v>
      </c>
      <c r="O45" t="n">
        <v>0</v>
      </c>
      <c r="P45" t="n">
        <v>86</v>
      </c>
      <c r="Q45" t="n">
        <v>12</v>
      </c>
      <c r="R45" t="s">
        <v>260</v>
      </c>
      <c r="S45" t="s">
        <v>269</v>
      </c>
      <c r="T45" t="n">
        <v>-0.25</v>
      </c>
    </row>
    <row r="46">
      <c r="A46" t="s">
        <v>30</v>
      </c>
      <c r="B46" t="n">
        <v>1.07</v>
      </c>
      <c r="C46" t="n">
        <v>0.98</v>
      </c>
      <c r="D46" t="n">
        <v>1.1</v>
      </c>
      <c r="E46" t="n">
        <v>-5.25</v>
      </c>
      <c r="F46" t="n">
        <v>-1.25</v>
      </c>
      <c r="G46" t="n">
        <v>98</v>
      </c>
      <c r="H46" t="n">
        <v>12</v>
      </c>
      <c r="I46" t="s">
        <v>267</v>
      </c>
      <c r="J46" t="n">
        <v>0</v>
      </c>
      <c r="K46" t="n">
        <v>0</v>
      </c>
      <c r="L46" t="n">
        <v>0</v>
      </c>
      <c r="M46" t="n">
        <v>12</v>
      </c>
      <c r="N46" t="n">
        <v>-0.5</v>
      </c>
      <c r="O46" t="n">
        <v>-0.25</v>
      </c>
      <c r="P46" t="n">
        <v>98</v>
      </c>
      <c r="Q46" t="n">
        <v>12</v>
      </c>
      <c r="R46" t="s">
        <v>268</v>
      </c>
      <c r="S46" t="s">
        <v>264</v>
      </c>
      <c r="T46" t="n">
        <v>-0.5</v>
      </c>
    </row>
    <row r="47">
      <c r="A47" t="s">
        <v>30</v>
      </c>
      <c r="B47" t="n">
        <v>1.08</v>
      </c>
      <c r="C47" t="n">
        <v>1.05</v>
      </c>
      <c r="D47" t="n">
        <v>1.13</v>
      </c>
      <c r="E47" t="n">
        <v>-1.5</v>
      </c>
      <c r="F47" t="n">
        <v>-1</v>
      </c>
      <c r="G47" t="n">
        <v>58</v>
      </c>
      <c r="H47" t="n">
        <v>12</v>
      </c>
      <c r="I47" t="s">
        <v>268</v>
      </c>
      <c r="J47" t="n">
        <v>0</v>
      </c>
      <c r="K47" t="n">
        <v>0</v>
      </c>
      <c r="L47" t="n">
        <v>0</v>
      </c>
      <c r="M47" t="n">
        <v>12</v>
      </c>
      <c r="N47" t="n">
        <v>-0.25</v>
      </c>
      <c r="O47" t="n">
        <v>0</v>
      </c>
      <c r="P47" t="n">
        <v>65</v>
      </c>
      <c r="Q47" t="n">
        <v>12</v>
      </c>
      <c r="R47" t="s">
        <v>263</v>
      </c>
      <c r="S47" t="s">
        <v>267</v>
      </c>
      <c r="T47" t="n">
        <v>-0.25</v>
      </c>
    </row>
    <row r="48">
      <c r="A48" t="s">
        <v>30</v>
      </c>
      <c r="B48" t="n">
        <v>1.11</v>
      </c>
      <c r="C48" t="n">
        <v>1.14</v>
      </c>
      <c r="D48" t="n">
        <v>1.17</v>
      </c>
      <c r="E48" t="n">
        <v>-3</v>
      </c>
      <c r="F48" t="n">
        <v>-0.25</v>
      </c>
      <c r="G48" t="n">
        <v>99</v>
      </c>
      <c r="H48" t="n">
        <v>12</v>
      </c>
      <c r="I48" t="s">
        <v>268</v>
      </c>
      <c r="J48" t="n">
        <v>0</v>
      </c>
      <c r="K48" t="n">
        <v>0</v>
      </c>
      <c r="L48" t="n">
        <v>0</v>
      </c>
      <c r="M48" t="n">
        <v>12</v>
      </c>
      <c r="N48" t="n">
        <v>0.25</v>
      </c>
      <c r="O48" t="n">
        <v>0</v>
      </c>
      <c r="P48" t="n">
        <v>64</v>
      </c>
      <c r="Q48" t="n">
        <v>12</v>
      </c>
      <c r="R48" t="s">
        <v>263</v>
      </c>
      <c r="S48" t="s">
        <v>263</v>
      </c>
      <c r="T48" t="n">
        <v>0.25</v>
      </c>
    </row>
    <row r="49">
      <c r="A49" t="s">
        <v>30</v>
      </c>
      <c r="B49" t="n">
        <v>1.05</v>
      </c>
      <c r="C49" t="n">
        <v>0.97</v>
      </c>
      <c r="D49" t="n">
        <v>1.02</v>
      </c>
      <c r="E49" t="n">
        <v>-5</v>
      </c>
      <c r="F49" t="n">
        <v>-0.25</v>
      </c>
      <c r="G49" t="n">
        <v>96</v>
      </c>
      <c r="H49" t="n">
        <v>12</v>
      </c>
      <c r="I49" t="s">
        <v>267</v>
      </c>
      <c r="J49" t="n">
        <v>0</v>
      </c>
      <c r="K49" t="n">
        <v>0</v>
      </c>
      <c r="L49" t="n">
        <v>0</v>
      </c>
      <c r="M49" t="n">
        <v>12</v>
      </c>
      <c r="N49" t="n">
        <v>0.25</v>
      </c>
      <c r="O49" t="n">
        <v>0</v>
      </c>
      <c r="P49" t="n">
        <v>43</v>
      </c>
      <c r="Q49" t="n">
        <v>12</v>
      </c>
      <c r="R49" t="s">
        <v>264</v>
      </c>
      <c r="S49" t="s">
        <v>260</v>
      </c>
      <c r="T49" t="n">
        <v>0.25</v>
      </c>
    </row>
    <row r="50">
      <c r="A50" t="s">
        <v>30</v>
      </c>
      <c r="B50" t="n">
        <v>1.04</v>
      </c>
      <c r="C50" t="n">
        <v>0.88</v>
      </c>
      <c r="D50" t="n">
        <v>0.99</v>
      </c>
      <c r="E50" t="n">
        <v>-3.75</v>
      </c>
      <c r="F50" t="n">
        <v>-0.5</v>
      </c>
      <c r="G50" t="n">
        <v>95</v>
      </c>
      <c r="H50" t="n">
        <v>12</v>
      </c>
      <c r="I50" t="s">
        <v>267</v>
      </c>
      <c r="J50" t="n">
        <v>0</v>
      </c>
      <c r="K50" t="n">
        <v>0</v>
      </c>
      <c r="L50" t="n">
        <v>0</v>
      </c>
      <c r="M50" t="n">
        <v>12</v>
      </c>
      <c r="N50" t="n">
        <v>0</v>
      </c>
      <c r="O50" t="n">
        <v>-0.25</v>
      </c>
      <c r="P50" t="n">
        <v>90</v>
      </c>
      <c r="Q50" t="n">
        <v>12</v>
      </c>
      <c r="R50" t="s">
        <v>264</v>
      </c>
      <c r="S50" t="s">
        <v>269</v>
      </c>
      <c r="T50" t="n">
        <v>-0.25</v>
      </c>
    </row>
    <row r="51">
      <c r="A51" t="s">
        <v>30</v>
      </c>
      <c r="B51" t="n">
        <v>1.03</v>
      </c>
      <c r="C51" t="n">
        <v>0.88</v>
      </c>
      <c r="D51" t="n">
        <v>1</v>
      </c>
      <c r="E51" t="n">
        <v>-4.75</v>
      </c>
      <c r="F51" t="n">
        <v>-0.75</v>
      </c>
      <c r="G51" t="n">
        <v>23</v>
      </c>
      <c r="H51" t="n">
        <v>12</v>
      </c>
      <c r="I51" t="s">
        <v>267</v>
      </c>
      <c r="J51" t="n">
        <v>0</v>
      </c>
      <c r="K51" t="n">
        <v>0</v>
      </c>
      <c r="L51" t="n">
        <v>0</v>
      </c>
      <c r="M51" t="n">
        <v>12</v>
      </c>
      <c r="N51" t="n">
        <v>0</v>
      </c>
      <c r="O51" t="n">
        <v>-0.25</v>
      </c>
      <c r="P51" t="n">
        <v>5</v>
      </c>
      <c r="Q51" t="n">
        <v>12</v>
      </c>
      <c r="R51" t="s">
        <v>264</v>
      </c>
      <c r="S51" t="s">
        <v>269</v>
      </c>
      <c r="T51" t="n">
        <v>-0.25</v>
      </c>
    </row>
    <row r="52">
      <c r="A52" t="s">
        <v>30</v>
      </c>
      <c r="B52" t="n">
        <v>1.06</v>
      </c>
      <c r="C52" t="n">
        <v>1.07</v>
      </c>
      <c r="D52" t="n">
        <v>1.05</v>
      </c>
      <c r="E52" t="n">
        <v>-5</v>
      </c>
      <c r="F52" t="n">
        <v>-0.75</v>
      </c>
      <c r="G52" t="n">
        <v>6</v>
      </c>
      <c r="H52" t="n">
        <v>12</v>
      </c>
      <c r="I52" t="s">
        <v>267</v>
      </c>
      <c r="J52" t="n">
        <v>0</v>
      </c>
      <c r="K52" t="n">
        <v>0</v>
      </c>
      <c r="L52" t="n">
        <v>0</v>
      </c>
      <c r="M52" t="n">
        <v>12</v>
      </c>
      <c r="N52" t="n">
        <v>0.5</v>
      </c>
      <c r="O52" t="n">
        <v>0</v>
      </c>
      <c r="P52" t="n">
        <v>26</v>
      </c>
      <c r="Q52" t="n">
        <v>12</v>
      </c>
      <c r="R52" t="s">
        <v>267</v>
      </c>
      <c r="S52" t="s">
        <v>267</v>
      </c>
      <c r="T52" t="n">
        <v>0.5</v>
      </c>
    </row>
    <row r="53">
      <c r="A53" t="s">
        <v>30</v>
      </c>
      <c r="B53" t="n">
        <v>1.1</v>
      </c>
      <c r="C53" t="n">
        <v>1.08</v>
      </c>
      <c r="D53" t="n">
        <v>1.09</v>
      </c>
      <c r="E53" t="n">
        <v>-2.5</v>
      </c>
      <c r="F53" t="n">
        <v>-0.75</v>
      </c>
      <c r="G53" t="n">
        <v>178</v>
      </c>
      <c r="H53" t="n">
        <v>12</v>
      </c>
      <c r="I53" t="s">
        <v>268</v>
      </c>
      <c r="J53" t="n">
        <v>0</v>
      </c>
      <c r="K53" t="n">
        <v>0</v>
      </c>
      <c r="L53" t="n">
        <v>0</v>
      </c>
      <c r="M53" t="n">
        <v>12</v>
      </c>
      <c r="N53" t="n">
        <v>0</v>
      </c>
      <c r="O53" t="n">
        <v>-0.25</v>
      </c>
      <c r="P53" t="n">
        <v>4</v>
      </c>
      <c r="Q53" t="n">
        <v>12</v>
      </c>
      <c r="R53" t="s">
        <v>268</v>
      </c>
      <c r="S53" t="s">
        <v>268</v>
      </c>
      <c r="T53" t="n">
        <v>-0.25</v>
      </c>
    </row>
    <row r="54">
      <c r="A54" t="s">
        <v>30</v>
      </c>
      <c r="B54" t="n">
        <v>1.04</v>
      </c>
      <c r="C54" t="n">
        <v>0.98</v>
      </c>
      <c r="D54" t="n">
        <v>1</v>
      </c>
      <c r="E54" t="n">
        <v>-1.25</v>
      </c>
      <c r="F54" t="n">
        <v>-0.5</v>
      </c>
      <c r="G54" t="n">
        <v>84</v>
      </c>
      <c r="H54" t="n">
        <v>12</v>
      </c>
      <c r="I54" t="s">
        <v>267</v>
      </c>
      <c r="J54" t="n">
        <v>0</v>
      </c>
      <c r="K54" t="n">
        <v>0</v>
      </c>
      <c r="L54" t="n">
        <v>0</v>
      </c>
      <c r="M54" t="n">
        <v>12</v>
      </c>
      <c r="N54" t="n">
        <v>0.75</v>
      </c>
      <c r="O54" t="n">
        <v>0</v>
      </c>
      <c r="P54" t="n">
        <v>138</v>
      </c>
      <c r="Q54" t="n">
        <v>12</v>
      </c>
      <c r="R54" t="s">
        <v>264</v>
      </c>
      <c r="S54" t="s">
        <v>264</v>
      </c>
      <c r="T54" t="n">
        <v>0.75</v>
      </c>
    </row>
    <row r="55">
      <c r="A55" t="s">
        <v>30</v>
      </c>
      <c r="B55" t="n">
        <v>0.94</v>
      </c>
      <c r="C55" t="n">
        <v>0.93</v>
      </c>
      <c r="D55" t="n">
        <v>0.94</v>
      </c>
      <c r="E55" t="n">
        <v>-1.5</v>
      </c>
      <c r="F55" t="n">
        <v>-0.5</v>
      </c>
      <c r="G55" t="n">
        <v>94</v>
      </c>
      <c r="H55" t="n">
        <v>12</v>
      </c>
      <c r="I55" t="s">
        <v>260</v>
      </c>
      <c r="J55" t="n">
        <v>0</v>
      </c>
      <c r="K55" t="n">
        <v>0</v>
      </c>
      <c r="L55" t="n">
        <v>0</v>
      </c>
      <c r="M55" t="n">
        <v>12</v>
      </c>
      <c r="N55" t="n">
        <v>0.5</v>
      </c>
      <c r="O55" t="n">
        <v>-0.25</v>
      </c>
      <c r="P55" t="n">
        <v>96</v>
      </c>
      <c r="Q55" t="n">
        <v>12</v>
      </c>
      <c r="R55" t="s">
        <v>260</v>
      </c>
      <c r="S55" t="s">
        <v>261</v>
      </c>
      <c r="T55" t="n">
        <v>0.5</v>
      </c>
    </row>
    <row r="56">
      <c r="A56" t="s">
        <v>30</v>
      </c>
      <c r="B56" t="n">
        <v>1.01</v>
      </c>
      <c r="C56" t="n">
        <v>0.89</v>
      </c>
      <c r="D56" t="n">
        <v>1.02</v>
      </c>
      <c r="E56" t="n">
        <v>-2.75</v>
      </c>
      <c r="F56" t="n">
        <v>-0.5</v>
      </c>
      <c r="G56" t="n">
        <v>167</v>
      </c>
      <c r="H56" t="n">
        <v>12</v>
      </c>
      <c r="I56" t="s">
        <v>264</v>
      </c>
      <c r="J56" t="n">
        <v>0</v>
      </c>
      <c r="K56" t="n">
        <v>0</v>
      </c>
      <c r="L56" t="n">
        <v>0</v>
      </c>
      <c r="M56" t="n">
        <v>12</v>
      </c>
      <c r="N56" t="n">
        <v>0.25</v>
      </c>
      <c r="O56" t="n">
        <v>0</v>
      </c>
      <c r="P56" t="n">
        <v>24</v>
      </c>
      <c r="Q56" t="n">
        <v>12</v>
      </c>
      <c r="R56" t="s">
        <v>264</v>
      </c>
      <c r="S56" t="s">
        <v>269</v>
      </c>
      <c r="T56" t="n">
        <v>0.25</v>
      </c>
    </row>
    <row r="57">
      <c r="A57" t="s">
        <v>30</v>
      </c>
      <c r="B57" t="n">
        <v>1.11</v>
      </c>
      <c r="C57" t="n">
        <v>1.14</v>
      </c>
      <c r="D57" t="n">
        <v>1.12</v>
      </c>
      <c r="E57" t="n">
        <v>-3.25</v>
      </c>
      <c r="F57" t="n">
        <v>-0.5</v>
      </c>
      <c r="G57" t="n">
        <v>11</v>
      </c>
      <c r="H57" t="n">
        <v>12</v>
      </c>
      <c r="I57" t="s">
        <v>268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-0.25</v>
      </c>
      <c r="P57" t="n">
        <v>2</v>
      </c>
      <c r="Q57" t="n">
        <v>12</v>
      </c>
      <c r="R57" t="s">
        <v>268</v>
      </c>
      <c r="S57" t="s">
        <v>263</v>
      </c>
      <c r="T57" t="n">
        <v>0</v>
      </c>
    </row>
    <row r="58">
      <c r="A58" t="s">
        <v>30</v>
      </c>
      <c r="B58" t="n">
        <v>1.05</v>
      </c>
      <c r="C58" t="n">
        <v>1.07</v>
      </c>
      <c r="D58" t="n">
        <v>1.08</v>
      </c>
      <c r="E58" t="n">
        <v>-4</v>
      </c>
      <c r="F58" t="n">
        <v>-0.25</v>
      </c>
      <c r="G58" t="n">
        <v>166</v>
      </c>
      <c r="H58" t="n">
        <v>12</v>
      </c>
      <c r="I58" t="s">
        <v>267</v>
      </c>
      <c r="J58" t="n">
        <v>0</v>
      </c>
      <c r="K58" t="n">
        <v>0</v>
      </c>
      <c r="L58" t="n">
        <v>0</v>
      </c>
      <c r="M58" t="n">
        <v>12</v>
      </c>
      <c r="N58" t="n">
        <v>0</v>
      </c>
      <c r="O58" t="n">
        <v>-0.5</v>
      </c>
      <c r="P58" t="n">
        <v>1</v>
      </c>
      <c r="Q58" t="n">
        <v>12</v>
      </c>
      <c r="R58" t="s">
        <v>268</v>
      </c>
      <c r="S58" t="s">
        <v>267</v>
      </c>
      <c r="T58" t="n">
        <v>-0.25</v>
      </c>
    </row>
    <row r="59">
      <c r="A59" t="s">
        <v>30</v>
      </c>
      <c r="B59" t="n">
        <v>1.07</v>
      </c>
      <c r="C59" t="n">
        <v>1.1</v>
      </c>
      <c r="D59" t="n">
        <v>1.05</v>
      </c>
      <c r="E59" t="n">
        <v>-4</v>
      </c>
      <c r="F59" t="n">
        <v>-1.25</v>
      </c>
      <c r="G59" t="n">
        <v>169</v>
      </c>
      <c r="H59" t="n">
        <v>12</v>
      </c>
      <c r="I59" t="s">
        <v>267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-0.25</v>
      </c>
      <c r="P59" t="n">
        <v>176</v>
      </c>
      <c r="Q59" t="n">
        <v>12</v>
      </c>
      <c r="R59" t="s">
        <v>267</v>
      </c>
      <c r="S59" t="s">
        <v>268</v>
      </c>
      <c r="T59" t="n">
        <v>0</v>
      </c>
    </row>
    <row r="60">
      <c r="A60" t="s">
        <v>30</v>
      </c>
      <c r="B60" t="n">
        <v>1.1</v>
      </c>
      <c r="C60" t="n">
        <v>0.97</v>
      </c>
      <c r="D60" t="n">
        <v>1.13</v>
      </c>
      <c r="E60" t="n">
        <v>-0.75</v>
      </c>
      <c r="F60" t="n">
        <v>-1.25</v>
      </c>
      <c r="G60" t="n">
        <v>22</v>
      </c>
      <c r="H60" t="n">
        <v>12</v>
      </c>
      <c r="I60" t="s">
        <v>268</v>
      </c>
      <c r="J60" t="n">
        <v>0</v>
      </c>
      <c r="K60" t="n">
        <v>0</v>
      </c>
      <c r="L60" t="n">
        <v>0</v>
      </c>
      <c r="M60" t="n">
        <v>12</v>
      </c>
      <c r="N60" t="n">
        <v>0.5</v>
      </c>
      <c r="O60" t="n">
        <v>-0.25</v>
      </c>
      <c r="P60" t="n">
        <v>33</v>
      </c>
      <c r="Q60" t="n">
        <v>12</v>
      </c>
      <c r="R60" t="s">
        <v>263</v>
      </c>
      <c r="S60" t="s">
        <v>260</v>
      </c>
      <c r="T60" t="n">
        <v>0.25</v>
      </c>
    </row>
    <row r="61">
      <c r="A61" t="s">
        <v>30</v>
      </c>
      <c r="B61" t="n">
        <v>0.94</v>
      </c>
      <c r="C61" t="n">
        <v>0.96</v>
      </c>
      <c r="D61" t="n">
        <v>0.95</v>
      </c>
      <c r="E61" t="n">
        <v>-3</v>
      </c>
      <c r="F61" t="n">
        <v>-2.75</v>
      </c>
      <c r="G61" t="n">
        <v>0</v>
      </c>
      <c r="H61" t="n">
        <v>12</v>
      </c>
      <c r="I61" t="s">
        <v>260</v>
      </c>
      <c r="J61" t="n">
        <v>0</v>
      </c>
      <c r="K61" t="n">
        <v>0</v>
      </c>
      <c r="L61" t="n">
        <v>0</v>
      </c>
      <c r="M61" t="n">
        <v>12</v>
      </c>
      <c r="N61" t="n">
        <v>0</v>
      </c>
      <c r="O61" t="n">
        <v>-0.5</v>
      </c>
      <c r="P61" t="n">
        <v>155</v>
      </c>
      <c r="Q61" t="n">
        <v>12</v>
      </c>
      <c r="R61" t="s">
        <v>260</v>
      </c>
      <c r="S61" t="s">
        <v>260</v>
      </c>
      <c r="T61" t="n">
        <v>-0.25</v>
      </c>
    </row>
    <row r="62">
      <c r="A62" t="s">
        <v>30</v>
      </c>
      <c r="B62" t="n">
        <v>0.98</v>
      </c>
      <c r="C62" t="n">
        <v>1.01</v>
      </c>
      <c r="D62" t="n">
        <v>0.99</v>
      </c>
      <c r="E62" t="n">
        <v>-4</v>
      </c>
      <c r="F62" t="n">
        <v>-0.25</v>
      </c>
      <c r="G62" t="n">
        <v>170</v>
      </c>
      <c r="H62" t="n">
        <v>12</v>
      </c>
      <c r="I62" t="s">
        <v>264</v>
      </c>
      <c r="J62" t="n">
        <v>0</v>
      </c>
      <c r="K62" t="n">
        <v>0</v>
      </c>
      <c r="L62" t="n">
        <v>0</v>
      </c>
      <c r="M62" t="n">
        <v>12</v>
      </c>
      <c r="N62" t="n">
        <v>0</v>
      </c>
      <c r="O62" t="n">
        <v>0</v>
      </c>
      <c r="P62" t="n">
        <v>157</v>
      </c>
      <c r="Q62" t="n">
        <v>12</v>
      </c>
      <c r="R62" t="s">
        <v>264</v>
      </c>
      <c r="S62" t="s">
        <v>264</v>
      </c>
      <c r="T62" t="n">
        <v>0</v>
      </c>
    </row>
    <row r="63">
      <c r="A63" t="s">
        <v>30</v>
      </c>
      <c r="B63" t="n">
        <v>0.88</v>
      </c>
      <c r="C63" t="n">
        <v>0.84</v>
      </c>
      <c r="D63" t="n">
        <v>0.86</v>
      </c>
      <c r="E63" t="n">
        <v>-0.5</v>
      </c>
      <c r="F63" t="n">
        <v>-0.5</v>
      </c>
      <c r="G63" t="n">
        <v>18</v>
      </c>
      <c r="H63" t="n">
        <v>12</v>
      </c>
      <c r="I63" t="s">
        <v>269</v>
      </c>
      <c r="J63" t="n">
        <v>0</v>
      </c>
      <c r="K63" t="n">
        <v>0</v>
      </c>
      <c r="L63" t="n">
        <v>0</v>
      </c>
      <c r="M63" t="n">
        <v>12</v>
      </c>
      <c r="N63" t="n">
        <v>0</v>
      </c>
      <c r="O63" t="n">
        <v>-0.5</v>
      </c>
      <c r="P63" t="n">
        <v>43</v>
      </c>
      <c r="Q63" t="n">
        <v>12</v>
      </c>
      <c r="R63" t="s">
        <v>269</v>
      </c>
      <c r="S63" t="s">
        <v>265</v>
      </c>
      <c r="T63" t="n">
        <v>-0.25</v>
      </c>
    </row>
    <row r="64">
      <c r="A64" t="s">
        <v>30</v>
      </c>
      <c r="B64" t="n">
        <v>1.11</v>
      </c>
      <c r="C64" t="n">
        <v>1.03</v>
      </c>
      <c r="D64" t="n">
        <v>1.06</v>
      </c>
      <c r="E64" t="n">
        <v>-5.25</v>
      </c>
      <c r="F64" t="n">
        <v>-2.25</v>
      </c>
      <c r="G64" t="n">
        <v>82</v>
      </c>
      <c r="H64" t="n">
        <v>12</v>
      </c>
      <c r="I64" t="s">
        <v>268</v>
      </c>
      <c r="J64" t="n">
        <v>0</v>
      </c>
      <c r="K64" t="n">
        <v>0</v>
      </c>
      <c r="L64" t="n">
        <v>0</v>
      </c>
      <c r="M64" t="n">
        <v>12</v>
      </c>
      <c r="N64" t="n">
        <v>0</v>
      </c>
      <c r="O64" t="n">
        <v>-0.5</v>
      </c>
      <c r="P64" t="n">
        <v>54</v>
      </c>
      <c r="Q64" t="n">
        <v>12</v>
      </c>
      <c r="R64" t="s">
        <v>267</v>
      </c>
      <c r="S64" t="s">
        <v>267</v>
      </c>
      <c r="T64" t="n">
        <v>-0.25</v>
      </c>
    </row>
    <row r="65">
      <c r="A65" t="s">
        <v>30</v>
      </c>
      <c r="B65" t="n">
        <v>1.13</v>
      </c>
      <c r="C65" t="n">
        <v>1.13</v>
      </c>
      <c r="D65" t="n">
        <v>1.13</v>
      </c>
      <c r="E65" t="n">
        <v>-5.25</v>
      </c>
      <c r="F65" t="n">
        <v>-0.75</v>
      </c>
      <c r="G65" t="n">
        <v>54</v>
      </c>
      <c r="H65" t="n">
        <v>12</v>
      </c>
      <c r="I65" t="s">
        <v>263</v>
      </c>
      <c r="J65" t="n">
        <v>0</v>
      </c>
      <c r="K65" t="n">
        <v>0</v>
      </c>
      <c r="L65" t="n">
        <v>0</v>
      </c>
      <c r="M65" t="n">
        <v>12</v>
      </c>
      <c r="N65" t="n">
        <v>-0.25</v>
      </c>
      <c r="O65" t="n">
        <v>0</v>
      </c>
      <c r="P65" t="n">
        <v>167</v>
      </c>
      <c r="Q65" t="n">
        <v>12</v>
      </c>
      <c r="R65" t="s">
        <v>263</v>
      </c>
      <c r="S65" t="s">
        <v>263</v>
      </c>
      <c r="T65" t="n">
        <v>-0.25</v>
      </c>
    </row>
    <row r="66">
      <c r="A66" t="s">
        <v>30</v>
      </c>
      <c r="B66" t="n">
        <v>1.02</v>
      </c>
      <c r="C66" t="n">
        <v>1.2</v>
      </c>
      <c r="D66" t="n">
        <v>1.03</v>
      </c>
      <c r="E66" t="n">
        <v>-4.25</v>
      </c>
      <c r="F66" t="n">
        <v>-0.5</v>
      </c>
      <c r="G66" t="n">
        <v>177</v>
      </c>
      <c r="H66" t="n">
        <v>12</v>
      </c>
      <c r="I66" t="s">
        <v>264</v>
      </c>
      <c r="J66" t="n">
        <v>0</v>
      </c>
      <c r="K66" t="n">
        <v>0</v>
      </c>
      <c r="L66" t="n">
        <v>0</v>
      </c>
      <c r="M66" t="n">
        <v>12</v>
      </c>
      <c r="N66" t="n">
        <v>0.5</v>
      </c>
      <c r="O66" t="n">
        <v>-0.25</v>
      </c>
      <c r="P66" t="n">
        <v>3</v>
      </c>
      <c r="Q66" t="n">
        <v>12</v>
      </c>
      <c r="R66" t="s">
        <v>267</v>
      </c>
      <c r="S66" t="s">
        <v>270</v>
      </c>
      <c r="T66" t="n">
        <v>0.25</v>
      </c>
    </row>
    <row r="67">
      <c r="A67" t="s">
        <v>30</v>
      </c>
      <c r="B67" t="n">
        <v>0.94</v>
      </c>
      <c r="C67" t="n">
        <v>0.79</v>
      </c>
      <c r="D67" t="n">
        <v>0.84</v>
      </c>
      <c r="E67" t="n">
        <v>-1.5</v>
      </c>
      <c r="F67" t="n">
        <v>-0.25</v>
      </c>
      <c r="G67" t="n">
        <v>8</v>
      </c>
      <c r="H67" t="n">
        <v>12</v>
      </c>
      <c r="I67" t="s">
        <v>260</v>
      </c>
      <c r="J67" t="n">
        <v>0</v>
      </c>
      <c r="K67" t="n">
        <v>0</v>
      </c>
      <c r="L67" t="n">
        <v>0</v>
      </c>
      <c r="M67" t="n">
        <v>12</v>
      </c>
      <c r="N67" t="n">
        <v>0</v>
      </c>
      <c r="O67" t="n">
        <v>-0.25</v>
      </c>
      <c r="P67" t="n">
        <v>33</v>
      </c>
      <c r="Q67" t="n">
        <v>12</v>
      </c>
      <c r="R67" t="s">
        <v>265</v>
      </c>
      <c r="S67" t="s">
        <v>262</v>
      </c>
      <c r="T67" t="n">
        <v>-0.25</v>
      </c>
    </row>
    <row r="68">
      <c r="A68" t="s">
        <v>30</v>
      </c>
      <c r="B68" t="n">
        <v>1.23</v>
      </c>
      <c r="C68" t="n">
        <v>1.18</v>
      </c>
      <c r="D68" t="n">
        <v>1.18</v>
      </c>
      <c r="E68" t="n">
        <v>-0.75</v>
      </c>
      <c r="F68" t="n">
        <v>0</v>
      </c>
      <c r="G68" t="n">
        <v>169</v>
      </c>
      <c r="H68" t="n">
        <v>12</v>
      </c>
      <c r="I68" t="s">
        <v>270</v>
      </c>
      <c r="J68" t="n">
        <v>0</v>
      </c>
      <c r="K68" t="n">
        <v>0</v>
      </c>
      <c r="L68" t="n">
        <v>0</v>
      </c>
      <c r="M68" t="n">
        <v>12</v>
      </c>
      <c r="N68" t="n">
        <v>-0.25</v>
      </c>
      <c r="O68" t="n">
        <v>0</v>
      </c>
      <c r="P68" t="n">
        <v>145</v>
      </c>
      <c r="Q68" t="n">
        <v>12</v>
      </c>
      <c r="R68" t="s">
        <v>270</v>
      </c>
      <c r="S68" t="s">
        <v>270</v>
      </c>
      <c r="T68" t="n">
        <v>-0.25</v>
      </c>
    </row>
    <row r="69">
      <c r="A69" t="s">
        <v>30</v>
      </c>
      <c r="B69" t="n">
        <v>1.05</v>
      </c>
      <c r="C69" t="n">
        <v>0.95</v>
      </c>
      <c r="D69" t="n">
        <v>0.97</v>
      </c>
      <c r="E69" t="n">
        <v>-2.25</v>
      </c>
      <c r="F69" t="n">
        <v>-0.5</v>
      </c>
      <c r="G69" t="n">
        <v>177</v>
      </c>
      <c r="H69" t="n">
        <v>12</v>
      </c>
      <c r="I69" t="s">
        <v>267</v>
      </c>
      <c r="J69" t="n">
        <v>0</v>
      </c>
      <c r="K69" t="n">
        <v>0</v>
      </c>
      <c r="L69" t="n">
        <v>0</v>
      </c>
      <c r="M69" t="n">
        <v>12</v>
      </c>
      <c r="N69" t="n">
        <v>0.5</v>
      </c>
      <c r="O69" t="n">
        <v>-0.25</v>
      </c>
      <c r="P69" t="n">
        <v>9</v>
      </c>
      <c r="Q69" t="n">
        <v>12</v>
      </c>
      <c r="R69" t="s">
        <v>260</v>
      </c>
      <c r="S69" t="s">
        <v>260</v>
      </c>
      <c r="T69" t="n">
        <v>0.25</v>
      </c>
    </row>
    <row r="70">
      <c r="A70" t="s">
        <v>30</v>
      </c>
      <c r="B70" t="n">
        <v>1.07</v>
      </c>
      <c r="C70" t="n">
        <v>1</v>
      </c>
      <c r="D70" t="n">
        <v>1.03</v>
      </c>
      <c r="E70" t="n">
        <v>-0.5</v>
      </c>
      <c r="F70" t="n">
        <v>-0.25</v>
      </c>
      <c r="G70" t="n">
        <v>17</v>
      </c>
      <c r="H70" t="n">
        <v>12</v>
      </c>
      <c r="I70" t="s">
        <v>267</v>
      </c>
      <c r="J70" t="n">
        <v>0</v>
      </c>
      <c r="K70" t="n">
        <v>0</v>
      </c>
      <c r="L70" t="n">
        <v>0</v>
      </c>
      <c r="M70" t="n">
        <v>12</v>
      </c>
      <c r="N70" t="n">
        <v>0.5</v>
      </c>
      <c r="O70" t="n">
        <v>-0.5</v>
      </c>
      <c r="P70" t="n">
        <v>178</v>
      </c>
      <c r="Q70" t="n">
        <v>12</v>
      </c>
      <c r="R70" t="s">
        <v>267</v>
      </c>
      <c r="S70" t="s">
        <v>264</v>
      </c>
      <c r="T70" t="n">
        <v>0.25</v>
      </c>
    </row>
    <row r="71">
      <c r="A71" t="s">
        <v>30</v>
      </c>
      <c r="B71" t="n">
        <v>1.03</v>
      </c>
      <c r="C71" t="n">
        <v>0.98</v>
      </c>
      <c r="D71" t="n">
        <v>1.05</v>
      </c>
      <c r="E71" t="n">
        <v>-2</v>
      </c>
      <c r="F71" t="n">
        <v>-1.5</v>
      </c>
      <c r="G71" t="n">
        <v>16</v>
      </c>
      <c r="H71" t="n">
        <v>12</v>
      </c>
      <c r="I71" t="s">
        <v>267</v>
      </c>
      <c r="J71" t="n">
        <v>0</v>
      </c>
      <c r="K71" t="n">
        <v>0</v>
      </c>
      <c r="L71" t="n">
        <v>0</v>
      </c>
      <c r="M71" t="n">
        <v>12</v>
      </c>
      <c r="N71" t="n">
        <v>0</v>
      </c>
      <c r="O71" t="n">
        <v>0</v>
      </c>
      <c r="P71" t="n">
        <v>7</v>
      </c>
      <c r="Q71" t="n">
        <v>12</v>
      </c>
      <c r="R71" t="s">
        <v>267</v>
      </c>
      <c r="S71" t="s">
        <v>264</v>
      </c>
      <c r="T71" t="n">
        <v>0</v>
      </c>
    </row>
    <row r="72">
      <c r="A72" t="s">
        <v>30</v>
      </c>
      <c r="B72" t="n">
        <v>1.02</v>
      </c>
      <c r="C72" t="n">
        <v>1.1</v>
      </c>
      <c r="D72" t="n">
        <v>1.06</v>
      </c>
      <c r="E72" t="n">
        <v>-7</v>
      </c>
      <c r="F72" t="n">
        <v>-0.25</v>
      </c>
      <c r="G72" t="n">
        <v>5</v>
      </c>
      <c r="H72" t="n">
        <v>12</v>
      </c>
      <c r="I72" t="s">
        <v>264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0</v>
      </c>
      <c r="P72" t="n">
        <v>149</v>
      </c>
      <c r="Q72" t="n">
        <v>12</v>
      </c>
      <c r="R72" t="s">
        <v>267</v>
      </c>
      <c r="S72" t="s">
        <v>268</v>
      </c>
      <c r="T72" t="n">
        <v>0</v>
      </c>
    </row>
    <row r="73">
      <c r="A73" t="s">
        <v>30</v>
      </c>
      <c r="B73" t="n">
        <v>1.05</v>
      </c>
      <c r="C73" t="n">
        <v>0.97</v>
      </c>
      <c r="D73" t="n">
        <v>1.01</v>
      </c>
      <c r="E73" t="n">
        <v>-4.25</v>
      </c>
      <c r="F73" t="n">
        <v>-0.5</v>
      </c>
      <c r="G73" t="n">
        <v>9</v>
      </c>
      <c r="H73" t="n">
        <v>12</v>
      </c>
      <c r="I73" t="s">
        <v>267</v>
      </c>
      <c r="J73" t="n">
        <v>0</v>
      </c>
      <c r="K73" t="n">
        <v>0</v>
      </c>
      <c r="L73" t="n">
        <v>0</v>
      </c>
      <c r="M73" t="n">
        <v>12</v>
      </c>
      <c r="N73" t="n">
        <v>0.5</v>
      </c>
      <c r="O73" t="n">
        <v>-0.25</v>
      </c>
      <c r="P73" t="n">
        <v>15</v>
      </c>
      <c r="Q73" t="n">
        <v>12</v>
      </c>
      <c r="R73" t="s">
        <v>264</v>
      </c>
      <c r="S73" t="s">
        <v>260</v>
      </c>
      <c r="T73" t="n">
        <v>0.25</v>
      </c>
    </row>
    <row r="74">
      <c r="A74" t="s">
        <v>30</v>
      </c>
      <c r="B74" t="n">
        <v>0.96</v>
      </c>
      <c r="C74" t="n">
        <v>0.93</v>
      </c>
      <c r="D74" t="n">
        <v>0.92</v>
      </c>
      <c r="E74" t="n">
        <v>-6.5</v>
      </c>
      <c r="F74" t="n">
        <v>0</v>
      </c>
      <c r="G74" t="n">
        <v>68</v>
      </c>
      <c r="H74" t="n">
        <v>12</v>
      </c>
      <c r="I74" t="s">
        <v>260</v>
      </c>
      <c r="J74" t="n">
        <v>0</v>
      </c>
      <c r="K74" t="n">
        <v>0</v>
      </c>
      <c r="L74" t="n">
        <v>0</v>
      </c>
      <c r="M74" t="n">
        <v>12</v>
      </c>
      <c r="N74" t="n">
        <v>0</v>
      </c>
      <c r="O74" t="n">
        <v>-0.25</v>
      </c>
      <c r="P74" t="n">
        <v>174</v>
      </c>
      <c r="Q74" t="n">
        <v>12</v>
      </c>
      <c r="R74" t="s">
        <v>261</v>
      </c>
      <c r="S74" t="s">
        <v>261</v>
      </c>
      <c r="T74" t="n">
        <v>0</v>
      </c>
    </row>
    <row r="75">
      <c r="A75" t="s">
        <v>30</v>
      </c>
      <c r="B75" t="n">
        <v>0.96</v>
      </c>
      <c r="C75" t="n">
        <v>0.95</v>
      </c>
      <c r="D75" t="n">
        <v>0.96</v>
      </c>
      <c r="E75" t="n">
        <v>-2</v>
      </c>
      <c r="F75" t="n">
        <v>-0.5</v>
      </c>
      <c r="G75" t="n">
        <v>98</v>
      </c>
      <c r="H75" t="n">
        <v>12</v>
      </c>
      <c r="I75" t="s">
        <v>260</v>
      </c>
      <c r="J75" t="n">
        <v>0</v>
      </c>
      <c r="K75" t="n">
        <v>0</v>
      </c>
      <c r="L75" t="n">
        <v>0</v>
      </c>
      <c r="M75" t="n">
        <v>12</v>
      </c>
      <c r="N75" t="n">
        <v>0</v>
      </c>
      <c r="O75" t="n">
        <v>-0.25</v>
      </c>
      <c r="P75" t="n">
        <v>77</v>
      </c>
      <c r="Q75" t="n">
        <v>12</v>
      </c>
      <c r="R75" t="s">
        <v>260</v>
      </c>
      <c r="S75" t="s">
        <v>260</v>
      </c>
      <c r="T75" t="n">
        <v>-0.25</v>
      </c>
    </row>
    <row r="76">
      <c r="A76" t="s">
        <v>30</v>
      </c>
      <c r="B76" t="n">
        <v>1.14</v>
      </c>
      <c r="C76" t="n">
        <v>1.15</v>
      </c>
      <c r="D76" t="n">
        <v>1.13</v>
      </c>
      <c r="E76" t="n">
        <v>-4.75</v>
      </c>
      <c r="F76" t="n">
        <v>-0.5</v>
      </c>
      <c r="G76" t="n">
        <v>95</v>
      </c>
      <c r="H76" t="n">
        <v>12</v>
      </c>
      <c r="I76" t="s">
        <v>263</v>
      </c>
      <c r="J76" t="n">
        <v>0</v>
      </c>
      <c r="K76" t="n">
        <v>0</v>
      </c>
      <c r="L76" t="n">
        <v>0</v>
      </c>
      <c r="M76" t="n">
        <v>12</v>
      </c>
      <c r="N76" t="n">
        <v>0</v>
      </c>
      <c r="O76" t="n">
        <v>-0.25</v>
      </c>
      <c r="P76" t="n">
        <v>95</v>
      </c>
      <c r="Q76" t="n">
        <v>12</v>
      </c>
      <c r="R76" t="s">
        <v>263</v>
      </c>
      <c r="S76" t="s">
        <v>263</v>
      </c>
      <c r="T76" t="n">
        <v>0</v>
      </c>
    </row>
    <row r="77">
      <c r="A77" t="s">
        <v>30</v>
      </c>
      <c r="B77" t="n">
        <v>1.06</v>
      </c>
      <c r="C77" t="n">
        <v>0.94</v>
      </c>
      <c r="D77" t="n">
        <v>1.05</v>
      </c>
      <c r="E77" t="n">
        <v>-6.25</v>
      </c>
      <c r="F77" t="n">
        <v>-1.25</v>
      </c>
      <c r="G77" t="n">
        <v>4</v>
      </c>
      <c r="H77" t="n">
        <v>12</v>
      </c>
      <c r="I77" t="s">
        <v>267</v>
      </c>
      <c r="J77" t="n">
        <v>0</v>
      </c>
      <c r="K77" t="n">
        <v>0</v>
      </c>
      <c r="L77" t="n">
        <v>0</v>
      </c>
      <c r="M77" t="n">
        <v>12</v>
      </c>
      <c r="N77" t="n">
        <v>0</v>
      </c>
      <c r="O77" t="n">
        <v>-0.25</v>
      </c>
      <c r="P77" t="n">
        <v>46</v>
      </c>
      <c r="Q77" t="n">
        <v>12</v>
      </c>
      <c r="R77" t="s">
        <v>267</v>
      </c>
      <c r="S77" t="s">
        <v>260</v>
      </c>
      <c r="T77" t="n">
        <v>0</v>
      </c>
    </row>
    <row r="78">
      <c r="A78" t="s">
        <v>30</v>
      </c>
      <c r="B78" t="n">
        <v>1.15</v>
      </c>
      <c r="C78" t="n">
        <v>1.25</v>
      </c>
      <c r="D78" t="n">
        <v>1.16</v>
      </c>
      <c r="E78" t="n">
        <v>-4.75</v>
      </c>
      <c r="F78" t="n">
        <v>-0.5</v>
      </c>
      <c r="G78" t="n">
        <v>82</v>
      </c>
      <c r="H78" t="n">
        <v>12</v>
      </c>
      <c r="I78" t="s">
        <v>263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61</v>
      </c>
      <c r="Q78" t="n">
        <v>12</v>
      </c>
      <c r="R78" t="s">
        <v>263</v>
      </c>
      <c r="S78" t="s">
        <v>273</v>
      </c>
      <c r="T78" t="n">
        <v>0</v>
      </c>
    </row>
    <row r="79">
      <c r="A79" t="s">
        <v>30</v>
      </c>
      <c r="B79" t="n">
        <v>1.18</v>
      </c>
      <c r="C79" t="n">
        <v>1.17</v>
      </c>
      <c r="D79" t="n">
        <v>1.14</v>
      </c>
      <c r="E79" t="n">
        <v>-2.25</v>
      </c>
      <c r="F79" t="n">
        <v>-0.25</v>
      </c>
      <c r="G79" t="n">
        <v>94</v>
      </c>
      <c r="H79" t="n">
        <v>12</v>
      </c>
      <c r="I79" t="s">
        <v>270</v>
      </c>
      <c r="J79" t="n">
        <v>0</v>
      </c>
      <c r="K79" t="n">
        <v>0</v>
      </c>
      <c r="L79" t="n">
        <v>0</v>
      </c>
      <c r="M79" t="n">
        <v>12</v>
      </c>
      <c r="N79" t="n">
        <v>0.5</v>
      </c>
      <c r="O79" t="n">
        <v>0</v>
      </c>
      <c r="P79" t="n">
        <v>18</v>
      </c>
      <c r="Q79" t="n">
        <v>12</v>
      </c>
      <c r="R79" t="s">
        <v>263</v>
      </c>
      <c r="S79" t="s">
        <v>263</v>
      </c>
      <c r="T79" t="n">
        <v>0.5</v>
      </c>
    </row>
    <row r="80">
      <c r="A80" t="s">
        <v>30</v>
      </c>
      <c r="B80" t="n">
        <v>1.08</v>
      </c>
      <c r="C80" t="n">
        <v>1.04</v>
      </c>
      <c r="D80" t="n">
        <v>1.11</v>
      </c>
      <c r="E80" t="n">
        <v>-4</v>
      </c>
      <c r="F80" t="n">
        <v>-0.25</v>
      </c>
      <c r="G80" t="n">
        <v>24</v>
      </c>
      <c r="H80" t="n">
        <v>12</v>
      </c>
      <c r="I80" t="s">
        <v>268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-0.25</v>
      </c>
      <c r="P80" t="n">
        <v>152</v>
      </c>
      <c r="Q80" t="n">
        <v>12</v>
      </c>
      <c r="R80" t="s">
        <v>268</v>
      </c>
      <c r="S80" t="s">
        <v>267</v>
      </c>
      <c r="T80" t="n">
        <v>0</v>
      </c>
    </row>
    <row r="81">
      <c r="A81" t="s">
        <v>30</v>
      </c>
      <c r="B81" t="n">
        <v>1.1</v>
      </c>
      <c r="C81" t="n">
        <v>0.99</v>
      </c>
      <c r="D81" t="n">
        <v>1.07</v>
      </c>
      <c r="E81" t="n">
        <v>-3.5</v>
      </c>
      <c r="F81" t="n">
        <v>-1</v>
      </c>
      <c r="G81" t="n">
        <v>161</v>
      </c>
      <c r="H81" t="n">
        <v>12</v>
      </c>
      <c r="I81" t="s">
        <v>268</v>
      </c>
      <c r="J81" t="n">
        <v>0</v>
      </c>
      <c r="K81" t="n">
        <v>0</v>
      </c>
      <c r="L81" t="n">
        <v>0</v>
      </c>
      <c r="M81" t="n">
        <v>12</v>
      </c>
      <c r="N81" t="n">
        <v>0.5</v>
      </c>
      <c r="O81" t="n">
        <v>-0.25</v>
      </c>
      <c r="P81" t="n">
        <v>147</v>
      </c>
      <c r="Q81" t="n">
        <v>12</v>
      </c>
      <c r="R81" t="s">
        <v>267</v>
      </c>
      <c r="S81" t="s">
        <v>264</v>
      </c>
      <c r="T81" t="n">
        <v>0.25</v>
      </c>
    </row>
    <row r="82">
      <c r="A82" t="s">
        <v>30</v>
      </c>
      <c r="B82" t="n">
        <v>0.97</v>
      </c>
      <c r="C82" t="n">
        <v>0.9</v>
      </c>
      <c r="D82" t="n">
        <v>1.02</v>
      </c>
      <c r="E82" t="n">
        <v>-2.75</v>
      </c>
      <c r="F82" t="n">
        <v>-0.5</v>
      </c>
      <c r="G82" t="n">
        <v>62</v>
      </c>
      <c r="H82" t="n">
        <v>12</v>
      </c>
      <c r="I82" t="s">
        <v>260</v>
      </c>
      <c r="J82" t="n">
        <v>0</v>
      </c>
      <c r="K82" t="n">
        <v>0</v>
      </c>
      <c r="L82" t="n">
        <v>0</v>
      </c>
      <c r="M82" t="n">
        <v>12</v>
      </c>
      <c r="N82" t="n">
        <v>0</v>
      </c>
      <c r="O82" t="n">
        <v>-0.25</v>
      </c>
      <c r="P82" t="n">
        <v>92</v>
      </c>
      <c r="Q82" t="n">
        <v>12</v>
      </c>
      <c r="R82" t="s">
        <v>264</v>
      </c>
      <c r="S82" t="s">
        <v>261</v>
      </c>
      <c r="T82" t="n">
        <v>-0.25</v>
      </c>
    </row>
    <row r="83">
      <c r="A83" t="s">
        <v>30</v>
      </c>
      <c r="B83" t="n">
        <v>1</v>
      </c>
      <c r="C83" t="n">
        <v>0.94</v>
      </c>
      <c r="D83" t="n">
        <v>1.02</v>
      </c>
      <c r="E83" t="n">
        <v>-5.5</v>
      </c>
      <c r="F83" t="n">
        <v>-0.5</v>
      </c>
      <c r="G83" t="n">
        <v>173</v>
      </c>
      <c r="H83" t="n">
        <v>12</v>
      </c>
      <c r="I83" t="s">
        <v>264</v>
      </c>
      <c r="J83" t="n">
        <v>0</v>
      </c>
      <c r="K83" t="n">
        <v>0</v>
      </c>
      <c r="L83" t="n">
        <v>0</v>
      </c>
      <c r="M83" t="n">
        <v>12</v>
      </c>
      <c r="N83" t="n">
        <v>0</v>
      </c>
      <c r="O83" t="n">
        <v>-0.5</v>
      </c>
      <c r="P83" t="n">
        <v>24</v>
      </c>
      <c r="Q83" t="n">
        <v>12</v>
      </c>
      <c r="R83" t="s">
        <v>264</v>
      </c>
      <c r="S83" t="s">
        <v>260</v>
      </c>
      <c r="T83" t="n">
        <v>-0.25</v>
      </c>
    </row>
    <row r="84">
      <c r="A84" t="s">
        <v>30</v>
      </c>
      <c r="B84" t="n">
        <v>1.05</v>
      </c>
      <c r="C84" t="n">
        <v>1.02</v>
      </c>
      <c r="D84" t="n">
        <v>1</v>
      </c>
      <c r="E84" t="n">
        <v>-5.5</v>
      </c>
      <c r="F84" t="n">
        <v>-0.25</v>
      </c>
      <c r="G84" t="n">
        <v>11</v>
      </c>
      <c r="H84" t="n">
        <v>12</v>
      </c>
      <c r="I84" t="s">
        <v>267</v>
      </c>
      <c r="J84" t="n">
        <v>0</v>
      </c>
      <c r="K84" t="n">
        <v>0</v>
      </c>
      <c r="L84" t="n">
        <v>0</v>
      </c>
      <c r="M84" t="n">
        <v>12</v>
      </c>
      <c r="N84" t="n">
        <v>-0.25</v>
      </c>
      <c r="O84" t="n">
        <v>0</v>
      </c>
      <c r="P84" t="n">
        <v>160</v>
      </c>
      <c r="Q84" t="n">
        <v>12</v>
      </c>
      <c r="R84" t="s">
        <v>264</v>
      </c>
      <c r="S84" t="s">
        <v>264</v>
      </c>
      <c r="T84" t="n">
        <v>-0.25</v>
      </c>
    </row>
    <row r="85">
      <c r="A85" t="s">
        <v>30</v>
      </c>
      <c r="B85" t="n">
        <v>1.12</v>
      </c>
      <c r="C85" t="n">
        <v>1.18</v>
      </c>
      <c r="D85" t="n">
        <v>1.16</v>
      </c>
      <c r="E85" t="n">
        <v>-6.5</v>
      </c>
      <c r="F85" t="n">
        <v>-1</v>
      </c>
      <c r="G85" t="n">
        <v>159</v>
      </c>
      <c r="H85" t="n">
        <v>12</v>
      </c>
      <c r="I85" t="s">
        <v>268</v>
      </c>
      <c r="J85" t="n">
        <v>0</v>
      </c>
      <c r="K85" t="n">
        <v>0</v>
      </c>
      <c r="L85" t="n">
        <v>0</v>
      </c>
      <c r="M85" t="n">
        <v>12</v>
      </c>
      <c r="N85" t="n">
        <v>0</v>
      </c>
      <c r="O85" t="n">
        <v>0</v>
      </c>
      <c r="P85" t="n">
        <v>13</v>
      </c>
      <c r="Q85" t="n">
        <v>12</v>
      </c>
      <c r="R85" t="s">
        <v>263</v>
      </c>
      <c r="S85" t="s">
        <v>270</v>
      </c>
      <c r="T85" t="n">
        <v>0</v>
      </c>
    </row>
    <row r="86">
      <c r="A86" t="s">
        <v>30</v>
      </c>
      <c r="B86" t="n">
        <v>0.91</v>
      </c>
      <c r="C86" t="n">
        <v>0.94</v>
      </c>
      <c r="D86" t="n">
        <v>0.94</v>
      </c>
      <c r="E86" t="n">
        <v>-3.5</v>
      </c>
      <c r="F86" t="n">
        <v>-1</v>
      </c>
      <c r="G86" t="n">
        <v>110</v>
      </c>
      <c r="H86" t="n">
        <v>12</v>
      </c>
      <c r="I86" t="s">
        <v>261</v>
      </c>
      <c r="J86" t="n">
        <v>0</v>
      </c>
      <c r="K86" t="n">
        <v>0</v>
      </c>
      <c r="L86" t="n">
        <v>0</v>
      </c>
      <c r="M86" t="n">
        <v>12</v>
      </c>
      <c r="N86" t="n">
        <v>0</v>
      </c>
      <c r="O86" t="n">
        <v>-0.25</v>
      </c>
      <c r="P86" t="n">
        <v>121</v>
      </c>
      <c r="Q86" t="n">
        <v>12</v>
      </c>
      <c r="R86" t="s">
        <v>260</v>
      </c>
      <c r="S86" t="s">
        <v>260</v>
      </c>
      <c r="T86" t="n">
        <v>-0.25</v>
      </c>
    </row>
    <row r="87">
      <c r="A87" t="s">
        <v>30</v>
      </c>
      <c r="B87" t="n">
        <v>1.01</v>
      </c>
      <c r="C87" t="n">
        <v>1.09</v>
      </c>
      <c r="D87" t="n">
        <v>1.01</v>
      </c>
      <c r="E87" t="n">
        <v>-6.75</v>
      </c>
      <c r="F87" t="n">
        <v>-1.25</v>
      </c>
      <c r="G87" t="n">
        <v>14</v>
      </c>
      <c r="H87" t="n">
        <v>12</v>
      </c>
      <c r="I87" t="s">
        <v>264</v>
      </c>
      <c r="J87" t="n">
        <v>0</v>
      </c>
      <c r="K87" t="n">
        <v>0</v>
      </c>
      <c r="L87" t="n">
        <v>0</v>
      </c>
      <c r="M87" t="n">
        <v>12</v>
      </c>
      <c r="N87" t="n">
        <v>0</v>
      </c>
      <c r="O87" t="n">
        <v>-0.25</v>
      </c>
      <c r="P87" t="n">
        <v>13</v>
      </c>
      <c r="Q87" t="n">
        <v>12</v>
      </c>
      <c r="R87" t="s">
        <v>264</v>
      </c>
      <c r="S87" t="s">
        <v>268</v>
      </c>
      <c r="T87" t="n">
        <v>-0.25</v>
      </c>
    </row>
    <row r="88">
      <c r="A88" t="s">
        <v>30</v>
      </c>
      <c r="B88" t="n">
        <v>1.04</v>
      </c>
      <c r="C88" t="n">
        <v>1.15</v>
      </c>
      <c r="D88" t="n">
        <v>1.07</v>
      </c>
      <c r="E88" t="n">
        <v>-1</v>
      </c>
      <c r="F88" t="n">
        <v>-1</v>
      </c>
      <c r="G88" t="n">
        <v>87</v>
      </c>
      <c r="H88" t="n">
        <v>12</v>
      </c>
      <c r="I88" t="s">
        <v>267</v>
      </c>
      <c r="J88" t="n">
        <v>0</v>
      </c>
      <c r="K88" t="n">
        <v>0</v>
      </c>
      <c r="L88" t="n">
        <v>0</v>
      </c>
      <c r="M88" t="n">
        <v>12</v>
      </c>
      <c r="N88" t="n">
        <v>0</v>
      </c>
      <c r="O88" t="n">
        <v>-0.25</v>
      </c>
      <c r="P88" t="n">
        <v>102</v>
      </c>
      <c r="Q88" t="n">
        <v>12</v>
      </c>
      <c r="R88" t="s">
        <v>267</v>
      </c>
      <c r="S88" t="s">
        <v>263</v>
      </c>
      <c r="T88" t="n">
        <v>-0.25</v>
      </c>
    </row>
    <row r="89">
      <c r="A89" t="s">
        <v>30</v>
      </c>
      <c r="B89" t="n">
        <v>1.05</v>
      </c>
      <c r="C89" t="n">
        <v>0.83</v>
      </c>
      <c r="D89" t="n">
        <v>1.05</v>
      </c>
      <c r="E89" t="n">
        <v>-3.5</v>
      </c>
      <c r="F89" t="n">
        <v>-0.75</v>
      </c>
      <c r="G89" t="n">
        <v>15</v>
      </c>
      <c r="H89" t="n">
        <v>12</v>
      </c>
      <c r="I89" t="s">
        <v>267</v>
      </c>
      <c r="J89" t="n">
        <v>0</v>
      </c>
      <c r="K89" t="n">
        <v>0</v>
      </c>
      <c r="L89" t="n">
        <v>0</v>
      </c>
      <c r="M89" t="n">
        <v>12</v>
      </c>
      <c r="N89" t="n">
        <v>-0.25</v>
      </c>
      <c r="O89" t="n">
        <v>0</v>
      </c>
      <c r="P89" t="n">
        <v>108</v>
      </c>
      <c r="Q89" t="n">
        <v>12</v>
      </c>
      <c r="R89" t="s">
        <v>267</v>
      </c>
      <c r="S89" t="s">
        <v>265</v>
      </c>
      <c r="T89" t="n">
        <v>-0.25</v>
      </c>
    </row>
    <row r="90">
      <c r="A90" t="s">
        <v>30</v>
      </c>
      <c r="B90" t="n">
        <v>1.12</v>
      </c>
      <c r="C90" t="n">
        <v>1.18</v>
      </c>
      <c r="D90" t="n">
        <v>1.14</v>
      </c>
      <c r="E90" t="n">
        <v>-0.5</v>
      </c>
      <c r="F90" t="n">
        <v>-0.5</v>
      </c>
      <c r="G90" t="n">
        <v>177</v>
      </c>
      <c r="H90" t="n">
        <v>12</v>
      </c>
      <c r="I90" t="s">
        <v>268</v>
      </c>
      <c r="J90" t="n">
        <v>0</v>
      </c>
      <c r="K90" t="n">
        <v>0</v>
      </c>
      <c r="L90" t="n">
        <v>0</v>
      </c>
      <c r="M90" t="n">
        <v>12</v>
      </c>
      <c r="N90" t="n">
        <v>0</v>
      </c>
      <c r="O90" t="n">
        <v>-0.25</v>
      </c>
      <c r="P90" t="n">
        <v>14</v>
      </c>
      <c r="Q90" t="n">
        <v>12</v>
      </c>
      <c r="R90" t="s">
        <v>263</v>
      </c>
      <c r="S90" t="s">
        <v>270</v>
      </c>
      <c r="T90" t="n">
        <v>-0.25</v>
      </c>
    </row>
    <row r="91">
      <c r="A91" t="s">
        <v>30</v>
      </c>
      <c r="B91" t="n">
        <v>1.02</v>
      </c>
      <c r="C91" t="n">
        <v>0.89</v>
      </c>
      <c r="D91" t="n">
        <v>1.08</v>
      </c>
      <c r="E91" t="n">
        <v>-5.25</v>
      </c>
      <c r="F91" t="n">
        <v>-0.25</v>
      </c>
      <c r="G91" t="n">
        <v>81</v>
      </c>
      <c r="H91" t="n">
        <v>12</v>
      </c>
      <c r="I91" t="s">
        <v>264</v>
      </c>
      <c r="J91" t="n">
        <v>0</v>
      </c>
      <c r="K91" t="n">
        <v>0</v>
      </c>
      <c r="L91" t="n">
        <v>0</v>
      </c>
      <c r="M91" t="n">
        <v>12</v>
      </c>
      <c r="N91" t="n">
        <v>-0.5</v>
      </c>
      <c r="O91" t="n">
        <v>-0.25</v>
      </c>
      <c r="P91" t="n">
        <v>104</v>
      </c>
      <c r="Q91" t="n">
        <v>12</v>
      </c>
      <c r="R91" t="s">
        <v>268</v>
      </c>
      <c r="S91" t="s">
        <v>269</v>
      </c>
      <c r="T91" t="n">
        <v>-0.5</v>
      </c>
    </row>
    <row r="92">
      <c r="A92" t="s">
        <v>30</v>
      </c>
      <c r="B92" t="n">
        <v>1.11</v>
      </c>
      <c r="C92" t="n">
        <v>1.11</v>
      </c>
      <c r="D92" t="n">
        <v>1.15</v>
      </c>
      <c r="E92" t="n">
        <v>-2.25</v>
      </c>
      <c r="F92" t="n">
        <v>-0.5</v>
      </c>
      <c r="G92" t="n">
        <v>17</v>
      </c>
      <c r="H92" t="n">
        <v>12</v>
      </c>
      <c r="I92" t="s">
        <v>268</v>
      </c>
      <c r="J92" t="n">
        <v>0</v>
      </c>
      <c r="K92" t="n">
        <v>0</v>
      </c>
      <c r="L92" t="n">
        <v>0</v>
      </c>
      <c r="M92" t="n">
        <v>12</v>
      </c>
      <c r="N92" t="n">
        <v>0.25</v>
      </c>
      <c r="O92" t="n">
        <v>0</v>
      </c>
      <c r="P92" t="n">
        <v>10</v>
      </c>
      <c r="Q92" t="n">
        <v>12</v>
      </c>
      <c r="R92" t="s">
        <v>263</v>
      </c>
      <c r="S92" t="s">
        <v>268</v>
      </c>
      <c r="T92" t="n">
        <v>0.25</v>
      </c>
    </row>
    <row r="93">
      <c r="A93" t="s">
        <v>30</v>
      </c>
      <c r="B93" t="n">
        <v>1</v>
      </c>
      <c r="C93" t="n">
        <v>1.1</v>
      </c>
      <c r="D93" t="n">
        <v>1.05</v>
      </c>
      <c r="E93" t="n">
        <v>-3.75</v>
      </c>
      <c r="F93" t="n">
        <v>-0.5</v>
      </c>
      <c r="G93" t="n">
        <v>91</v>
      </c>
      <c r="H93" t="n">
        <v>12</v>
      </c>
      <c r="I93" t="s">
        <v>264</v>
      </c>
      <c r="J93" t="n">
        <v>0</v>
      </c>
      <c r="K93" t="n">
        <v>0</v>
      </c>
      <c r="L93" t="n">
        <v>0</v>
      </c>
      <c r="M93" t="n">
        <v>12</v>
      </c>
      <c r="N93" t="n">
        <v>0.25</v>
      </c>
      <c r="O93" t="n">
        <v>0</v>
      </c>
      <c r="P93" t="n">
        <v>93</v>
      </c>
      <c r="Q93" t="n">
        <v>12</v>
      </c>
      <c r="R93" t="s">
        <v>267</v>
      </c>
      <c r="S93" t="s">
        <v>268</v>
      </c>
      <c r="T93" t="n">
        <v>0.25</v>
      </c>
    </row>
    <row r="94">
      <c r="A94" t="s">
        <v>30</v>
      </c>
      <c r="B94" t="n">
        <v>1.07</v>
      </c>
      <c r="C94" t="n">
        <v>1.01</v>
      </c>
      <c r="D94" t="n">
        <v>1.1</v>
      </c>
      <c r="E94" t="n">
        <v>-3.75</v>
      </c>
      <c r="F94" t="n">
        <v>-0.25</v>
      </c>
      <c r="G94" t="n">
        <v>100</v>
      </c>
      <c r="H94" t="n">
        <v>12</v>
      </c>
      <c r="I94" t="s">
        <v>267</v>
      </c>
      <c r="J94" t="n">
        <v>0</v>
      </c>
      <c r="K94" t="n">
        <v>0</v>
      </c>
      <c r="L94" t="n">
        <v>0</v>
      </c>
      <c r="M94" t="n">
        <v>12</v>
      </c>
      <c r="N94" t="n">
        <v>0</v>
      </c>
      <c r="O94" t="n">
        <v>0</v>
      </c>
      <c r="P94" t="n">
        <v>114</v>
      </c>
      <c r="Q94" t="n">
        <v>12</v>
      </c>
      <c r="R94" t="s">
        <v>268</v>
      </c>
      <c r="S94" t="s">
        <v>264</v>
      </c>
      <c r="T94" t="n">
        <v>0</v>
      </c>
    </row>
    <row r="95">
      <c r="A95" t="s">
        <v>30</v>
      </c>
      <c r="B95" t="n">
        <v>1.07</v>
      </c>
      <c r="C95" t="n">
        <v>1.21</v>
      </c>
      <c r="D95" t="n">
        <v>1.04</v>
      </c>
      <c r="E95" t="n">
        <v>-3.75</v>
      </c>
      <c r="F95" t="n">
        <v>-0.5</v>
      </c>
      <c r="G95" t="n">
        <v>10</v>
      </c>
      <c r="H95" t="n">
        <v>12</v>
      </c>
      <c r="I95" t="s">
        <v>267</v>
      </c>
      <c r="J95" t="n">
        <v>0</v>
      </c>
      <c r="K95" t="n">
        <v>0</v>
      </c>
      <c r="L95" t="n">
        <v>0</v>
      </c>
      <c r="M95" t="n">
        <v>12</v>
      </c>
      <c r="N95" t="n">
        <v>0.5</v>
      </c>
      <c r="O95" t="n">
        <v>-0.25</v>
      </c>
      <c r="P95" t="n">
        <v>176</v>
      </c>
      <c r="Q95" t="n">
        <v>12</v>
      </c>
      <c r="R95" t="s">
        <v>267</v>
      </c>
      <c r="S95" t="s">
        <v>270</v>
      </c>
      <c r="T95" t="n">
        <v>0.5</v>
      </c>
    </row>
    <row r="96">
      <c r="A96" t="s">
        <v>30</v>
      </c>
      <c r="B96" t="n">
        <v>1.03</v>
      </c>
      <c r="C96" t="n">
        <v>0.98</v>
      </c>
      <c r="D96" t="n">
        <v>1.03</v>
      </c>
      <c r="E96" t="n">
        <v>-6</v>
      </c>
      <c r="F96" t="n">
        <v>-0.25</v>
      </c>
      <c r="G96" t="n">
        <v>152</v>
      </c>
      <c r="H96" t="n">
        <v>12</v>
      </c>
      <c r="I96" t="s">
        <v>267</v>
      </c>
      <c r="J96" t="n">
        <v>0</v>
      </c>
      <c r="K96" t="n">
        <v>0</v>
      </c>
      <c r="L96" t="n">
        <v>0</v>
      </c>
      <c r="M96" t="n">
        <v>12</v>
      </c>
      <c r="N96" t="n">
        <v>0</v>
      </c>
      <c r="O96" t="n">
        <v>0</v>
      </c>
      <c r="P96" t="n">
        <v>57</v>
      </c>
      <c r="Q96" t="n">
        <v>12</v>
      </c>
      <c r="R96" t="s">
        <v>267</v>
      </c>
      <c r="S96" t="s">
        <v>264</v>
      </c>
      <c r="T96" t="n">
        <v>0</v>
      </c>
    </row>
    <row r="97">
      <c r="A97" t="s">
        <v>30</v>
      </c>
      <c r="B97" t="n">
        <v>1.18</v>
      </c>
      <c r="C97" t="n">
        <v>1.25</v>
      </c>
      <c r="D97" t="n">
        <v>1.25</v>
      </c>
      <c r="E97" t="n">
        <v>-2</v>
      </c>
      <c r="F97" t="n">
        <v>-0.5</v>
      </c>
      <c r="G97" t="n">
        <v>176</v>
      </c>
      <c r="H97" t="n">
        <v>12</v>
      </c>
      <c r="I97" t="s">
        <v>270</v>
      </c>
      <c r="J97" t="n">
        <v>0</v>
      </c>
      <c r="K97" t="n">
        <v>0</v>
      </c>
      <c r="L97" t="n">
        <v>0</v>
      </c>
      <c r="M97" t="n">
        <v>12</v>
      </c>
      <c r="N97" t="n">
        <v>0.5</v>
      </c>
      <c r="O97" t="n">
        <v>-0.25</v>
      </c>
      <c r="P97" t="n">
        <v>137</v>
      </c>
      <c r="Q97" t="n">
        <v>12</v>
      </c>
      <c r="R97" t="s">
        <v>273</v>
      </c>
      <c r="S97" t="s">
        <v>273</v>
      </c>
      <c r="T97" t="n">
        <v>0.25</v>
      </c>
    </row>
    <row r="98">
      <c r="A98" t="s">
        <v>30</v>
      </c>
      <c r="B98" t="n">
        <v>1.08</v>
      </c>
      <c r="C98" t="n">
        <v>0.97</v>
      </c>
      <c r="D98" t="n">
        <v>1.14</v>
      </c>
      <c r="E98" t="n">
        <v>-2.25</v>
      </c>
      <c r="F98" t="n">
        <v>-1.5</v>
      </c>
      <c r="G98" t="n">
        <v>3</v>
      </c>
      <c r="H98" t="n">
        <v>12</v>
      </c>
      <c r="I98" t="s">
        <v>268</v>
      </c>
      <c r="J98" t="n">
        <v>0</v>
      </c>
      <c r="K98" t="n">
        <v>0</v>
      </c>
      <c r="L98" t="n">
        <v>0</v>
      </c>
      <c r="M98" t="n">
        <v>12</v>
      </c>
      <c r="N98" t="n">
        <v>0.5</v>
      </c>
      <c r="O98" t="n">
        <v>-0.25</v>
      </c>
      <c r="P98" t="n">
        <v>2</v>
      </c>
      <c r="Q98" t="n">
        <v>12</v>
      </c>
      <c r="R98" t="s">
        <v>263</v>
      </c>
      <c r="S98" t="s">
        <v>260</v>
      </c>
      <c r="T98" t="n">
        <v>0.5</v>
      </c>
    </row>
    <row r="99">
      <c r="A99" t="s">
        <v>30</v>
      </c>
      <c r="B99" t="n">
        <v>0.92</v>
      </c>
      <c r="C99" t="n">
        <v>0.91</v>
      </c>
      <c r="D99" t="n">
        <v>0.93</v>
      </c>
      <c r="E99" t="n">
        <v>-0.5</v>
      </c>
      <c r="F99" t="n">
        <v>-0.75</v>
      </c>
      <c r="G99" t="n">
        <v>32</v>
      </c>
      <c r="H99" t="n">
        <v>12</v>
      </c>
      <c r="I99" t="s">
        <v>261</v>
      </c>
      <c r="J99" t="n">
        <v>0</v>
      </c>
      <c r="K99" t="n">
        <v>0</v>
      </c>
      <c r="L99" t="n">
        <v>0</v>
      </c>
      <c r="M99" t="n">
        <v>12</v>
      </c>
      <c r="N99" t="n">
        <v>0</v>
      </c>
      <c r="O99" t="n">
        <v>-0.25</v>
      </c>
      <c r="P99" t="n">
        <v>23</v>
      </c>
      <c r="Q99" t="n">
        <v>12</v>
      </c>
      <c r="R99" t="s">
        <v>261</v>
      </c>
      <c r="S99" t="s">
        <v>261</v>
      </c>
      <c r="T99" t="n">
        <v>-0.25</v>
      </c>
    </row>
    <row r="100">
      <c r="A100" t="s">
        <v>30</v>
      </c>
      <c r="B100" t="n">
        <v>1</v>
      </c>
      <c r="C100" t="n">
        <v>0.94</v>
      </c>
      <c r="D100" t="n">
        <v>1.02</v>
      </c>
      <c r="E100" t="n">
        <v>-4.75</v>
      </c>
      <c r="F100" t="n">
        <v>-0.5</v>
      </c>
      <c r="G100" t="n">
        <v>93</v>
      </c>
      <c r="H100" t="n">
        <v>12</v>
      </c>
      <c r="I100" t="s">
        <v>264</v>
      </c>
      <c r="J100" t="n">
        <v>0</v>
      </c>
      <c r="K100" t="n">
        <v>0</v>
      </c>
      <c r="L100" t="n">
        <v>0</v>
      </c>
      <c r="M100" t="n">
        <v>12</v>
      </c>
      <c r="N100" t="n">
        <v>0</v>
      </c>
      <c r="O100" t="n">
        <v>0</v>
      </c>
      <c r="P100" t="n">
        <v>83</v>
      </c>
      <c r="Q100" t="n">
        <v>12</v>
      </c>
      <c r="R100" t="s">
        <v>264</v>
      </c>
      <c r="S100" t="s">
        <v>260</v>
      </c>
      <c r="T100" t="n">
        <v>0</v>
      </c>
    </row>
    <row r="101">
      <c r="A101" t="s">
        <v>30</v>
      </c>
      <c r="B101" t="n">
        <v>1.06</v>
      </c>
      <c r="C101" t="n">
        <v>1.03</v>
      </c>
      <c r="D101" t="n">
        <v>1.07</v>
      </c>
      <c r="E101" t="n">
        <v>-4</v>
      </c>
      <c r="F101" t="n">
        <v>-0.5</v>
      </c>
      <c r="G101" t="n">
        <v>2</v>
      </c>
      <c r="H101" t="n">
        <v>12</v>
      </c>
      <c r="I101" t="s">
        <v>267</v>
      </c>
      <c r="J101" t="n">
        <v>0</v>
      </c>
      <c r="K101" t="n">
        <v>0</v>
      </c>
      <c r="L101" t="n">
        <v>0</v>
      </c>
      <c r="M101" t="n">
        <v>12</v>
      </c>
      <c r="N101" t="n">
        <v>0.5</v>
      </c>
      <c r="O101" t="n">
        <v>-0.25</v>
      </c>
      <c r="P101" t="n">
        <v>171</v>
      </c>
      <c r="Q101" t="n">
        <v>12</v>
      </c>
      <c r="R101" t="s">
        <v>267</v>
      </c>
      <c r="S101" t="s">
        <v>267</v>
      </c>
      <c r="T101" t="n">
        <v>0.25</v>
      </c>
    </row>
    <row r="102">
      <c r="A102" t="s">
        <v>30</v>
      </c>
      <c r="B102" t="n">
        <v>1.11</v>
      </c>
      <c r="C102" t="n">
        <v>1.05</v>
      </c>
      <c r="D102" t="n">
        <v>1.11</v>
      </c>
      <c r="E102" t="n">
        <v>-6</v>
      </c>
      <c r="F102" t="n">
        <v>-1</v>
      </c>
      <c r="G102" t="n">
        <v>155</v>
      </c>
      <c r="H102" t="n">
        <v>12</v>
      </c>
      <c r="I102" t="s">
        <v>268</v>
      </c>
      <c r="J102" t="n">
        <v>0</v>
      </c>
      <c r="K102" t="n">
        <v>0</v>
      </c>
      <c r="L102" t="n">
        <v>0</v>
      </c>
      <c r="M102" t="n">
        <v>12</v>
      </c>
      <c r="N102" t="n">
        <v>0.25</v>
      </c>
      <c r="O102" t="n">
        <v>0</v>
      </c>
      <c r="P102" t="n">
        <v>108</v>
      </c>
      <c r="Q102" t="n">
        <v>12</v>
      </c>
      <c r="R102" t="s">
        <v>268</v>
      </c>
      <c r="S102" t="s">
        <v>267</v>
      </c>
      <c r="T102" t="n">
        <v>0.25</v>
      </c>
    </row>
    <row r="103">
      <c r="A103" t="s">
        <v>30</v>
      </c>
      <c r="B103" t="n">
        <v>1.05</v>
      </c>
      <c r="C103" t="n">
        <v>0.95</v>
      </c>
      <c r="D103" t="n">
        <v>1.07</v>
      </c>
      <c r="E103" t="n">
        <v>-3.75</v>
      </c>
      <c r="F103" t="n">
        <v>-0.5</v>
      </c>
      <c r="G103" t="n">
        <v>180</v>
      </c>
      <c r="H103" t="n">
        <v>12</v>
      </c>
      <c r="I103" t="s">
        <v>267</v>
      </c>
      <c r="J103" t="n">
        <v>0</v>
      </c>
      <c r="K103" t="n">
        <v>0</v>
      </c>
      <c r="L103" t="n">
        <v>0</v>
      </c>
      <c r="M103" t="n">
        <v>12</v>
      </c>
      <c r="N103" t="n">
        <v>0.5</v>
      </c>
      <c r="O103" t="n">
        <v>-0.5</v>
      </c>
      <c r="P103" t="n">
        <v>13</v>
      </c>
      <c r="Q103" t="n">
        <v>12</v>
      </c>
      <c r="R103" t="s">
        <v>267</v>
      </c>
      <c r="S103" t="s">
        <v>260</v>
      </c>
      <c r="T103" t="n">
        <v>0.25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29</v>
      </c>
      <c r="B1" s="4" t="s">
        <v>244</v>
      </c>
      <c r="C1" s="4" t="s">
        <v>245</v>
      </c>
      <c r="D1" s="4" t="s">
        <v>246</v>
      </c>
      <c r="E1" s="5" t="s">
        <v>247</v>
      </c>
      <c r="F1" s="5" t="s">
        <v>248</v>
      </c>
      <c r="G1" s="5" t="s">
        <v>249</v>
      </c>
      <c r="H1" s="5" t="s">
        <v>250</v>
      </c>
      <c r="I1" s="5" t="s">
        <v>76</v>
      </c>
      <c r="J1" s="6" t="s">
        <v>251</v>
      </c>
      <c r="K1" s="6" t="s">
        <v>252</v>
      </c>
      <c r="L1" s="6" t="s">
        <v>253</v>
      </c>
      <c r="M1" s="6" t="s">
        <v>254</v>
      </c>
      <c r="N1" s="7" t="s">
        <v>255</v>
      </c>
      <c r="O1" s="7" t="s">
        <v>256</v>
      </c>
      <c r="P1" s="7" t="s">
        <v>257</v>
      </c>
      <c r="Q1" s="7" t="s">
        <v>258</v>
      </c>
      <c r="R1" s="7" t="s">
        <v>171</v>
      </c>
      <c r="S1" s="7" t="s">
        <v>166</v>
      </c>
      <c r="T1" s="8" t="s">
        <v>259</v>
      </c>
    </row>
    <row r="2">
      <c r="A2" t="s">
        <v>31</v>
      </c>
      <c r="B2" t="n">
        <v>0.97</v>
      </c>
      <c r="C2" t="n">
        <v>0.83</v>
      </c>
      <c r="D2" t="n">
        <v>0.99</v>
      </c>
      <c r="E2" t="n">
        <v>-1.75</v>
      </c>
      <c r="F2" t="n">
        <v>-0.25</v>
      </c>
      <c r="G2" t="n">
        <v>94</v>
      </c>
      <c r="H2" t="n">
        <v>12</v>
      </c>
      <c r="I2" t="s">
        <v>260</v>
      </c>
      <c r="J2" t="n">
        <v>0</v>
      </c>
      <c r="K2" t="n">
        <v>0</v>
      </c>
      <c r="L2" t="n">
        <v>0</v>
      </c>
      <c r="M2" t="n">
        <v>12</v>
      </c>
      <c r="N2" t="n">
        <v>0.25</v>
      </c>
      <c r="O2" t="n">
        <v>0</v>
      </c>
      <c r="P2" t="n">
        <v>154</v>
      </c>
      <c r="Q2" t="n">
        <v>12</v>
      </c>
      <c r="R2" t="s">
        <v>264</v>
      </c>
      <c r="S2" t="s">
        <v>265</v>
      </c>
      <c r="T2" t="n">
        <v>0.25</v>
      </c>
    </row>
    <row r="3">
      <c r="A3" t="s">
        <v>31</v>
      </c>
      <c r="B3" t="n">
        <v>0.87</v>
      </c>
      <c r="C3" t="n">
        <v>0.85</v>
      </c>
      <c r="D3" t="n">
        <v>0.9</v>
      </c>
      <c r="E3" t="n">
        <v>-6.5</v>
      </c>
      <c r="F3" t="n">
        <v>0</v>
      </c>
      <c r="G3" t="n">
        <v>96</v>
      </c>
      <c r="H3" t="n">
        <v>12</v>
      </c>
      <c r="I3" t="s">
        <v>269</v>
      </c>
      <c r="J3" t="n">
        <v>0</v>
      </c>
      <c r="K3" t="n">
        <v>0</v>
      </c>
      <c r="L3" t="n">
        <v>0</v>
      </c>
      <c r="M3" t="n">
        <v>12</v>
      </c>
      <c r="N3" t="n">
        <v>-0.25</v>
      </c>
      <c r="O3" t="n">
        <v>0</v>
      </c>
      <c r="P3" t="n">
        <v>82</v>
      </c>
      <c r="Q3" t="n">
        <v>12</v>
      </c>
      <c r="R3" t="s">
        <v>261</v>
      </c>
      <c r="S3" t="s">
        <v>265</v>
      </c>
      <c r="T3" t="n">
        <v>-0.25</v>
      </c>
    </row>
    <row r="4">
      <c r="A4" t="s">
        <v>31</v>
      </c>
      <c r="B4" t="n">
        <v>1.02</v>
      </c>
      <c r="C4" t="n">
        <v>0.86</v>
      </c>
      <c r="D4" t="n">
        <v>0.98</v>
      </c>
      <c r="E4" t="n">
        <v>-3.25</v>
      </c>
      <c r="F4" t="n">
        <v>-0.5</v>
      </c>
      <c r="G4" t="n">
        <v>18</v>
      </c>
      <c r="H4" t="n">
        <v>12</v>
      </c>
      <c r="I4" t="s">
        <v>264</v>
      </c>
      <c r="J4" t="n">
        <v>0</v>
      </c>
      <c r="K4" t="n">
        <v>0</v>
      </c>
      <c r="L4" t="n">
        <v>0</v>
      </c>
      <c r="M4" t="n">
        <v>12</v>
      </c>
      <c r="N4" t="n">
        <v>0</v>
      </c>
      <c r="O4" t="n">
        <v>-0.25</v>
      </c>
      <c r="P4" t="n">
        <v>154</v>
      </c>
      <c r="Q4" t="n">
        <v>12</v>
      </c>
      <c r="R4" t="s">
        <v>264</v>
      </c>
      <c r="S4" t="s">
        <v>269</v>
      </c>
      <c r="T4" t="n">
        <v>-0.25</v>
      </c>
    </row>
    <row r="5">
      <c r="A5" t="s">
        <v>31</v>
      </c>
      <c r="B5" t="n">
        <v>0.93</v>
      </c>
      <c r="C5" t="n">
        <v>0.8</v>
      </c>
      <c r="D5" t="n">
        <v>0.92</v>
      </c>
      <c r="E5" t="n">
        <v>-5.25</v>
      </c>
      <c r="F5" t="n">
        <v>-0.5</v>
      </c>
      <c r="G5" t="n">
        <v>159</v>
      </c>
      <c r="H5" t="n">
        <v>12</v>
      </c>
      <c r="I5" t="s">
        <v>261</v>
      </c>
      <c r="J5" t="n">
        <v>0</v>
      </c>
      <c r="K5" t="n">
        <v>0</v>
      </c>
      <c r="L5" t="n">
        <v>0</v>
      </c>
      <c r="M5" t="n">
        <v>12</v>
      </c>
      <c r="N5" t="n">
        <v>0.25</v>
      </c>
      <c r="O5" t="n">
        <v>-0.5</v>
      </c>
      <c r="P5" t="n">
        <v>128</v>
      </c>
      <c r="Q5" t="n">
        <v>12</v>
      </c>
      <c r="R5" t="s">
        <v>261</v>
      </c>
      <c r="S5" t="s">
        <v>262</v>
      </c>
      <c r="T5" t="n">
        <v>0</v>
      </c>
    </row>
    <row r="6">
      <c r="A6" t="s">
        <v>31</v>
      </c>
      <c r="B6" t="n">
        <v>1.12</v>
      </c>
      <c r="C6" t="n">
        <v>0.88</v>
      </c>
      <c r="D6" t="n">
        <v>1.17</v>
      </c>
      <c r="E6" t="n">
        <v>-7.25</v>
      </c>
      <c r="F6" t="n">
        <v>-1</v>
      </c>
      <c r="G6" t="n">
        <v>11</v>
      </c>
      <c r="H6" t="n">
        <v>12</v>
      </c>
      <c r="I6" t="s">
        <v>268</v>
      </c>
      <c r="J6" t="n">
        <v>0</v>
      </c>
      <c r="K6" t="n">
        <v>0</v>
      </c>
      <c r="L6" t="n">
        <v>0</v>
      </c>
      <c r="M6" t="n">
        <v>12</v>
      </c>
      <c r="N6" t="n">
        <v>-0.5</v>
      </c>
      <c r="O6" t="n">
        <v>-0.25</v>
      </c>
      <c r="P6" t="n">
        <v>44</v>
      </c>
      <c r="Q6" t="n">
        <v>12</v>
      </c>
      <c r="R6" t="s">
        <v>263</v>
      </c>
      <c r="S6" t="s">
        <v>269</v>
      </c>
      <c r="T6" t="n">
        <v>-0.75</v>
      </c>
    </row>
    <row r="7">
      <c r="A7" t="s">
        <v>31</v>
      </c>
      <c r="B7" t="n">
        <v>0.93</v>
      </c>
      <c r="C7" t="n">
        <v>0.85</v>
      </c>
      <c r="D7" t="n">
        <v>0.98</v>
      </c>
      <c r="E7" t="n">
        <v>-4.5</v>
      </c>
      <c r="F7" t="n">
        <v>-1.25</v>
      </c>
      <c r="G7" t="n">
        <v>32</v>
      </c>
      <c r="H7" t="n">
        <v>12</v>
      </c>
      <c r="I7" t="s">
        <v>261</v>
      </c>
      <c r="J7" t="n">
        <v>0</v>
      </c>
      <c r="K7" t="n">
        <v>0</v>
      </c>
      <c r="L7" t="n">
        <v>0</v>
      </c>
      <c r="M7" t="n">
        <v>12</v>
      </c>
      <c r="N7" t="n">
        <v>0</v>
      </c>
      <c r="O7" t="n">
        <v>0</v>
      </c>
      <c r="P7" t="n">
        <v>43</v>
      </c>
      <c r="Q7" t="n">
        <v>12</v>
      </c>
      <c r="R7" t="s">
        <v>264</v>
      </c>
      <c r="S7" t="s">
        <v>265</v>
      </c>
      <c r="T7" t="n">
        <v>0</v>
      </c>
    </row>
    <row r="8">
      <c r="A8" t="s">
        <v>31</v>
      </c>
      <c r="B8" t="n">
        <v>1.02</v>
      </c>
      <c r="C8" t="n">
        <v>0.91</v>
      </c>
      <c r="D8" t="n">
        <v>1.06</v>
      </c>
      <c r="E8" t="n">
        <v>-6</v>
      </c>
      <c r="F8" t="n">
        <v>-0.25</v>
      </c>
      <c r="G8" t="n">
        <v>18</v>
      </c>
      <c r="H8" t="n">
        <v>12</v>
      </c>
      <c r="I8" t="s">
        <v>264</v>
      </c>
      <c r="J8" t="n">
        <v>0</v>
      </c>
      <c r="K8" t="n">
        <v>0</v>
      </c>
      <c r="L8" t="n">
        <v>0</v>
      </c>
      <c r="M8" t="n">
        <v>12</v>
      </c>
      <c r="N8" t="n">
        <v>-1</v>
      </c>
      <c r="O8" t="n">
        <v>0</v>
      </c>
      <c r="P8" t="n">
        <v>170</v>
      </c>
      <c r="Q8" t="n">
        <v>12</v>
      </c>
      <c r="R8" t="s">
        <v>267</v>
      </c>
      <c r="S8" t="s">
        <v>261</v>
      </c>
      <c r="T8" t="n">
        <v>-1</v>
      </c>
    </row>
    <row r="9">
      <c r="A9" t="s">
        <v>31</v>
      </c>
      <c r="B9" t="n">
        <v>0.96</v>
      </c>
      <c r="C9" t="n">
        <v>0.98</v>
      </c>
      <c r="D9" t="n">
        <v>1</v>
      </c>
      <c r="E9" t="n">
        <v>-5.25</v>
      </c>
      <c r="F9" t="n">
        <v>-0.5</v>
      </c>
      <c r="G9" t="n">
        <v>167</v>
      </c>
      <c r="H9" t="n">
        <v>12</v>
      </c>
      <c r="I9" t="s">
        <v>260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-0.75</v>
      </c>
      <c r="P9" t="n">
        <v>3</v>
      </c>
      <c r="Q9" t="n">
        <v>12</v>
      </c>
      <c r="R9" t="s">
        <v>264</v>
      </c>
      <c r="S9" t="s">
        <v>264</v>
      </c>
      <c r="T9" t="n">
        <v>-0.25</v>
      </c>
    </row>
    <row r="10">
      <c r="A10" t="s">
        <v>31</v>
      </c>
      <c r="B10" t="n">
        <v>1.05</v>
      </c>
      <c r="C10" t="n">
        <v>0.89</v>
      </c>
      <c r="D10" t="n">
        <v>1.04</v>
      </c>
      <c r="E10" t="n">
        <v>-3.75</v>
      </c>
      <c r="F10" t="n">
        <v>-0.75</v>
      </c>
      <c r="G10" t="n">
        <v>94</v>
      </c>
      <c r="H10" t="n">
        <v>12</v>
      </c>
      <c r="I10" t="s">
        <v>267</v>
      </c>
      <c r="J10" t="n">
        <v>0</v>
      </c>
      <c r="K10" t="n">
        <v>0</v>
      </c>
      <c r="L10" t="n">
        <v>0</v>
      </c>
      <c r="M10" t="n">
        <v>12</v>
      </c>
      <c r="N10" t="n">
        <v>-0.5</v>
      </c>
      <c r="O10" t="n">
        <v>-0.25</v>
      </c>
      <c r="P10" t="n">
        <v>63</v>
      </c>
      <c r="Q10" t="n">
        <v>12</v>
      </c>
      <c r="R10" t="s">
        <v>267</v>
      </c>
      <c r="S10" t="s">
        <v>269</v>
      </c>
      <c r="T10" t="n">
        <v>-0.75</v>
      </c>
    </row>
    <row r="11">
      <c r="A11" t="s">
        <v>31</v>
      </c>
      <c r="B11" t="n">
        <v>1.09</v>
      </c>
      <c r="C11" t="n">
        <v>1</v>
      </c>
      <c r="D11" t="n">
        <v>1.11</v>
      </c>
      <c r="E11" t="n">
        <v>-4.75</v>
      </c>
      <c r="F11" t="n">
        <v>-1.5</v>
      </c>
      <c r="G11" t="n">
        <v>174</v>
      </c>
      <c r="H11" t="n">
        <v>12</v>
      </c>
      <c r="I11" t="s">
        <v>268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-0.25</v>
      </c>
      <c r="P11" t="n">
        <v>1</v>
      </c>
      <c r="Q11" t="n">
        <v>12</v>
      </c>
      <c r="R11" t="s">
        <v>268</v>
      </c>
      <c r="S11" t="s">
        <v>264</v>
      </c>
      <c r="T11" t="n">
        <v>0</v>
      </c>
    </row>
    <row r="12">
      <c r="A12" t="s">
        <v>31</v>
      </c>
      <c r="B12" t="n">
        <v>1.01</v>
      </c>
      <c r="C12" t="n">
        <v>0.92</v>
      </c>
      <c r="D12" t="n">
        <v>1</v>
      </c>
      <c r="E12" t="n">
        <v>-4.25</v>
      </c>
      <c r="F12" t="n">
        <v>-0.5</v>
      </c>
      <c r="G12" t="n">
        <v>9</v>
      </c>
      <c r="H12" t="n">
        <v>12</v>
      </c>
      <c r="I12" t="s">
        <v>264</v>
      </c>
      <c r="J12" t="n">
        <v>0</v>
      </c>
      <c r="K12" t="n">
        <v>0</v>
      </c>
      <c r="L12" t="n">
        <v>0</v>
      </c>
      <c r="M12" t="n">
        <v>12</v>
      </c>
      <c r="N12" t="n">
        <v>1</v>
      </c>
      <c r="O12" t="n">
        <v>-0.25</v>
      </c>
      <c r="P12" t="n">
        <v>175</v>
      </c>
      <c r="Q12" t="n">
        <v>12</v>
      </c>
      <c r="R12" t="s">
        <v>264</v>
      </c>
      <c r="S12" t="s">
        <v>261</v>
      </c>
      <c r="T12" t="n">
        <v>0.75</v>
      </c>
    </row>
    <row r="13">
      <c r="A13" t="s">
        <v>31</v>
      </c>
      <c r="B13" t="n">
        <v>1.12</v>
      </c>
      <c r="C13" t="n">
        <v>0.91</v>
      </c>
      <c r="D13" t="n">
        <v>1.08</v>
      </c>
      <c r="E13" t="n">
        <v>-6</v>
      </c>
      <c r="F13" t="n">
        <v>-0.5</v>
      </c>
      <c r="G13" t="n">
        <v>4</v>
      </c>
      <c r="H13" t="n">
        <v>12</v>
      </c>
      <c r="I13" t="s">
        <v>268</v>
      </c>
      <c r="J13" t="n">
        <v>0</v>
      </c>
      <c r="K13" t="n">
        <v>0</v>
      </c>
      <c r="L13" t="n">
        <v>0</v>
      </c>
      <c r="M13" t="n">
        <v>12</v>
      </c>
      <c r="N13" t="n">
        <v>0</v>
      </c>
      <c r="O13" t="n">
        <v>-0.25</v>
      </c>
      <c r="P13" t="n">
        <v>179</v>
      </c>
      <c r="Q13" t="n">
        <v>12</v>
      </c>
      <c r="R13" t="s">
        <v>268</v>
      </c>
      <c r="S13" t="s">
        <v>261</v>
      </c>
      <c r="T13" t="n">
        <v>-0.25</v>
      </c>
    </row>
    <row r="14">
      <c r="A14" t="s">
        <v>31</v>
      </c>
      <c r="B14" t="n">
        <v>1.09</v>
      </c>
      <c r="C14" t="n">
        <v>0.91</v>
      </c>
      <c r="D14" t="n">
        <v>1.13</v>
      </c>
      <c r="E14" t="n">
        <v>-4.25</v>
      </c>
      <c r="F14" t="n">
        <v>-0.75</v>
      </c>
      <c r="G14" t="n">
        <v>159</v>
      </c>
      <c r="H14" t="n">
        <v>12</v>
      </c>
      <c r="I14" t="s">
        <v>268</v>
      </c>
      <c r="J14" t="n">
        <v>0</v>
      </c>
      <c r="K14" t="n">
        <v>0</v>
      </c>
      <c r="L14" t="n">
        <v>0</v>
      </c>
      <c r="M14" t="n">
        <v>12</v>
      </c>
      <c r="N14" t="n">
        <v>-0.5</v>
      </c>
      <c r="O14" t="n">
        <v>-0.25</v>
      </c>
      <c r="P14" t="n">
        <v>175</v>
      </c>
      <c r="Q14" t="n">
        <v>12</v>
      </c>
      <c r="R14" t="s">
        <v>263</v>
      </c>
      <c r="S14" t="s">
        <v>261</v>
      </c>
      <c r="T14" t="n">
        <v>-0.75</v>
      </c>
    </row>
    <row r="15">
      <c r="A15" t="s">
        <v>31</v>
      </c>
      <c r="B15" t="n">
        <v>1.03</v>
      </c>
      <c r="C15" t="n">
        <v>0.88</v>
      </c>
      <c r="D15" t="n">
        <v>1.04</v>
      </c>
      <c r="E15" t="n">
        <v>-4.75</v>
      </c>
      <c r="F15" t="n">
        <v>-0.75</v>
      </c>
      <c r="G15" t="n">
        <v>6</v>
      </c>
      <c r="H15" t="n">
        <v>12</v>
      </c>
      <c r="I15" t="s">
        <v>267</v>
      </c>
      <c r="J15" t="n">
        <v>0</v>
      </c>
      <c r="K15" t="n">
        <v>0</v>
      </c>
      <c r="L15" t="n">
        <v>0</v>
      </c>
      <c r="M15" t="n">
        <v>12</v>
      </c>
      <c r="N15" t="n">
        <v>0.75</v>
      </c>
      <c r="O15" t="n">
        <v>0</v>
      </c>
      <c r="P15" t="n">
        <v>23</v>
      </c>
      <c r="Q15" t="n">
        <v>12</v>
      </c>
      <c r="R15" t="s">
        <v>267</v>
      </c>
      <c r="S15" t="s">
        <v>269</v>
      </c>
      <c r="T15" t="n">
        <v>0.75</v>
      </c>
    </row>
    <row r="16">
      <c r="A16" t="s">
        <v>31</v>
      </c>
      <c r="B16" t="n">
        <v>1.09</v>
      </c>
      <c r="C16" t="n">
        <v>1.04</v>
      </c>
      <c r="D16" t="n">
        <v>1.16</v>
      </c>
      <c r="E16" t="n">
        <v>-5</v>
      </c>
      <c r="F16" t="n">
        <v>0</v>
      </c>
      <c r="G16" t="n">
        <v>19</v>
      </c>
      <c r="H16" t="n">
        <v>12</v>
      </c>
      <c r="I16" t="s">
        <v>268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0</v>
      </c>
      <c r="P16" t="n">
        <v>52</v>
      </c>
      <c r="Q16" t="n">
        <v>12</v>
      </c>
      <c r="R16" t="s">
        <v>263</v>
      </c>
      <c r="S16" t="s">
        <v>267</v>
      </c>
      <c r="T16" t="n">
        <v>0</v>
      </c>
    </row>
    <row r="17">
      <c r="A17" t="s">
        <v>31</v>
      </c>
      <c r="B17" t="n">
        <v>1.11</v>
      </c>
      <c r="C17" t="n">
        <v>0.99</v>
      </c>
      <c r="D17" t="n">
        <v>1.13</v>
      </c>
      <c r="E17" t="n">
        <v>-7</v>
      </c>
      <c r="F17" t="n">
        <v>-0.5</v>
      </c>
      <c r="G17" t="n">
        <v>17</v>
      </c>
      <c r="H17" t="n">
        <v>12</v>
      </c>
      <c r="I17" t="s">
        <v>268</v>
      </c>
      <c r="J17" t="n">
        <v>0</v>
      </c>
      <c r="K17" t="n">
        <v>0</v>
      </c>
      <c r="L17" t="n">
        <v>0</v>
      </c>
      <c r="M17" t="n">
        <v>12</v>
      </c>
      <c r="N17" t="n">
        <v>-0.75</v>
      </c>
      <c r="O17" t="n">
        <v>0</v>
      </c>
      <c r="P17" t="n">
        <v>171</v>
      </c>
      <c r="Q17" t="n">
        <v>12</v>
      </c>
      <c r="R17" t="s">
        <v>263</v>
      </c>
      <c r="S17" t="s">
        <v>264</v>
      </c>
      <c r="T17" t="n">
        <v>-0.75</v>
      </c>
    </row>
    <row r="18">
      <c r="A18" t="s">
        <v>31</v>
      </c>
      <c r="B18" t="n">
        <v>1.09</v>
      </c>
      <c r="C18" t="n">
        <v>0.85</v>
      </c>
      <c r="D18" t="n">
        <v>1.06</v>
      </c>
      <c r="E18" t="n">
        <v>-4.25</v>
      </c>
      <c r="F18" t="n">
        <v>-1.75</v>
      </c>
      <c r="G18" t="n">
        <v>104</v>
      </c>
      <c r="H18" t="n">
        <v>12</v>
      </c>
      <c r="I18" t="s">
        <v>268</v>
      </c>
      <c r="J18" t="n">
        <v>0</v>
      </c>
      <c r="K18" t="n">
        <v>0</v>
      </c>
      <c r="L18" t="n">
        <v>0</v>
      </c>
      <c r="M18" t="n">
        <v>12</v>
      </c>
      <c r="N18" t="n">
        <v>-0.5</v>
      </c>
      <c r="O18" t="n">
        <v>-0.25</v>
      </c>
      <c r="P18" t="n">
        <v>99</v>
      </c>
      <c r="Q18" t="n">
        <v>12</v>
      </c>
      <c r="R18" t="s">
        <v>267</v>
      </c>
      <c r="S18" t="s">
        <v>265</v>
      </c>
      <c r="T18" t="n">
        <v>-0.75</v>
      </c>
    </row>
    <row r="19">
      <c r="A19" t="s">
        <v>31</v>
      </c>
      <c r="B19" t="n">
        <v>1.01</v>
      </c>
      <c r="C19" t="n">
        <v>0.84</v>
      </c>
      <c r="D19" t="n">
        <v>0.98</v>
      </c>
      <c r="E19" t="n">
        <v>-5.25</v>
      </c>
      <c r="F19" t="n">
        <v>-0.5</v>
      </c>
      <c r="G19" t="n">
        <v>38</v>
      </c>
      <c r="H19" t="n">
        <v>12</v>
      </c>
      <c r="I19" t="s">
        <v>264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-0.5</v>
      </c>
      <c r="P19" t="n">
        <v>3</v>
      </c>
      <c r="Q19" t="n">
        <v>12</v>
      </c>
      <c r="R19" t="s">
        <v>264</v>
      </c>
      <c r="S19" t="s">
        <v>265</v>
      </c>
      <c r="T19" t="n">
        <v>-0.25</v>
      </c>
    </row>
    <row r="20">
      <c r="A20" t="s">
        <v>31</v>
      </c>
      <c r="B20" t="n">
        <v>1</v>
      </c>
      <c r="C20" t="n">
        <v>0.94</v>
      </c>
      <c r="D20" t="n">
        <v>0.96</v>
      </c>
      <c r="E20" t="n">
        <v>-2.75</v>
      </c>
      <c r="F20" t="n">
        <v>-1</v>
      </c>
      <c r="G20" t="n">
        <v>77</v>
      </c>
      <c r="H20" t="n">
        <v>12</v>
      </c>
      <c r="I20" t="s">
        <v>264</v>
      </c>
      <c r="J20" t="n">
        <v>0</v>
      </c>
      <c r="K20" t="n">
        <v>0</v>
      </c>
      <c r="L20" t="n">
        <v>0</v>
      </c>
      <c r="M20" t="n">
        <v>12</v>
      </c>
      <c r="N20" t="n">
        <v>0</v>
      </c>
      <c r="O20" t="n">
        <v>0</v>
      </c>
      <c r="P20" t="n">
        <v>72</v>
      </c>
      <c r="Q20" t="n">
        <v>12</v>
      </c>
      <c r="R20" t="s">
        <v>260</v>
      </c>
      <c r="S20" t="s">
        <v>260</v>
      </c>
      <c r="T20" t="n">
        <v>0</v>
      </c>
    </row>
    <row r="21">
      <c r="A21" t="s">
        <v>31</v>
      </c>
      <c r="B21" t="n">
        <v>1.02</v>
      </c>
      <c r="C21" t="n">
        <v>0.99</v>
      </c>
      <c r="D21" t="n">
        <v>1.01</v>
      </c>
      <c r="E21" t="n">
        <v>-3.25</v>
      </c>
      <c r="F21" t="n">
        <v>-0.25</v>
      </c>
      <c r="G21" t="n">
        <v>85</v>
      </c>
      <c r="H21" t="n">
        <v>12</v>
      </c>
      <c r="I21" t="s">
        <v>264</v>
      </c>
      <c r="J21" t="n">
        <v>0</v>
      </c>
      <c r="K21" t="n">
        <v>0</v>
      </c>
      <c r="L21" t="n">
        <v>0</v>
      </c>
      <c r="M21" t="n">
        <v>12</v>
      </c>
      <c r="N21" t="n">
        <v>0</v>
      </c>
      <c r="O21" t="n">
        <v>-0.25</v>
      </c>
      <c r="P21" t="n">
        <v>78</v>
      </c>
      <c r="Q21" t="n">
        <v>12</v>
      </c>
      <c r="R21" t="s">
        <v>264</v>
      </c>
      <c r="S21" t="s">
        <v>264</v>
      </c>
      <c r="T21" t="n">
        <v>0</v>
      </c>
    </row>
    <row r="22">
      <c r="A22" t="s">
        <v>31</v>
      </c>
      <c r="B22" t="n">
        <v>1.15</v>
      </c>
      <c r="C22" t="n">
        <v>0.83</v>
      </c>
      <c r="D22" t="n">
        <v>1.08</v>
      </c>
      <c r="E22" t="n">
        <v>-4.5</v>
      </c>
      <c r="F22" t="n">
        <v>-2.5</v>
      </c>
      <c r="G22" t="n">
        <v>104</v>
      </c>
      <c r="H22" t="n">
        <v>12</v>
      </c>
      <c r="I22" t="s">
        <v>263</v>
      </c>
      <c r="J22" t="n">
        <v>0</v>
      </c>
      <c r="K22" t="n">
        <v>0</v>
      </c>
      <c r="L22" t="n">
        <v>0</v>
      </c>
      <c r="M22" t="n">
        <v>12</v>
      </c>
      <c r="N22" t="n">
        <v>1</v>
      </c>
      <c r="O22" t="n">
        <v>-0.25</v>
      </c>
      <c r="P22" t="n">
        <v>105</v>
      </c>
      <c r="Q22" t="n">
        <v>12</v>
      </c>
      <c r="R22" t="s">
        <v>268</v>
      </c>
      <c r="S22" t="s">
        <v>265</v>
      </c>
      <c r="T22" t="n">
        <v>0.75</v>
      </c>
    </row>
    <row r="23">
      <c r="A23" t="s">
        <v>31</v>
      </c>
      <c r="B23" t="n">
        <v>0.89</v>
      </c>
      <c r="C23" t="n">
        <v>0.89</v>
      </c>
      <c r="D23" t="n">
        <v>0.92</v>
      </c>
      <c r="E23" t="n">
        <v>-4.25</v>
      </c>
      <c r="F23" t="n">
        <v>-0.25</v>
      </c>
      <c r="G23" t="n">
        <v>2</v>
      </c>
      <c r="H23" t="n">
        <v>12</v>
      </c>
      <c r="I23" t="s">
        <v>269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0</v>
      </c>
      <c r="P23" t="n">
        <v>82</v>
      </c>
      <c r="Q23" t="n">
        <v>12</v>
      </c>
      <c r="R23" t="s">
        <v>261</v>
      </c>
      <c r="S23" t="s">
        <v>269</v>
      </c>
      <c r="T23" t="n">
        <v>0</v>
      </c>
    </row>
    <row r="24">
      <c r="A24" t="s">
        <v>31</v>
      </c>
      <c r="B24" t="n">
        <v>1.04</v>
      </c>
      <c r="C24" t="n">
        <v>0.85</v>
      </c>
      <c r="D24" t="n">
        <v>1.11</v>
      </c>
      <c r="E24" t="n">
        <v>-5.75</v>
      </c>
      <c r="F24" t="n">
        <v>-0.5</v>
      </c>
      <c r="G24" t="n">
        <v>87</v>
      </c>
      <c r="H24" t="n">
        <v>12</v>
      </c>
      <c r="I24" t="s">
        <v>267</v>
      </c>
      <c r="J24" t="n">
        <v>0</v>
      </c>
      <c r="K24" t="n">
        <v>0</v>
      </c>
      <c r="L24" t="n">
        <v>0</v>
      </c>
      <c r="M24" t="n">
        <v>12</v>
      </c>
      <c r="N24" t="n">
        <v>-0.5</v>
      </c>
      <c r="O24" t="n">
        <v>-0.25</v>
      </c>
      <c r="P24" t="n">
        <v>90</v>
      </c>
      <c r="Q24" t="n">
        <v>12</v>
      </c>
      <c r="R24" t="s">
        <v>268</v>
      </c>
      <c r="S24" t="s">
        <v>265</v>
      </c>
      <c r="T24" t="n">
        <v>-0.75</v>
      </c>
    </row>
    <row r="25">
      <c r="A25" t="s">
        <v>31</v>
      </c>
      <c r="B25" t="n">
        <v>1.13</v>
      </c>
      <c r="C25" t="n">
        <v>1.04</v>
      </c>
      <c r="D25" t="n">
        <v>1.08</v>
      </c>
      <c r="E25" t="n">
        <v>-3.5</v>
      </c>
      <c r="F25" t="n">
        <v>-1.25</v>
      </c>
      <c r="G25" t="n">
        <v>165</v>
      </c>
      <c r="H25" t="n">
        <v>12</v>
      </c>
      <c r="I25" t="s">
        <v>263</v>
      </c>
      <c r="J25" t="n">
        <v>0</v>
      </c>
      <c r="K25" t="n">
        <v>0</v>
      </c>
      <c r="L25" t="n">
        <v>0</v>
      </c>
      <c r="M25" t="n">
        <v>12</v>
      </c>
      <c r="N25" t="n">
        <v>0.5</v>
      </c>
      <c r="O25" t="n">
        <v>-0.25</v>
      </c>
      <c r="P25" t="n">
        <v>156</v>
      </c>
      <c r="Q25" t="n">
        <v>12</v>
      </c>
      <c r="R25" t="s">
        <v>268</v>
      </c>
      <c r="S25" t="s">
        <v>267</v>
      </c>
      <c r="T25" t="n">
        <v>0.25</v>
      </c>
    </row>
    <row r="26">
      <c r="A26" t="s">
        <v>31</v>
      </c>
      <c r="B26" t="n">
        <v>0.95</v>
      </c>
      <c r="C26" t="n">
        <v>0.89</v>
      </c>
      <c r="D26" t="n">
        <v>0.94</v>
      </c>
      <c r="E26" t="n">
        <v>-3.5</v>
      </c>
      <c r="F26" t="n">
        <v>-2.75</v>
      </c>
      <c r="G26" t="n">
        <v>8</v>
      </c>
      <c r="H26" t="n">
        <v>12</v>
      </c>
      <c r="I26" t="s">
        <v>260</v>
      </c>
      <c r="J26" t="n">
        <v>0</v>
      </c>
      <c r="K26" t="n">
        <v>0</v>
      </c>
      <c r="L26" t="n">
        <v>0</v>
      </c>
      <c r="M26" t="n">
        <v>12</v>
      </c>
      <c r="N26" t="n">
        <v>0</v>
      </c>
      <c r="O26" t="n">
        <v>-0.25</v>
      </c>
      <c r="P26" t="n">
        <v>177</v>
      </c>
      <c r="Q26" t="n">
        <v>12</v>
      </c>
      <c r="R26" t="s">
        <v>260</v>
      </c>
      <c r="S26" t="s">
        <v>269</v>
      </c>
      <c r="T26" t="n">
        <v>-0.25</v>
      </c>
    </row>
    <row r="27">
      <c r="A27" t="s">
        <v>31</v>
      </c>
      <c r="B27" t="n">
        <v>0.97</v>
      </c>
      <c r="C27" t="n">
        <v>0.77</v>
      </c>
      <c r="D27" t="n">
        <v>0.93</v>
      </c>
      <c r="E27" t="n">
        <v>-3.5</v>
      </c>
      <c r="F27" t="n">
        <v>0</v>
      </c>
      <c r="G27" t="n">
        <v>174</v>
      </c>
      <c r="H27" t="n">
        <v>12</v>
      </c>
      <c r="I27" t="s">
        <v>260</v>
      </c>
      <c r="J27" t="n">
        <v>0</v>
      </c>
      <c r="K27" t="n">
        <v>0</v>
      </c>
      <c r="L27" t="n">
        <v>0</v>
      </c>
      <c r="M27" t="n">
        <v>12</v>
      </c>
      <c r="N27" t="n">
        <v>0.5</v>
      </c>
      <c r="O27" t="n">
        <v>-0.25</v>
      </c>
      <c r="P27" t="n">
        <v>116</v>
      </c>
      <c r="Q27" t="n">
        <v>12</v>
      </c>
      <c r="R27" t="s">
        <v>261</v>
      </c>
      <c r="S27" t="s">
        <v>271</v>
      </c>
      <c r="T27" t="n">
        <v>0.25</v>
      </c>
    </row>
    <row r="28">
      <c r="A28" t="s">
        <v>31</v>
      </c>
      <c r="B28" t="n">
        <v>1.02</v>
      </c>
      <c r="C28" t="n">
        <v>1.02</v>
      </c>
      <c r="D28" t="n">
        <v>1.09</v>
      </c>
      <c r="E28" t="n">
        <v>-3.5</v>
      </c>
      <c r="F28" t="n">
        <v>0</v>
      </c>
      <c r="G28" t="n">
        <v>78</v>
      </c>
      <c r="H28" t="n">
        <v>12</v>
      </c>
      <c r="I28" t="s">
        <v>264</v>
      </c>
      <c r="J28" t="n">
        <v>0</v>
      </c>
      <c r="K28" t="n">
        <v>0</v>
      </c>
      <c r="L28" t="n">
        <v>0</v>
      </c>
      <c r="M28" t="n">
        <v>12</v>
      </c>
      <c r="N28" t="n">
        <v>-0.25</v>
      </c>
      <c r="O28" t="n">
        <v>0</v>
      </c>
      <c r="P28" t="n">
        <v>88</v>
      </c>
      <c r="Q28" t="n">
        <v>12</v>
      </c>
      <c r="R28" t="s">
        <v>268</v>
      </c>
      <c r="S28" t="s">
        <v>264</v>
      </c>
      <c r="T28" t="n">
        <v>-0.25</v>
      </c>
    </row>
    <row r="29">
      <c r="A29" t="s">
        <v>31</v>
      </c>
      <c r="B29" t="n">
        <v>1.01</v>
      </c>
      <c r="C29" t="n">
        <v>0.85</v>
      </c>
      <c r="D29" t="n">
        <v>0.99</v>
      </c>
      <c r="E29" t="n">
        <v>-6</v>
      </c>
      <c r="F29" t="n">
        <v>-0.5</v>
      </c>
      <c r="G29" t="n">
        <v>2</v>
      </c>
      <c r="H29" t="n">
        <v>12</v>
      </c>
      <c r="I29" t="s">
        <v>264</v>
      </c>
      <c r="J29" t="n">
        <v>0</v>
      </c>
      <c r="K29" t="n">
        <v>0</v>
      </c>
      <c r="L29" t="n">
        <v>0</v>
      </c>
      <c r="M29" t="n">
        <v>12</v>
      </c>
      <c r="N29" t="n">
        <v>-0.5</v>
      </c>
      <c r="O29" t="n">
        <v>-0.25</v>
      </c>
      <c r="P29" t="n">
        <v>0</v>
      </c>
      <c r="Q29" t="n">
        <v>12</v>
      </c>
      <c r="R29" t="s">
        <v>264</v>
      </c>
      <c r="S29" t="s">
        <v>265</v>
      </c>
      <c r="T29" t="n">
        <v>-0.5</v>
      </c>
    </row>
    <row r="30">
      <c r="A30" t="s">
        <v>31</v>
      </c>
      <c r="B30" t="n">
        <v>0.96</v>
      </c>
      <c r="C30" t="n">
        <v>0.81</v>
      </c>
      <c r="D30" t="n">
        <v>0.96</v>
      </c>
      <c r="E30" t="n">
        <v>-2.5</v>
      </c>
      <c r="F30" t="n">
        <v>-0.75</v>
      </c>
      <c r="G30" t="n">
        <v>81</v>
      </c>
      <c r="H30" t="n">
        <v>12</v>
      </c>
      <c r="I30" t="s">
        <v>260</v>
      </c>
      <c r="J30" t="n">
        <v>0</v>
      </c>
      <c r="K30" t="n">
        <v>0</v>
      </c>
      <c r="L30" t="n">
        <v>0</v>
      </c>
      <c r="M30" t="n">
        <v>12</v>
      </c>
      <c r="N30" t="n">
        <v>-0.25</v>
      </c>
      <c r="O30" t="n">
        <v>-0.5</v>
      </c>
      <c r="P30" t="n">
        <v>85</v>
      </c>
      <c r="Q30" t="n">
        <v>12</v>
      </c>
      <c r="R30" t="s">
        <v>260</v>
      </c>
      <c r="S30" t="s">
        <v>262</v>
      </c>
      <c r="T30" t="n">
        <v>-0.5</v>
      </c>
    </row>
    <row r="31">
      <c r="A31" t="s">
        <v>31</v>
      </c>
      <c r="B31" t="n">
        <v>0.94</v>
      </c>
      <c r="C31" t="n">
        <v>0.79</v>
      </c>
      <c r="D31" t="n">
        <v>0.89</v>
      </c>
      <c r="E31" t="n">
        <v>-5</v>
      </c>
      <c r="F31" t="n">
        <v>-1</v>
      </c>
      <c r="G31" t="n">
        <v>18</v>
      </c>
      <c r="H31" t="n">
        <v>12</v>
      </c>
      <c r="I31" t="s">
        <v>260</v>
      </c>
      <c r="J31" t="n">
        <v>0</v>
      </c>
      <c r="K31" t="n">
        <v>0</v>
      </c>
      <c r="L31" t="n">
        <v>0</v>
      </c>
      <c r="M31" t="n">
        <v>12</v>
      </c>
      <c r="N31" t="n">
        <v>-0.5</v>
      </c>
      <c r="O31" t="n">
        <v>-0.25</v>
      </c>
      <c r="P31" t="n">
        <v>174</v>
      </c>
      <c r="Q31" t="n">
        <v>12</v>
      </c>
      <c r="R31" t="s">
        <v>269</v>
      </c>
      <c r="S31" t="s">
        <v>262</v>
      </c>
      <c r="T31" t="n">
        <v>-0.5</v>
      </c>
    </row>
    <row r="32">
      <c r="A32" t="s">
        <v>31</v>
      </c>
      <c r="B32" t="n">
        <v>1</v>
      </c>
      <c r="C32" t="n">
        <v>0.92</v>
      </c>
      <c r="D32" t="n">
        <v>0.95</v>
      </c>
      <c r="E32" t="n">
        <v>-3.25</v>
      </c>
      <c r="F32" t="n">
        <v>-0.75</v>
      </c>
      <c r="G32" t="n">
        <v>180</v>
      </c>
      <c r="H32" t="n">
        <v>12</v>
      </c>
      <c r="I32" t="s">
        <v>264</v>
      </c>
      <c r="J32" t="n">
        <v>0</v>
      </c>
      <c r="K32" t="n">
        <v>0</v>
      </c>
      <c r="L32" t="n">
        <v>0</v>
      </c>
      <c r="M32" t="n">
        <v>12</v>
      </c>
      <c r="N32" t="n">
        <v>-0.25</v>
      </c>
      <c r="O32" t="n">
        <v>-0.5</v>
      </c>
      <c r="P32" t="n">
        <v>167</v>
      </c>
      <c r="Q32" t="n">
        <v>12</v>
      </c>
      <c r="R32" t="s">
        <v>260</v>
      </c>
      <c r="S32" t="s">
        <v>261</v>
      </c>
      <c r="T32" t="n">
        <v>-0.5</v>
      </c>
    </row>
    <row r="33">
      <c r="A33" t="s">
        <v>31</v>
      </c>
      <c r="B33" t="n">
        <v>0.97</v>
      </c>
      <c r="C33" t="n">
        <v>0.59</v>
      </c>
      <c r="D33" t="n">
        <v>0.93</v>
      </c>
      <c r="E33" t="n">
        <v>-3.25</v>
      </c>
      <c r="F33" t="n">
        <v>-0.25</v>
      </c>
      <c r="G33" t="n">
        <v>169</v>
      </c>
      <c r="H33" t="n">
        <v>12</v>
      </c>
      <c r="I33" t="s">
        <v>260</v>
      </c>
      <c r="J33" t="n">
        <v>0</v>
      </c>
      <c r="K33" t="n">
        <v>0</v>
      </c>
      <c r="L33" t="n">
        <v>0</v>
      </c>
      <c r="M33" t="n">
        <v>12</v>
      </c>
      <c r="N33" t="n">
        <v>-1</v>
      </c>
      <c r="O33" t="n">
        <v>0</v>
      </c>
      <c r="P33" t="n">
        <v>82</v>
      </c>
      <c r="Q33" t="n">
        <v>12</v>
      </c>
      <c r="R33" t="s">
        <v>261</v>
      </c>
      <c r="S33" t="s">
        <v>274</v>
      </c>
      <c r="T33" t="n">
        <v>-1</v>
      </c>
    </row>
    <row r="34">
      <c r="A34" t="s">
        <v>31</v>
      </c>
      <c r="B34" t="n">
        <v>1.04</v>
      </c>
      <c r="C34" t="n">
        <v>0.89</v>
      </c>
      <c r="D34" t="n">
        <v>1.04</v>
      </c>
      <c r="E34" t="n">
        <v>-4</v>
      </c>
      <c r="F34" t="n">
        <v>-0.25</v>
      </c>
      <c r="G34" t="n">
        <v>12</v>
      </c>
      <c r="H34" t="n">
        <v>12</v>
      </c>
      <c r="I34" t="s">
        <v>267</v>
      </c>
      <c r="J34" t="n">
        <v>0</v>
      </c>
      <c r="K34" t="n">
        <v>0</v>
      </c>
      <c r="L34" t="n">
        <v>0</v>
      </c>
      <c r="M34" t="n">
        <v>12</v>
      </c>
      <c r="N34" t="n">
        <v>0.5</v>
      </c>
      <c r="O34" t="n">
        <v>-0.25</v>
      </c>
      <c r="P34" t="n">
        <v>3</v>
      </c>
      <c r="Q34" t="n">
        <v>12</v>
      </c>
      <c r="R34" t="s">
        <v>267</v>
      </c>
      <c r="S34" t="s">
        <v>269</v>
      </c>
      <c r="T34" t="n">
        <v>0.25</v>
      </c>
    </row>
    <row r="35">
      <c r="A35" t="s">
        <v>31</v>
      </c>
      <c r="B35" t="n">
        <v>0.97</v>
      </c>
      <c r="C35" t="n">
        <v>0.76</v>
      </c>
      <c r="D35" t="n">
        <v>0.96</v>
      </c>
      <c r="E35" t="n">
        <v>-3.75</v>
      </c>
      <c r="F35" t="n">
        <v>-0.5</v>
      </c>
      <c r="G35" t="n">
        <v>174</v>
      </c>
      <c r="H35" t="n">
        <v>12</v>
      </c>
      <c r="I35" t="s">
        <v>260</v>
      </c>
      <c r="J35" t="n">
        <v>0</v>
      </c>
      <c r="K35" t="n">
        <v>0</v>
      </c>
      <c r="L35" t="n">
        <v>0</v>
      </c>
      <c r="M35" t="n">
        <v>12</v>
      </c>
      <c r="N35" t="n">
        <v>1</v>
      </c>
      <c r="O35" t="n">
        <v>-0.25</v>
      </c>
      <c r="P35" t="n">
        <v>9</v>
      </c>
      <c r="Q35" t="n">
        <v>12</v>
      </c>
      <c r="R35" t="s">
        <v>260</v>
      </c>
      <c r="S35" t="s">
        <v>271</v>
      </c>
      <c r="T35" t="n">
        <v>0.75</v>
      </c>
    </row>
    <row r="36">
      <c r="A36" t="s">
        <v>31</v>
      </c>
      <c r="B36" t="n">
        <v>1.08</v>
      </c>
      <c r="C36" t="n">
        <v>1.01</v>
      </c>
      <c r="D36" t="n">
        <v>1.1</v>
      </c>
      <c r="E36" t="n">
        <v>-1.75</v>
      </c>
      <c r="F36" t="n">
        <v>-1</v>
      </c>
      <c r="G36" t="n">
        <v>59</v>
      </c>
      <c r="H36" t="n">
        <v>12</v>
      </c>
      <c r="I36" t="s">
        <v>268</v>
      </c>
      <c r="J36" t="n">
        <v>0</v>
      </c>
      <c r="K36" t="n">
        <v>0</v>
      </c>
      <c r="L36" t="n">
        <v>0</v>
      </c>
      <c r="M36" t="n">
        <v>12</v>
      </c>
      <c r="N36" t="n">
        <v>0.5</v>
      </c>
      <c r="O36" t="n">
        <v>-0.5</v>
      </c>
      <c r="P36" t="n">
        <v>84</v>
      </c>
      <c r="Q36" t="n">
        <v>12</v>
      </c>
      <c r="R36" t="s">
        <v>268</v>
      </c>
      <c r="S36" t="s">
        <v>264</v>
      </c>
      <c r="T36" t="n">
        <v>0.25</v>
      </c>
    </row>
    <row r="37">
      <c r="A37" t="s">
        <v>31</v>
      </c>
      <c r="B37" t="n">
        <v>1.09</v>
      </c>
      <c r="C37" t="n">
        <v>0.94</v>
      </c>
      <c r="D37" t="n">
        <v>1.11</v>
      </c>
      <c r="E37" t="n">
        <v>-7.5</v>
      </c>
      <c r="F37" t="n">
        <v>-0.5</v>
      </c>
      <c r="G37" t="n">
        <v>76</v>
      </c>
      <c r="H37" t="n">
        <v>12</v>
      </c>
      <c r="I37" t="s">
        <v>268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-0.25</v>
      </c>
      <c r="P37" t="n">
        <v>50</v>
      </c>
      <c r="Q37" t="n">
        <v>12</v>
      </c>
      <c r="R37" t="s">
        <v>268</v>
      </c>
      <c r="S37" t="s">
        <v>260</v>
      </c>
      <c r="T37" t="n">
        <v>0.25</v>
      </c>
    </row>
    <row r="38">
      <c r="A38" t="s">
        <v>31</v>
      </c>
      <c r="B38" t="n">
        <v>1.02</v>
      </c>
      <c r="C38" t="n">
        <v>0.8</v>
      </c>
      <c r="D38" t="n">
        <v>1.03</v>
      </c>
      <c r="E38" t="n">
        <v>-3.5</v>
      </c>
      <c r="F38" t="n">
        <v>0</v>
      </c>
      <c r="G38" t="n">
        <v>179</v>
      </c>
      <c r="H38" t="n">
        <v>12</v>
      </c>
      <c r="I38" t="s">
        <v>264</v>
      </c>
      <c r="J38" t="n">
        <v>0</v>
      </c>
      <c r="K38" t="n">
        <v>0</v>
      </c>
      <c r="L38" t="n">
        <v>0</v>
      </c>
      <c r="M38" t="n">
        <v>12</v>
      </c>
      <c r="N38" t="n">
        <v>-0.75</v>
      </c>
      <c r="O38" t="n">
        <v>0</v>
      </c>
      <c r="P38" t="n">
        <v>20</v>
      </c>
      <c r="Q38" t="n">
        <v>12</v>
      </c>
      <c r="R38" t="s">
        <v>267</v>
      </c>
      <c r="S38" t="s">
        <v>262</v>
      </c>
      <c r="T38" t="n">
        <v>-0.75</v>
      </c>
    </row>
    <row r="39">
      <c r="A39" t="s">
        <v>31</v>
      </c>
      <c r="B39" t="n">
        <v>1.01</v>
      </c>
      <c r="C39" t="n">
        <v>0.94</v>
      </c>
      <c r="D39" t="n">
        <v>1.02</v>
      </c>
      <c r="E39" t="n">
        <v>-4.25</v>
      </c>
      <c r="F39" t="n">
        <v>-0.25</v>
      </c>
      <c r="G39" t="n">
        <v>100</v>
      </c>
      <c r="H39" t="n">
        <v>12</v>
      </c>
      <c r="I39" t="s">
        <v>264</v>
      </c>
      <c r="J39" t="n">
        <v>0</v>
      </c>
      <c r="K39" t="n">
        <v>0</v>
      </c>
      <c r="L39" t="n">
        <v>0</v>
      </c>
      <c r="M39" t="n">
        <v>12</v>
      </c>
      <c r="N39" t="n">
        <v>0</v>
      </c>
      <c r="O39" t="n">
        <v>-0.25</v>
      </c>
      <c r="P39" t="n">
        <v>102</v>
      </c>
      <c r="Q39" t="n">
        <v>12</v>
      </c>
      <c r="R39" t="s">
        <v>264</v>
      </c>
      <c r="S39" t="s">
        <v>260</v>
      </c>
      <c r="T39" t="n">
        <v>0</v>
      </c>
    </row>
    <row r="40">
      <c r="A40" t="s">
        <v>31</v>
      </c>
      <c r="B40" t="n">
        <v>0.87</v>
      </c>
      <c r="C40" t="n">
        <v>0.64</v>
      </c>
      <c r="D40" t="n">
        <v>0.84</v>
      </c>
      <c r="E40" t="n">
        <v>-3.75</v>
      </c>
      <c r="F40" t="n">
        <v>-0.75</v>
      </c>
      <c r="G40" t="n">
        <v>172</v>
      </c>
      <c r="H40" t="n">
        <v>12</v>
      </c>
      <c r="I40" t="s">
        <v>269</v>
      </c>
      <c r="J40" t="n">
        <v>0</v>
      </c>
      <c r="K40" t="n">
        <v>0</v>
      </c>
      <c r="L40" t="n">
        <v>0</v>
      </c>
      <c r="M40" t="n">
        <v>12</v>
      </c>
      <c r="N40" t="n">
        <v>0</v>
      </c>
      <c r="O40" t="n">
        <v>-0.25</v>
      </c>
      <c r="P40" t="n">
        <v>159</v>
      </c>
      <c r="Q40" t="n">
        <v>12</v>
      </c>
      <c r="R40" t="s">
        <v>265</v>
      </c>
      <c r="S40" t="s">
        <v>275</v>
      </c>
      <c r="T40" t="n">
        <v>-0.25</v>
      </c>
    </row>
    <row r="41">
      <c r="A41" t="s">
        <v>31</v>
      </c>
      <c r="B41" t="n">
        <v>1.02</v>
      </c>
      <c r="C41" t="n">
        <v>0.88</v>
      </c>
      <c r="D41" t="n">
        <v>1.03</v>
      </c>
      <c r="E41" t="n">
        <v>-2.5</v>
      </c>
      <c r="F41" t="n">
        <v>-0.25</v>
      </c>
      <c r="G41" t="n">
        <v>177</v>
      </c>
      <c r="H41" t="n">
        <v>12</v>
      </c>
      <c r="I41" t="s">
        <v>264</v>
      </c>
      <c r="J41" t="n">
        <v>0</v>
      </c>
      <c r="K41" t="n">
        <v>0</v>
      </c>
      <c r="L41" t="n">
        <v>0</v>
      </c>
      <c r="M41" t="n">
        <v>12</v>
      </c>
      <c r="N41" t="n">
        <v>1</v>
      </c>
      <c r="O41" t="n">
        <v>-0.25</v>
      </c>
      <c r="P41" t="n">
        <v>161</v>
      </c>
      <c r="Q41" t="n">
        <v>12</v>
      </c>
      <c r="R41" t="s">
        <v>267</v>
      </c>
      <c r="S41" t="s">
        <v>269</v>
      </c>
      <c r="T41" t="n">
        <v>0.75</v>
      </c>
    </row>
    <row r="42">
      <c r="A42" t="s">
        <v>31</v>
      </c>
      <c r="B42" t="n">
        <v>1</v>
      </c>
      <c r="C42" t="n">
        <v>0.65</v>
      </c>
      <c r="D42" t="n">
        <v>0.93</v>
      </c>
      <c r="E42" t="n">
        <v>-5</v>
      </c>
      <c r="F42" t="n">
        <v>0</v>
      </c>
      <c r="G42" t="n">
        <v>92</v>
      </c>
      <c r="H42" t="n">
        <v>12</v>
      </c>
      <c r="I42" t="s">
        <v>264</v>
      </c>
      <c r="J42" t="n">
        <v>0</v>
      </c>
      <c r="K42" t="n">
        <v>0</v>
      </c>
      <c r="L42" t="n">
        <v>0</v>
      </c>
      <c r="M42" t="n">
        <v>12</v>
      </c>
      <c r="N42" t="n">
        <v>-1</v>
      </c>
      <c r="O42" t="n">
        <v>0</v>
      </c>
      <c r="P42" t="n">
        <v>108</v>
      </c>
      <c r="Q42" t="n">
        <v>12</v>
      </c>
      <c r="R42" t="s">
        <v>261</v>
      </c>
      <c r="S42" t="s">
        <v>276</v>
      </c>
      <c r="T42" t="n">
        <v>-1</v>
      </c>
    </row>
    <row r="43">
      <c r="A43" t="s">
        <v>31</v>
      </c>
      <c r="B43" t="n">
        <v>0.95</v>
      </c>
      <c r="C43" t="n">
        <v>0.68</v>
      </c>
      <c r="D43" t="n">
        <v>0.89</v>
      </c>
      <c r="E43" t="n">
        <v>-6.25</v>
      </c>
      <c r="F43" t="n">
        <v>-0.25</v>
      </c>
      <c r="G43" t="n">
        <v>84</v>
      </c>
      <c r="H43" t="n">
        <v>12</v>
      </c>
      <c r="I43" t="s">
        <v>260</v>
      </c>
      <c r="J43" t="n">
        <v>0</v>
      </c>
      <c r="K43" t="n">
        <v>0</v>
      </c>
      <c r="L43" t="n">
        <v>0</v>
      </c>
      <c r="M43" t="n">
        <v>12</v>
      </c>
      <c r="N43" t="n">
        <v>0.5</v>
      </c>
      <c r="O43" t="n">
        <v>0</v>
      </c>
      <c r="P43" t="n">
        <v>66</v>
      </c>
      <c r="Q43" t="n">
        <v>12</v>
      </c>
      <c r="R43" t="s">
        <v>269</v>
      </c>
      <c r="S43" t="s">
        <v>266</v>
      </c>
      <c r="T43" t="n">
        <v>0.5</v>
      </c>
    </row>
    <row r="44">
      <c r="A44" t="s">
        <v>31</v>
      </c>
      <c r="B44" t="n">
        <v>1.02</v>
      </c>
      <c r="C44" t="n">
        <v>0.9</v>
      </c>
      <c r="D44" t="n">
        <v>1.01</v>
      </c>
      <c r="E44" t="n">
        <v>-4.25</v>
      </c>
      <c r="F44" t="n">
        <v>-0.5</v>
      </c>
      <c r="G44" t="n">
        <v>77</v>
      </c>
      <c r="H44" t="n">
        <v>12</v>
      </c>
      <c r="I44" t="s">
        <v>264</v>
      </c>
      <c r="J44" t="n">
        <v>0</v>
      </c>
      <c r="K44" t="n">
        <v>0</v>
      </c>
      <c r="L44" t="n">
        <v>0</v>
      </c>
      <c r="M44" t="n">
        <v>12</v>
      </c>
      <c r="N44" t="n">
        <v>0</v>
      </c>
      <c r="O44" t="n">
        <v>-0.25</v>
      </c>
      <c r="P44" t="n">
        <v>67</v>
      </c>
      <c r="Q44" t="n">
        <v>12</v>
      </c>
      <c r="R44" t="s">
        <v>264</v>
      </c>
      <c r="S44" t="s">
        <v>261</v>
      </c>
      <c r="T44" t="n">
        <v>0</v>
      </c>
    </row>
    <row r="45">
      <c r="A45" t="s">
        <v>31</v>
      </c>
      <c r="B45" t="n">
        <v>1.09</v>
      </c>
      <c r="C45" t="n">
        <v>0.99</v>
      </c>
      <c r="D45" t="n">
        <v>1.12</v>
      </c>
      <c r="E45" t="n">
        <v>-0.5</v>
      </c>
      <c r="F45" t="n">
        <v>-0.75</v>
      </c>
      <c r="G45" t="n">
        <v>97</v>
      </c>
      <c r="H45" t="n">
        <v>12</v>
      </c>
      <c r="I45" t="s">
        <v>268</v>
      </c>
      <c r="J45" t="n">
        <v>0</v>
      </c>
      <c r="K45" t="n">
        <v>0</v>
      </c>
      <c r="L45" t="n">
        <v>0</v>
      </c>
      <c r="M45" t="n">
        <v>12</v>
      </c>
      <c r="N45" t="n">
        <v>-0.25</v>
      </c>
      <c r="O45" t="n">
        <v>0</v>
      </c>
      <c r="P45" t="n">
        <v>71</v>
      </c>
      <c r="Q45" t="n">
        <v>12</v>
      </c>
      <c r="R45" t="s">
        <v>268</v>
      </c>
      <c r="S45" t="s">
        <v>264</v>
      </c>
      <c r="T45" t="n">
        <v>-0.25</v>
      </c>
    </row>
    <row r="46">
      <c r="A46" t="s">
        <v>31</v>
      </c>
      <c r="B46" t="n">
        <v>1.03</v>
      </c>
      <c r="C46" t="n">
        <v>0.84</v>
      </c>
      <c r="D46" t="n">
        <v>0.99</v>
      </c>
      <c r="E46" t="n">
        <v>-0.25</v>
      </c>
      <c r="F46" t="n">
        <v>-1.75</v>
      </c>
      <c r="G46" t="n">
        <v>178</v>
      </c>
      <c r="H46" t="n">
        <v>12</v>
      </c>
      <c r="I46" t="s">
        <v>267</v>
      </c>
      <c r="J46" t="n">
        <v>0</v>
      </c>
      <c r="K46" t="n">
        <v>0</v>
      </c>
      <c r="L46" t="n">
        <v>0</v>
      </c>
      <c r="M46" t="n">
        <v>12</v>
      </c>
      <c r="N46" t="n">
        <v>0</v>
      </c>
      <c r="O46" t="n">
        <v>-0.25</v>
      </c>
      <c r="P46" t="n">
        <v>147</v>
      </c>
      <c r="Q46" t="n">
        <v>12</v>
      </c>
      <c r="R46" t="s">
        <v>264</v>
      </c>
      <c r="S46" t="s">
        <v>265</v>
      </c>
      <c r="T46" t="n">
        <v>-0.25</v>
      </c>
    </row>
    <row r="47">
      <c r="A47" t="s">
        <v>31</v>
      </c>
      <c r="B47" t="n">
        <v>1.05</v>
      </c>
      <c r="C47" t="n">
        <v>1.07</v>
      </c>
      <c r="D47" t="n">
        <v>1.08</v>
      </c>
      <c r="E47" t="n">
        <v>-3.5</v>
      </c>
      <c r="F47" t="n">
        <v>-1</v>
      </c>
      <c r="G47" t="n">
        <v>162</v>
      </c>
      <c r="H47" t="n">
        <v>12</v>
      </c>
      <c r="I47" t="s">
        <v>267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-0.5</v>
      </c>
      <c r="P47" t="n">
        <v>12</v>
      </c>
      <c r="Q47" t="n">
        <v>12</v>
      </c>
      <c r="R47" t="s">
        <v>268</v>
      </c>
      <c r="S47" t="s">
        <v>267</v>
      </c>
      <c r="T47" t="n">
        <v>-0.25</v>
      </c>
    </row>
    <row r="48">
      <c r="A48" t="s">
        <v>31</v>
      </c>
      <c r="B48" t="n">
        <v>0.98</v>
      </c>
      <c r="C48" t="n">
        <v>0.89</v>
      </c>
      <c r="D48" t="n">
        <v>1.03</v>
      </c>
      <c r="E48" t="n">
        <v>-2.5</v>
      </c>
      <c r="F48" t="n">
        <v>-0.75</v>
      </c>
      <c r="G48" t="n">
        <v>172</v>
      </c>
      <c r="H48" t="n">
        <v>12</v>
      </c>
      <c r="I48" t="s">
        <v>264</v>
      </c>
      <c r="J48" t="n">
        <v>0</v>
      </c>
      <c r="K48" t="n">
        <v>0</v>
      </c>
      <c r="L48" t="n">
        <v>0</v>
      </c>
      <c r="M48" t="n">
        <v>12</v>
      </c>
      <c r="N48" t="n">
        <v>0</v>
      </c>
      <c r="O48" t="n">
        <v>-0.25</v>
      </c>
      <c r="P48" t="n">
        <v>168</v>
      </c>
      <c r="Q48" t="n">
        <v>12</v>
      </c>
      <c r="R48" t="s">
        <v>267</v>
      </c>
      <c r="S48" t="s">
        <v>269</v>
      </c>
      <c r="T48" t="n">
        <v>0</v>
      </c>
    </row>
    <row r="49">
      <c r="A49" t="s">
        <v>31</v>
      </c>
      <c r="B49" t="n">
        <v>1.03</v>
      </c>
      <c r="C49" t="n">
        <v>0.72</v>
      </c>
      <c r="D49" t="n">
        <v>1.02</v>
      </c>
      <c r="E49" t="n">
        <v>-2.25</v>
      </c>
      <c r="F49" t="n">
        <v>0</v>
      </c>
      <c r="G49" t="n">
        <v>10</v>
      </c>
      <c r="H49" t="n">
        <v>12</v>
      </c>
      <c r="I49" t="s">
        <v>267</v>
      </c>
      <c r="J49" t="n">
        <v>0</v>
      </c>
      <c r="K49" t="n">
        <v>0</v>
      </c>
      <c r="L49" t="n">
        <v>0</v>
      </c>
      <c r="M49" t="n">
        <v>12</v>
      </c>
      <c r="N49" t="n">
        <v>-1</v>
      </c>
      <c r="O49" t="n">
        <v>0</v>
      </c>
      <c r="P49" t="n">
        <v>141</v>
      </c>
      <c r="Q49" t="n">
        <v>12</v>
      </c>
      <c r="R49" t="s">
        <v>264</v>
      </c>
      <c r="S49" t="s">
        <v>272</v>
      </c>
      <c r="T49" t="n">
        <v>-1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277</v>
      </c>
      <c r="B1" t="s">
        <v>278</v>
      </c>
      <c r="C1" t="s">
        <v>279</v>
      </c>
      <c r="D1" t="s">
        <v>280</v>
      </c>
      <c r="E1" t="s">
        <v>281</v>
      </c>
    </row>
    <row r="2">
      <c r="A2" t="s">
        <v>282</v>
      </c>
      <c r="B2" t="n">
        <v>-2.25</v>
      </c>
      <c r="C2" t="n">
        <v>35</v>
      </c>
      <c r="D2" t="n">
        <v>0</v>
      </c>
      <c r="E2" t="n">
        <v>40</v>
      </c>
    </row>
    <row r="3">
      <c r="A3" t="s">
        <v>283</v>
      </c>
      <c r="B3" t="n">
        <v>-0.25</v>
      </c>
      <c r="C3" t="n">
        <v>3</v>
      </c>
      <c r="D3" t="n">
        <v>-0.25</v>
      </c>
      <c r="E3" t="n">
        <v>152</v>
      </c>
    </row>
    <row r="4">
      <c r="A4" t="s">
        <v>282</v>
      </c>
      <c r="B4" t="n">
        <v>0</v>
      </c>
      <c r="C4" t="n">
        <v>8</v>
      </c>
      <c r="D4" t="n">
        <v>-0.25</v>
      </c>
      <c r="E4" t="n">
        <v>75</v>
      </c>
    </row>
    <row r="5">
      <c r="A5" t="s">
        <v>283</v>
      </c>
      <c r="B5" t="n">
        <v>-1.5</v>
      </c>
      <c r="C5" t="n">
        <v>92</v>
      </c>
      <c r="D5" t="n">
        <v>-0.25</v>
      </c>
      <c r="E5" t="n">
        <v>97</v>
      </c>
    </row>
    <row r="6">
      <c r="A6" t="s">
        <v>282</v>
      </c>
      <c r="B6" t="n">
        <v>-0.75</v>
      </c>
      <c r="C6" t="n">
        <v>17</v>
      </c>
      <c r="D6" t="n">
        <v>-0.25</v>
      </c>
      <c r="E6" t="n">
        <v>20</v>
      </c>
    </row>
    <row r="7">
      <c r="A7" t="s">
        <v>283</v>
      </c>
      <c r="B7" t="n">
        <v>-1.5</v>
      </c>
      <c r="C7" t="n">
        <v>161</v>
      </c>
      <c r="D7" t="n">
        <v>-0.25</v>
      </c>
      <c r="E7" t="n">
        <v>12</v>
      </c>
    </row>
    <row r="8">
      <c r="A8" t="s">
        <v>282</v>
      </c>
      <c r="B8" t="n">
        <v>-2.5</v>
      </c>
      <c r="C8" t="n">
        <v>3</v>
      </c>
      <c r="D8" t="n">
        <v>0</v>
      </c>
      <c r="E8" t="n">
        <v>9</v>
      </c>
    </row>
    <row r="9">
      <c r="A9" t="s">
        <v>282</v>
      </c>
      <c r="B9" t="n">
        <v>-0.5</v>
      </c>
      <c r="C9" t="n">
        <v>13</v>
      </c>
      <c r="D9" t="n">
        <v>-0.25</v>
      </c>
      <c r="E9" t="n">
        <v>173</v>
      </c>
    </row>
    <row r="10">
      <c r="A10" t="s">
        <v>282</v>
      </c>
      <c r="B10" t="n">
        <v>0</v>
      </c>
      <c r="C10" t="n">
        <v>3</v>
      </c>
      <c r="D10" t="n">
        <v>-0.25</v>
      </c>
      <c r="E10" t="n">
        <v>140</v>
      </c>
    </row>
    <row r="11">
      <c r="A11" t="s">
        <v>283</v>
      </c>
      <c r="B11" t="n">
        <v>0</v>
      </c>
      <c r="C11" t="n">
        <v>1</v>
      </c>
      <c r="D11" t="n">
        <v>-0.5</v>
      </c>
      <c r="E11" t="n">
        <v>23</v>
      </c>
    </row>
    <row r="12">
      <c r="A12" t="s">
        <v>282</v>
      </c>
      <c r="B12" t="n">
        <v>0</v>
      </c>
      <c r="C12" t="n">
        <v>163</v>
      </c>
      <c r="D12" t="n">
        <v>-0.25</v>
      </c>
      <c r="E12" t="n">
        <v>149</v>
      </c>
    </row>
    <row r="13">
      <c r="A13" t="s">
        <v>283</v>
      </c>
      <c r="B13" t="n">
        <v>-0.25</v>
      </c>
      <c r="C13" t="n">
        <v>47</v>
      </c>
      <c r="D13" t="n">
        <v>-0.5</v>
      </c>
      <c r="E13" t="n">
        <v>48</v>
      </c>
    </row>
    <row r="14">
      <c r="A14" t="s">
        <v>282</v>
      </c>
      <c r="B14" t="n">
        <v>-0.5</v>
      </c>
      <c r="C14" t="n">
        <v>7</v>
      </c>
      <c r="D14" t="n">
        <v>-0.25</v>
      </c>
      <c r="E14" t="n">
        <v>21</v>
      </c>
    </row>
    <row r="15">
      <c r="A15" t="s">
        <v>283</v>
      </c>
      <c r="B15" t="n">
        <v>-0.5</v>
      </c>
      <c r="C15" t="n">
        <v>180</v>
      </c>
      <c r="D15" t="n">
        <v>-0.5</v>
      </c>
      <c r="E15" t="n">
        <v>16</v>
      </c>
    </row>
    <row r="16">
      <c r="A16" t="s">
        <v>282</v>
      </c>
      <c r="B16" t="n">
        <v>-0.75</v>
      </c>
      <c r="C16" t="n">
        <v>85</v>
      </c>
      <c r="D16" t="n">
        <v>0</v>
      </c>
      <c r="E16" t="n">
        <v>137</v>
      </c>
    </row>
    <row r="17">
      <c r="A17" t="s">
        <v>283</v>
      </c>
      <c r="B17" t="n">
        <v>-0.75</v>
      </c>
      <c r="C17" t="n">
        <v>14</v>
      </c>
      <c r="D17" t="n">
        <v>-0.5</v>
      </c>
      <c r="E17" t="n">
        <v>167</v>
      </c>
    </row>
    <row r="18">
      <c r="A18" t="s">
        <v>282</v>
      </c>
      <c r="B18" t="n">
        <v>-1.25</v>
      </c>
      <c r="C18" t="n">
        <v>75</v>
      </c>
      <c r="D18" t="n">
        <v>-0.5</v>
      </c>
      <c r="E18" t="n">
        <v>50</v>
      </c>
    </row>
    <row r="19">
      <c r="A19" t="s">
        <v>283</v>
      </c>
      <c r="B19" t="n">
        <v>-1.25</v>
      </c>
      <c r="C19" t="n">
        <v>17</v>
      </c>
      <c r="D19" t="n">
        <v>0</v>
      </c>
      <c r="E19" t="n">
        <v>18</v>
      </c>
    </row>
    <row r="20">
      <c r="A20" t="s">
        <v>282</v>
      </c>
      <c r="B20" t="n">
        <v>-2.75</v>
      </c>
      <c r="C20" t="n">
        <v>170</v>
      </c>
      <c r="D20" t="n">
        <v>-0.5</v>
      </c>
      <c r="E20" t="n">
        <v>13</v>
      </c>
    </row>
    <row r="21">
      <c r="A21" t="s">
        <v>282</v>
      </c>
      <c r="B21" t="n">
        <v>-0.5</v>
      </c>
      <c r="C21" t="n">
        <v>76</v>
      </c>
      <c r="D21" t="n">
        <v>-0.25</v>
      </c>
      <c r="E21" t="n">
        <v>62</v>
      </c>
    </row>
    <row r="22">
      <c r="A22" t="s">
        <v>282</v>
      </c>
      <c r="B22" t="n">
        <v>0</v>
      </c>
      <c r="C22" t="n">
        <v>170</v>
      </c>
      <c r="D22" t="n">
        <v>-0.25</v>
      </c>
      <c r="E22" t="n">
        <v>165</v>
      </c>
    </row>
    <row r="23">
      <c r="A23" t="s">
        <v>283</v>
      </c>
      <c r="B23" t="n">
        <v>-0.5</v>
      </c>
      <c r="C23" t="n">
        <v>149</v>
      </c>
      <c r="D23" t="n">
        <v>-0.25</v>
      </c>
      <c r="E23" t="n">
        <v>161</v>
      </c>
    </row>
    <row r="24">
      <c r="A24" t="s">
        <v>283</v>
      </c>
      <c r="B24" t="n">
        <v>-0.75</v>
      </c>
      <c r="C24" t="n">
        <v>172</v>
      </c>
      <c r="D24" t="n">
        <v>-0.25</v>
      </c>
      <c r="E24" t="n">
        <v>171</v>
      </c>
    </row>
    <row r="25">
      <c r="A25" t="s">
        <v>282</v>
      </c>
      <c r="B25" t="n">
        <v>-0.25</v>
      </c>
      <c r="C25" t="n">
        <v>161</v>
      </c>
      <c r="D25" t="n">
        <v>0</v>
      </c>
      <c r="E25" t="n">
        <v>80</v>
      </c>
    </row>
    <row r="26">
      <c r="A26" t="s">
        <v>283</v>
      </c>
      <c r="B26" t="n">
        <v>0</v>
      </c>
      <c r="C26" t="n">
        <v>100</v>
      </c>
      <c r="D26" t="n">
        <v>0</v>
      </c>
      <c r="E26" t="n">
        <v>124</v>
      </c>
    </row>
    <row r="27">
      <c r="A27" t="s">
        <v>282</v>
      </c>
      <c r="B27" t="n">
        <v>-0.5</v>
      </c>
      <c r="C27" t="n">
        <v>82</v>
      </c>
      <c r="D27" t="n">
        <v>-0.5</v>
      </c>
      <c r="E27" t="n">
        <v>86</v>
      </c>
    </row>
    <row r="28">
      <c r="A28" t="s">
        <v>283</v>
      </c>
      <c r="B28" t="n">
        <v>-1</v>
      </c>
      <c r="C28" t="n">
        <v>180</v>
      </c>
      <c r="D28" t="n">
        <v>0</v>
      </c>
      <c r="E28" t="n">
        <v>178</v>
      </c>
    </row>
    <row r="29">
      <c r="A29" t="s">
        <v>283</v>
      </c>
      <c r="B29" t="n">
        <v>-0.5</v>
      </c>
      <c r="C29" t="n">
        <v>86</v>
      </c>
      <c r="D29" t="n">
        <v>-0.25</v>
      </c>
      <c r="E29" t="n">
        <v>106</v>
      </c>
    </row>
    <row r="30">
      <c r="A30" t="s">
        <v>282</v>
      </c>
      <c r="B30" t="n">
        <v>-0.75</v>
      </c>
      <c r="C30" t="n">
        <v>171</v>
      </c>
      <c r="D30" t="n">
        <v>-0.5</v>
      </c>
      <c r="E30" t="n">
        <v>129</v>
      </c>
    </row>
    <row r="31">
      <c r="A31" t="s">
        <v>283</v>
      </c>
      <c r="B31" t="n">
        <v>-1.25</v>
      </c>
      <c r="C31" t="n">
        <v>23</v>
      </c>
      <c r="D31" t="n">
        <v>-0.75</v>
      </c>
      <c r="E31" t="n">
        <v>166</v>
      </c>
    </row>
    <row r="32">
      <c r="A32" t="s">
        <v>282</v>
      </c>
      <c r="B32" t="n">
        <v>0</v>
      </c>
      <c r="C32" t="n">
        <v>5</v>
      </c>
      <c r="D32" t="n">
        <v>0</v>
      </c>
      <c r="E32" t="n">
        <v>177</v>
      </c>
    </row>
    <row r="33">
      <c r="A33" t="s">
        <v>283</v>
      </c>
      <c r="B33" t="n">
        <v>-0.25</v>
      </c>
      <c r="C33" t="n">
        <v>67</v>
      </c>
      <c r="D33" t="n">
        <v>-0.25</v>
      </c>
      <c r="E33" t="n">
        <v>8</v>
      </c>
    </row>
    <row r="34">
      <c r="A34" t="s">
        <v>283</v>
      </c>
      <c r="B34" t="n">
        <v>-0.75</v>
      </c>
      <c r="C34" t="n">
        <v>100</v>
      </c>
      <c r="D34" t="n">
        <v>0</v>
      </c>
      <c r="E34" t="n">
        <v>86</v>
      </c>
    </row>
    <row r="35">
      <c r="A35" t="s">
        <v>282</v>
      </c>
      <c r="B35" t="n">
        <v>-0.25</v>
      </c>
      <c r="C35" t="n">
        <v>89</v>
      </c>
      <c r="D35" t="n">
        <v>-0.25</v>
      </c>
      <c r="E35" t="n">
        <v>106</v>
      </c>
    </row>
    <row r="36">
      <c r="A36" t="s">
        <v>283</v>
      </c>
      <c r="B36" t="n">
        <v>-0.5</v>
      </c>
      <c r="C36" t="n">
        <v>84</v>
      </c>
      <c r="D36" t="n">
        <v>-0.25</v>
      </c>
      <c r="E36" t="n">
        <v>101</v>
      </c>
    </row>
    <row r="37">
      <c r="A37" t="s">
        <v>282</v>
      </c>
      <c r="B37" t="n">
        <v>-0.75</v>
      </c>
      <c r="C37" t="n">
        <v>168</v>
      </c>
      <c r="D37" t="n">
        <v>-0.75</v>
      </c>
      <c r="E37" t="n">
        <v>163</v>
      </c>
    </row>
    <row r="38">
      <c r="A38" t="s">
        <v>283</v>
      </c>
      <c r="B38" t="n">
        <v>-0.25</v>
      </c>
      <c r="C38" t="n">
        <v>40</v>
      </c>
      <c r="D38" t="n">
        <v>0</v>
      </c>
      <c r="E38" t="n">
        <v>139</v>
      </c>
    </row>
    <row r="39">
      <c r="A39" t="s">
        <v>283</v>
      </c>
      <c r="B39" t="n">
        <v>-0.25</v>
      </c>
      <c r="C39" t="n">
        <v>87</v>
      </c>
      <c r="D39" t="n">
        <v>0</v>
      </c>
      <c r="E39" t="n">
        <v>149</v>
      </c>
    </row>
    <row r="40">
      <c r="A40" t="s">
        <v>282</v>
      </c>
      <c r="B40" t="n">
        <v>-0.25</v>
      </c>
      <c r="C40" t="n">
        <v>100</v>
      </c>
      <c r="D40" t="n">
        <v>-0.25</v>
      </c>
      <c r="E40" t="n">
        <v>122</v>
      </c>
    </row>
    <row r="41">
      <c r="A41" t="s">
        <v>283</v>
      </c>
      <c r="B41" t="n">
        <v>-0.25</v>
      </c>
      <c r="C41" t="n">
        <v>156</v>
      </c>
      <c r="D41" t="n">
        <v>0</v>
      </c>
      <c r="E41" t="n">
        <v>91</v>
      </c>
    </row>
    <row r="42">
      <c r="A42" t="s">
        <v>282</v>
      </c>
      <c r="B42" t="n">
        <v>-0.25</v>
      </c>
      <c r="C42" t="n">
        <v>79</v>
      </c>
      <c r="D42" t="n">
        <v>0</v>
      </c>
      <c r="E42" t="n">
        <v>65</v>
      </c>
    </row>
    <row r="43">
      <c r="A43" t="s">
        <v>282</v>
      </c>
      <c r="B43" t="n">
        <v>-0.25</v>
      </c>
      <c r="C43" t="n">
        <v>92</v>
      </c>
      <c r="D43" t="n">
        <v>-0.25</v>
      </c>
      <c r="E43" t="n">
        <v>69</v>
      </c>
    </row>
    <row r="44">
      <c r="A44" t="s">
        <v>283</v>
      </c>
      <c r="B44" t="n">
        <v>-1</v>
      </c>
      <c r="C44" t="n">
        <v>162</v>
      </c>
      <c r="D44" t="n">
        <v>0</v>
      </c>
      <c r="E44" t="n">
        <v>78</v>
      </c>
    </row>
    <row r="45">
      <c r="A45" t="s">
        <v>283</v>
      </c>
      <c r="B45" t="n">
        <v>-0.25</v>
      </c>
      <c r="C45" t="n">
        <v>96</v>
      </c>
      <c r="D45" t="n">
        <v>0</v>
      </c>
      <c r="E45" t="n">
        <v>86</v>
      </c>
    </row>
    <row r="46">
      <c r="A46" t="s">
        <v>282</v>
      </c>
      <c r="B46" t="n">
        <v>-1.25</v>
      </c>
      <c r="C46" t="n">
        <v>98</v>
      </c>
      <c r="D46" t="n">
        <v>-0.25</v>
      </c>
      <c r="E46" t="n">
        <v>98</v>
      </c>
    </row>
    <row r="47">
      <c r="A47" t="s">
        <v>283</v>
      </c>
      <c r="B47" t="n">
        <v>-1</v>
      </c>
      <c r="C47" t="n">
        <v>58</v>
      </c>
      <c r="D47" t="n">
        <v>0</v>
      </c>
      <c r="E47" t="n">
        <v>65</v>
      </c>
    </row>
    <row r="48">
      <c r="A48" t="s">
        <v>282</v>
      </c>
      <c r="B48" t="n">
        <v>-0.25</v>
      </c>
      <c r="C48" t="n">
        <v>99</v>
      </c>
      <c r="D48" t="n">
        <v>0</v>
      </c>
      <c r="E48" t="n">
        <v>64</v>
      </c>
    </row>
    <row r="49">
      <c r="A49" t="s">
        <v>283</v>
      </c>
      <c r="B49" t="n">
        <v>-0.25</v>
      </c>
      <c r="C49" t="n">
        <v>96</v>
      </c>
      <c r="D49" t="n">
        <v>0</v>
      </c>
      <c r="E49" t="n">
        <v>43</v>
      </c>
    </row>
    <row r="50">
      <c r="A50" t="s">
        <v>282</v>
      </c>
      <c r="B50" t="n">
        <v>-0.5</v>
      </c>
      <c r="C50" t="n">
        <v>95</v>
      </c>
      <c r="D50" t="n">
        <v>-0.25</v>
      </c>
      <c r="E50" t="n">
        <v>90</v>
      </c>
    </row>
    <row r="51">
      <c r="A51" t="s">
        <v>282</v>
      </c>
      <c r="B51" t="n">
        <v>-0.75</v>
      </c>
      <c r="C51" t="n">
        <v>23</v>
      </c>
      <c r="D51" t="n">
        <v>-0.25</v>
      </c>
      <c r="E51" t="n">
        <v>5</v>
      </c>
    </row>
    <row r="52">
      <c r="A52" t="s">
        <v>283</v>
      </c>
      <c r="B52" t="n">
        <v>-0.75</v>
      </c>
      <c r="C52" t="n">
        <v>6</v>
      </c>
      <c r="D52" t="n">
        <v>0</v>
      </c>
      <c r="E52" t="n">
        <v>26</v>
      </c>
    </row>
    <row r="53">
      <c r="A53" t="s">
        <v>282</v>
      </c>
      <c r="B53" t="n">
        <v>-0.75</v>
      </c>
      <c r="C53" t="n">
        <v>178</v>
      </c>
      <c r="D53" t="n">
        <v>-0.25</v>
      </c>
      <c r="E53" t="n">
        <v>4</v>
      </c>
    </row>
    <row r="54">
      <c r="A54" t="s">
        <v>283</v>
      </c>
      <c r="B54" t="n">
        <v>-0.5</v>
      </c>
      <c r="C54" t="n">
        <v>84</v>
      </c>
      <c r="D54" t="n">
        <v>0</v>
      </c>
      <c r="E54" t="n">
        <v>138</v>
      </c>
    </row>
    <row r="55">
      <c r="A55" t="s">
        <v>282</v>
      </c>
      <c r="B55" t="n">
        <v>-0.5</v>
      </c>
      <c r="C55" t="n">
        <v>94</v>
      </c>
      <c r="D55" t="n">
        <v>-0.25</v>
      </c>
      <c r="E55" t="n">
        <v>96</v>
      </c>
    </row>
    <row r="56">
      <c r="A56" t="s">
        <v>283</v>
      </c>
      <c r="B56" t="n">
        <v>-0.5</v>
      </c>
      <c r="C56" t="n">
        <v>167</v>
      </c>
      <c r="D56" t="n">
        <v>0</v>
      </c>
      <c r="E56" t="n">
        <v>24</v>
      </c>
    </row>
    <row r="57">
      <c r="A57" t="s">
        <v>283</v>
      </c>
      <c r="B57" t="n">
        <v>-0.5</v>
      </c>
      <c r="C57" t="n">
        <v>11</v>
      </c>
      <c r="D57" t="n">
        <v>-0.25</v>
      </c>
      <c r="E57" t="n">
        <v>2</v>
      </c>
    </row>
    <row r="58">
      <c r="A58" t="s">
        <v>282</v>
      </c>
      <c r="B58" t="n">
        <v>-0.25</v>
      </c>
      <c r="C58" t="n">
        <v>166</v>
      </c>
      <c r="D58" t="n">
        <v>-0.5</v>
      </c>
      <c r="E58" t="n">
        <v>1</v>
      </c>
    </row>
    <row r="59">
      <c r="A59" t="s">
        <v>283</v>
      </c>
      <c r="B59" t="n">
        <v>-1.25</v>
      </c>
      <c r="C59" t="n">
        <v>169</v>
      </c>
      <c r="D59" t="n">
        <v>-0.25</v>
      </c>
      <c r="E59" t="n">
        <v>176</v>
      </c>
    </row>
    <row r="60">
      <c r="A60" t="s">
        <v>282</v>
      </c>
      <c r="B60" t="n">
        <v>-1.25</v>
      </c>
      <c r="C60" t="n">
        <v>22</v>
      </c>
      <c r="D60" t="n">
        <v>-0.25</v>
      </c>
      <c r="E60" t="n">
        <v>33</v>
      </c>
    </row>
    <row r="61">
      <c r="A61" t="s">
        <v>283</v>
      </c>
      <c r="B61" t="n">
        <v>-2.75</v>
      </c>
      <c r="C61" t="n">
        <v>0</v>
      </c>
      <c r="D61" t="n">
        <v>-0.5</v>
      </c>
      <c r="E61" t="n">
        <v>155</v>
      </c>
    </row>
    <row r="62">
      <c r="A62" t="s">
        <v>283</v>
      </c>
      <c r="B62" t="n">
        <v>-0.25</v>
      </c>
      <c r="C62" t="n">
        <v>170</v>
      </c>
      <c r="D62" t="n">
        <v>0</v>
      </c>
      <c r="E62" t="n">
        <v>157</v>
      </c>
    </row>
    <row r="63">
      <c r="A63" t="s">
        <v>282</v>
      </c>
      <c r="B63" t="n">
        <v>-0.5</v>
      </c>
      <c r="C63" t="n">
        <v>18</v>
      </c>
      <c r="D63" t="n">
        <v>-0.5</v>
      </c>
      <c r="E63" t="n">
        <v>43</v>
      </c>
    </row>
    <row r="64">
      <c r="A64" t="s">
        <v>283</v>
      </c>
      <c r="B64" t="n">
        <v>-2.25</v>
      </c>
      <c r="C64" t="n">
        <v>82</v>
      </c>
      <c r="D64" t="n">
        <v>-0.5</v>
      </c>
      <c r="E64" t="n">
        <v>54</v>
      </c>
    </row>
    <row r="65">
      <c r="A65" t="s">
        <v>283</v>
      </c>
      <c r="B65" t="n">
        <v>-0.75</v>
      </c>
      <c r="C65" t="n">
        <v>54</v>
      </c>
      <c r="D65" t="n">
        <v>0</v>
      </c>
      <c r="E65" t="n">
        <v>167</v>
      </c>
    </row>
    <row r="66">
      <c r="A66" t="s">
        <v>282</v>
      </c>
      <c r="B66" t="n">
        <v>-0.5</v>
      </c>
      <c r="C66" t="n">
        <v>177</v>
      </c>
      <c r="D66" t="n">
        <v>-0.25</v>
      </c>
      <c r="E66" t="n">
        <v>3</v>
      </c>
    </row>
    <row r="67">
      <c r="A67" t="s">
        <v>283</v>
      </c>
      <c r="B67" t="n">
        <v>-0.25</v>
      </c>
      <c r="C67" t="n">
        <v>8</v>
      </c>
      <c r="D67" t="n">
        <v>-0.25</v>
      </c>
      <c r="E67" t="n">
        <v>33</v>
      </c>
    </row>
    <row r="68">
      <c r="A68" t="s">
        <v>283</v>
      </c>
      <c r="B68" t="n">
        <v>0</v>
      </c>
      <c r="C68" t="n">
        <v>169</v>
      </c>
      <c r="D68" t="n">
        <v>0</v>
      </c>
      <c r="E68" t="n">
        <v>145</v>
      </c>
    </row>
    <row r="69">
      <c r="A69" t="s">
        <v>282</v>
      </c>
      <c r="B69" t="n">
        <v>-0.5</v>
      </c>
      <c r="C69" t="n">
        <v>177</v>
      </c>
      <c r="D69" t="n">
        <v>-0.25</v>
      </c>
      <c r="E69" t="n">
        <v>9</v>
      </c>
    </row>
    <row r="70">
      <c r="A70" t="s">
        <v>283</v>
      </c>
      <c r="B70" t="n">
        <v>-0.25</v>
      </c>
      <c r="C70" t="n">
        <v>17</v>
      </c>
      <c r="D70" t="n">
        <v>-0.5</v>
      </c>
      <c r="E70" t="n">
        <v>178</v>
      </c>
    </row>
    <row r="71">
      <c r="A71" t="s">
        <v>282</v>
      </c>
      <c r="B71" t="n">
        <v>-1.5</v>
      </c>
      <c r="C71" t="n">
        <v>16</v>
      </c>
      <c r="D71" t="n">
        <v>0</v>
      </c>
      <c r="E71" t="n">
        <v>7</v>
      </c>
    </row>
    <row r="72">
      <c r="A72" t="s">
        <v>283</v>
      </c>
      <c r="B72" t="n">
        <v>-0.25</v>
      </c>
      <c r="C72" t="n">
        <v>5</v>
      </c>
      <c r="D72" t="n">
        <v>0</v>
      </c>
      <c r="E72" t="n">
        <v>149</v>
      </c>
    </row>
    <row r="73">
      <c r="A73" t="s">
        <v>282</v>
      </c>
      <c r="B73" t="n">
        <v>-0.5</v>
      </c>
      <c r="C73" t="n">
        <v>9</v>
      </c>
      <c r="D73" t="n">
        <v>-0.25</v>
      </c>
      <c r="E73" t="n">
        <v>15</v>
      </c>
    </row>
    <row r="74">
      <c r="A74" t="s">
        <v>283</v>
      </c>
      <c r="B74" t="n">
        <v>0</v>
      </c>
      <c r="C74" t="n">
        <v>68</v>
      </c>
      <c r="D74" t="n">
        <v>-0.25</v>
      </c>
      <c r="E74" t="n">
        <v>174</v>
      </c>
    </row>
    <row r="75">
      <c r="A75" t="s">
        <v>282</v>
      </c>
      <c r="B75" t="n">
        <v>-0.5</v>
      </c>
      <c r="C75" t="n">
        <v>98</v>
      </c>
      <c r="D75" t="n">
        <v>-0.25</v>
      </c>
      <c r="E75" t="n">
        <v>77</v>
      </c>
    </row>
    <row r="76">
      <c r="A76" t="s">
        <v>283</v>
      </c>
      <c r="B76" t="n">
        <v>-0.5</v>
      </c>
      <c r="C76" t="n">
        <v>95</v>
      </c>
      <c r="D76" t="n">
        <v>-0.25</v>
      </c>
      <c r="E76" t="n">
        <v>95</v>
      </c>
    </row>
    <row r="77">
      <c r="A77" t="s">
        <v>282</v>
      </c>
      <c r="B77" t="n">
        <v>-1.25</v>
      </c>
      <c r="C77" t="n">
        <v>4</v>
      </c>
      <c r="D77" t="n">
        <v>-0.25</v>
      </c>
      <c r="E77" t="n">
        <v>46</v>
      </c>
    </row>
    <row r="78">
      <c r="A78" t="s">
        <v>283</v>
      </c>
      <c r="B78" t="n">
        <v>-0.5</v>
      </c>
      <c r="C78" t="n">
        <v>82</v>
      </c>
      <c r="D78" t="n">
        <v>-0.25</v>
      </c>
      <c r="E78" t="n">
        <v>61</v>
      </c>
    </row>
    <row r="79">
      <c r="A79" t="s">
        <v>283</v>
      </c>
      <c r="B79" t="n">
        <v>-0.25</v>
      </c>
      <c r="C79" t="n">
        <v>94</v>
      </c>
      <c r="D79" t="n">
        <v>0</v>
      </c>
      <c r="E79" t="n">
        <v>18</v>
      </c>
    </row>
    <row r="80">
      <c r="A80" t="s">
        <v>282</v>
      </c>
      <c r="B80" t="n">
        <v>-0.25</v>
      </c>
      <c r="C80" t="n">
        <v>24</v>
      </c>
      <c r="D80" t="n">
        <v>-0.25</v>
      </c>
      <c r="E80" t="n">
        <v>152</v>
      </c>
    </row>
    <row r="81">
      <c r="A81" t="s">
        <v>283</v>
      </c>
      <c r="B81" t="n">
        <v>-1</v>
      </c>
      <c r="C81" t="n">
        <v>161</v>
      </c>
      <c r="D81" t="n">
        <v>-0.25</v>
      </c>
      <c r="E81" t="n">
        <v>147</v>
      </c>
    </row>
    <row r="82">
      <c r="A82" t="s">
        <v>282</v>
      </c>
      <c r="B82" t="n">
        <v>-0.5</v>
      </c>
      <c r="C82" t="n">
        <v>62</v>
      </c>
      <c r="D82" t="n">
        <v>-0.25</v>
      </c>
      <c r="E82" t="n">
        <v>92</v>
      </c>
    </row>
    <row r="83">
      <c r="A83" t="s">
        <v>282</v>
      </c>
      <c r="B83" t="n">
        <v>-0.5</v>
      </c>
      <c r="C83" t="n">
        <v>173</v>
      </c>
      <c r="D83" t="n">
        <v>-0.5</v>
      </c>
      <c r="E83" t="n">
        <v>24</v>
      </c>
    </row>
    <row r="84">
      <c r="A84" t="s">
        <v>283</v>
      </c>
      <c r="B84" t="n">
        <v>-0.25</v>
      </c>
      <c r="C84" t="n">
        <v>11</v>
      </c>
      <c r="D84" t="n">
        <v>0</v>
      </c>
      <c r="E84" t="n">
        <v>160</v>
      </c>
    </row>
    <row r="85">
      <c r="A85" t="s">
        <v>282</v>
      </c>
      <c r="B85" t="n">
        <v>-1</v>
      </c>
      <c r="C85" t="n">
        <v>159</v>
      </c>
      <c r="D85" t="n">
        <v>0</v>
      </c>
      <c r="E85" t="n">
        <v>13</v>
      </c>
    </row>
    <row r="86">
      <c r="A86" t="s">
        <v>283</v>
      </c>
      <c r="B86" t="n">
        <v>-1</v>
      </c>
      <c r="C86" t="n">
        <v>110</v>
      </c>
      <c r="D86" t="n">
        <v>-0.25</v>
      </c>
      <c r="E86" t="n">
        <v>121</v>
      </c>
    </row>
    <row r="87">
      <c r="A87" t="s">
        <v>283</v>
      </c>
      <c r="B87" t="n">
        <v>-1.25</v>
      </c>
      <c r="C87" t="n">
        <v>14</v>
      </c>
      <c r="D87" t="n">
        <v>-0.25</v>
      </c>
      <c r="E87" t="n">
        <v>13</v>
      </c>
    </row>
    <row r="88">
      <c r="A88" t="s">
        <v>283</v>
      </c>
      <c r="B88" t="n">
        <v>-1</v>
      </c>
      <c r="C88" t="n">
        <v>87</v>
      </c>
      <c r="D88" t="n">
        <v>-0.25</v>
      </c>
      <c r="E88" t="n">
        <v>102</v>
      </c>
    </row>
    <row r="89">
      <c r="A89" t="s">
        <v>282</v>
      </c>
      <c r="B89" t="n">
        <v>-0.75</v>
      </c>
      <c r="C89" t="n">
        <v>15</v>
      </c>
      <c r="D89" t="n">
        <v>0</v>
      </c>
      <c r="E89" t="n">
        <v>108</v>
      </c>
    </row>
    <row r="90">
      <c r="A90" t="s">
        <v>283</v>
      </c>
      <c r="B90" t="n">
        <v>-0.5</v>
      </c>
      <c r="C90" t="n">
        <v>177</v>
      </c>
      <c r="D90" t="n">
        <v>-0.25</v>
      </c>
      <c r="E90" t="n">
        <v>14</v>
      </c>
    </row>
    <row r="91">
      <c r="A91" t="s">
        <v>282</v>
      </c>
      <c r="B91" t="n">
        <v>-0.25</v>
      </c>
      <c r="C91" t="n">
        <v>81</v>
      </c>
      <c r="D91" t="n">
        <v>-0.25</v>
      </c>
      <c r="E91" t="n">
        <v>104</v>
      </c>
    </row>
    <row r="92">
      <c r="A92" t="s">
        <v>283</v>
      </c>
      <c r="B92" t="n">
        <v>-0.5</v>
      </c>
      <c r="C92" t="n">
        <v>17</v>
      </c>
      <c r="D92" t="n">
        <v>0</v>
      </c>
      <c r="E92" t="n">
        <v>10</v>
      </c>
    </row>
    <row r="93">
      <c r="A93" t="s">
        <v>282</v>
      </c>
      <c r="B93" t="n">
        <v>-0.5</v>
      </c>
      <c r="C93" t="n">
        <v>91</v>
      </c>
      <c r="D93" t="n">
        <v>0</v>
      </c>
      <c r="E93" t="n">
        <v>93</v>
      </c>
    </row>
    <row r="94">
      <c r="A94" t="s">
        <v>283</v>
      </c>
      <c r="B94" t="n">
        <v>-0.25</v>
      </c>
      <c r="C94" t="n">
        <v>100</v>
      </c>
      <c r="D94" t="n">
        <v>0</v>
      </c>
      <c r="E94" t="n">
        <v>114</v>
      </c>
    </row>
    <row r="95">
      <c r="A95" t="s">
        <v>283</v>
      </c>
      <c r="B95" t="n">
        <v>-0.5</v>
      </c>
      <c r="C95" t="n">
        <v>10</v>
      </c>
      <c r="D95" t="n">
        <v>-0.25</v>
      </c>
      <c r="E95" t="n">
        <v>176</v>
      </c>
    </row>
    <row r="96">
      <c r="A96" t="s">
        <v>282</v>
      </c>
      <c r="B96" t="n">
        <v>-0.25</v>
      </c>
      <c r="C96" t="n">
        <v>152</v>
      </c>
      <c r="D96" t="n">
        <v>0</v>
      </c>
      <c r="E96" t="n">
        <v>57</v>
      </c>
    </row>
    <row r="97">
      <c r="A97" t="s">
        <v>283</v>
      </c>
      <c r="B97" t="n">
        <v>-0.5</v>
      </c>
      <c r="C97" t="n">
        <v>176</v>
      </c>
      <c r="D97" t="n">
        <v>-0.25</v>
      </c>
      <c r="E97" t="n">
        <v>137</v>
      </c>
    </row>
    <row r="98">
      <c r="A98" t="s">
        <v>282</v>
      </c>
      <c r="B98" t="n">
        <v>-1.5</v>
      </c>
      <c r="C98" t="n">
        <v>3</v>
      </c>
      <c r="D98" t="n">
        <v>-0.25</v>
      </c>
      <c r="E98" t="n">
        <v>2</v>
      </c>
    </row>
    <row r="99">
      <c r="A99" t="s">
        <v>283</v>
      </c>
      <c r="B99" t="n">
        <v>-0.75</v>
      </c>
      <c r="C99" t="n">
        <v>32</v>
      </c>
      <c r="D99" t="n">
        <v>-0.25</v>
      </c>
      <c r="E99" t="n">
        <v>23</v>
      </c>
    </row>
    <row r="100">
      <c r="A100" t="s">
        <v>282</v>
      </c>
      <c r="B100" t="n">
        <v>-0.5</v>
      </c>
      <c r="C100" t="n">
        <v>93</v>
      </c>
      <c r="D100" t="n">
        <v>0</v>
      </c>
      <c r="E100" t="n">
        <v>83</v>
      </c>
    </row>
    <row r="101">
      <c r="A101" t="s">
        <v>283</v>
      </c>
      <c r="B101" t="n">
        <v>-0.5</v>
      </c>
      <c r="C101" t="n">
        <v>2</v>
      </c>
      <c r="D101" t="n">
        <v>-0.25</v>
      </c>
      <c r="E101" t="n">
        <v>171</v>
      </c>
    </row>
    <row r="102">
      <c r="A102" t="s">
        <v>282</v>
      </c>
      <c r="B102" t="n">
        <v>-1</v>
      </c>
      <c r="C102" t="n">
        <v>155</v>
      </c>
      <c r="D102" t="n">
        <v>0</v>
      </c>
      <c r="E102" t="n">
        <v>108</v>
      </c>
    </row>
    <row r="103">
      <c r="A103" t="s">
        <v>283</v>
      </c>
      <c r="B103" t="n">
        <v>-0.5</v>
      </c>
      <c r="C103" t="n">
        <v>180</v>
      </c>
      <c r="D103" t="n">
        <v>-0.5</v>
      </c>
      <c r="E103" t="n">
        <v>13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277</v>
      </c>
      <c r="B1" t="s">
        <v>278</v>
      </c>
      <c r="C1" t="s">
        <v>279</v>
      </c>
      <c r="D1" t="s">
        <v>280</v>
      </c>
      <c r="E1" t="s">
        <v>281</v>
      </c>
    </row>
    <row r="2">
      <c r="A2" t="s">
        <v>283</v>
      </c>
      <c r="B2" t="n">
        <v>-0.25</v>
      </c>
      <c r="C2" t="n">
        <v>94</v>
      </c>
      <c r="D2" t="n">
        <v>0</v>
      </c>
      <c r="E2" t="n">
        <v>154</v>
      </c>
    </row>
    <row r="3">
      <c r="A3" t="s">
        <v>282</v>
      </c>
      <c r="B3" t="n">
        <v>0</v>
      </c>
      <c r="C3" t="n">
        <v>96</v>
      </c>
      <c r="D3" t="n">
        <v>0</v>
      </c>
      <c r="E3" t="n">
        <v>82</v>
      </c>
    </row>
    <row r="4">
      <c r="A4" t="s">
        <v>283</v>
      </c>
      <c r="B4" t="n">
        <v>-0.5</v>
      </c>
      <c r="C4" t="n">
        <v>18</v>
      </c>
      <c r="D4" t="n">
        <v>-0.25</v>
      </c>
      <c r="E4" t="n">
        <v>154</v>
      </c>
    </row>
    <row r="5">
      <c r="A5" t="s">
        <v>282</v>
      </c>
      <c r="B5" t="n">
        <v>-0.5</v>
      </c>
      <c r="C5" t="n">
        <v>159</v>
      </c>
      <c r="D5" t="n">
        <v>-0.5</v>
      </c>
      <c r="E5" t="n">
        <v>128</v>
      </c>
    </row>
    <row r="6">
      <c r="A6" t="s">
        <v>283</v>
      </c>
      <c r="B6" t="n">
        <v>-1</v>
      </c>
      <c r="C6" t="n">
        <v>11</v>
      </c>
      <c r="D6" t="n">
        <v>-0.25</v>
      </c>
      <c r="E6" t="n">
        <v>44</v>
      </c>
    </row>
    <row r="7">
      <c r="A7" t="s">
        <v>282</v>
      </c>
      <c r="B7" t="n">
        <v>-1.25</v>
      </c>
      <c r="C7" t="n">
        <v>32</v>
      </c>
      <c r="D7" t="n">
        <v>0</v>
      </c>
      <c r="E7" t="n">
        <v>43</v>
      </c>
    </row>
    <row r="8">
      <c r="A8" t="s">
        <v>283</v>
      </c>
      <c r="B8" t="n">
        <v>-0.25</v>
      </c>
      <c r="C8" t="n">
        <v>18</v>
      </c>
      <c r="D8" t="n">
        <v>0</v>
      </c>
      <c r="E8" t="n">
        <v>170</v>
      </c>
    </row>
    <row r="9">
      <c r="A9" t="s">
        <v>283</v>
      </c>
      <c r="B9" t="n">
        <v>-0.5</v>
      </c>
      <c r="C9" t="n">
        <v>167</v>
      </c>
      <c r="D9" t="n">
        <v>-0.75</v>
      </c>
      <c r="E9" t="n">
        <v>3</v>
      </c>
    </row>
    <row r="10">
      <c r="A10" t="s">
        <v>282</v>
      </c>
      <c r="B10" t="n">
        <v>-0.75</v>
      </c>
      <c r="C10" t="n">
        <v>94</v>
      </c>
      <c r="D10" t="n">
        <v>-0.25</v>
      </c>
      <c r="E10" t="n">
        <v>63</v>
      </c>
    </row>
    <row r="11">
      <c r="A11" t="s">
        <v>283</v>
      </c>
      <c r="B11" t="n">
        <v>-1.5</v>
      </c>
      <c r="C11" t="n">
        <v>174</v>
      </c>
      <c r="D11" t="n">
        <v>-0.25</v>
      </c>
      <c r="E11" t="n">
        <v>1</v>
      </c>
    </row>
    <row r="12">
      <c r="A12" t="s">
        <v>282</v>
      </c>
      <c r="B12" t="n">
        <v>-0.5</v>
      </c>
      <c r="C12" t="n">
        <v>9</v>
      </c>
      <c r="D12" t="n">
        <v>-0.25</v>
      </c>
      <c r="E12" t="n">
        <v>175</v>
      </c>
    </row>
    <row r="13">
      <c r="A13" t="s">
        <v>283</v>
      </c>
      <c r="B13" t="n">
        <v>-0.5</v>
      </c>
      <c r="C13" t="n">
        <v>4</v>
      </c>
      <c r="D13" t="n">
        <v>-0.25</v>
      </c>
      <c r="E13" t="n">
        <v>179</v>
      </c>
    </row>
    <row r="14">
      <c r="A14" t="s">
        <v>282</v>
      </c>
      <c r="B14" t="n">
        <v>-0.75</v>
      </c>
      <c r="C14" t="n">
        <v>159</v>
      </c>
      <c r="D14" t="n">
        <v>-0.25</v>
      </c>
      <c r="E14" t="n">
        <v>175</v>
      </c>
    </row>
    <row r="15">
      <c r="A15" t="s">
        <v>283</v>
      </c>
      <c r="B15" t="n">
        <v>-0.75</v>
      </c>
      <c r="C15" t="n">
        <v>6</v>
      </c>
      <c r="D15" t="n">
        <v>0</v>
      </c>
      <c r="E15" t="n">
        <v>23</v>
      </c>
    </row>
    <row r="16">
      <c r="A16" t="s">
        <v>283</v>
      </c>
      <c r="B16" t="n">
        <v>0</v>
      </c>
      <c r="C16" t="n">
        <v>19</v>
      </c>
      <c r="D16" t="n">
        <v>0</v>
      </c>
      <c r="E16" t="n">
        <v>52</v>
      </c>
    </row>
    <row r="17">
      <c r="A17" t="s">
        <v>282</v>
      </c>
      <c r="B17" t="n">
        <v>-0.5</v>
      </c>
      <c r="C17" t="n">
        <v>17</v>
      </c>
      <c r="D17" t="n">
        <v>0</v>
      </c>
      <c r="E17" t="n">
        <v>171</v>
      </c>
    </row>
    <row r="18">
      <c r="A18" t="s">
        <v>283</v>
      </c>
      <c r="B18" t="n">
        <v>-1.75</v>
      </c>
      <c r="C18" t="n">
        <v>104</v>
      </c>
      <c r="D18" t="n">
        <v>-0.25</v>
      </c>
      <c r="E18" t="n">
        <v>99</v>
      </c>
    </row>
    <row r="19">
      <c r="A19" t="s">
        <v>282</v>
      </c>
      <c r="B19" t="n">
        <v>-0.5</v>
      </c>
      <c r="C19" t="n">
        <v>38</v>
      </c>
      <c r="D19" t="n">
        <v>-0.5</v>
      </c>
      <c r="E19" t="n">
        <v>3</v>
      </c>
    </row>
    <row r="20">
      <c r="A20" t="s">
        <v>283</v>
      </c>
      <c r="B20" t="n">
        <v>-1</v>
      </c>
      <c r="C20" t="n">
        <v>77</v>
      </c>
      <c r="D20" t="n">
        <v>0</v>
      </c>
      <c r="E20" t="n">
        <v>72</v>
      </c>
    </row>
    <row r="21">
      <c r="A21" t="s">
        <v>282</v>
      </c>
      <c r="B21" t="n">
        <v>-0.25</v>
      </c>
      <c r="C21" t="n">
        <v>85</v>
      </c>
      <c r="D21" t="n">
        <v>-0.25</v>
      </c>
      <c r="E21" t="n">
        <v>78</v>
      </c>
    </row>
    <row r="22">
      <c r="A22" t="s">
        <v>283</v>
      </c>
      <c r="B22" t="n">
        <v>-2.5</v>
      </c>
      <c r="C22" t="n">
        <v>104</v>
      </c>
      <c r="D22" t="n">
        <v>-0.25</v>
      </c>
      <c r="E22" t="n">
        <v>105</v>
      </c>
    </row>
    <row r="23">
      <c r="A23" t="s">
        <v>282</v>
      </c>
      <c r="B23" t="n">
        <v>-0.25</v>
      </c>
      <c r="C23" t="n">
        <v>2</v>
      </c>
      <c r="D23" t="n">
        <v>0</v>
      </c>
      <c r="E23" t="n">
        <v>82</v>
      </c>
    </row>
    <row r="24">
      <c r="A24" t="s">
        <v>283</v>
      </c>
      <c r="B24" t="n">
        <v>-0.5</v>
      </c>
      <c r="C24" t="n">
        <v>87</v>
      </c>
      <c r="D24" t="n">
        <v>-0.25</v>
      </c>
      <c r="E24" t="n">
        <v>90</v>
      </c>
    </row>
    <row r="25">
      <c r="A25" t="s">
        <v>282</v>
      </c>
      <c r="B25" t="n">
        <v>-1.25</v>
      </c>
      <c r="C25" t="n">
        <v>165</v>
      </c>
      <c r="D25" t="n">
        <v>-0.25</v>
      </c>
      <c r="E25" t="n">
        <v>156</v>
      </c>
    </row>
    <row r="26">
      <c r="A26" t="s">
        <v>283</v>
      </c>
      <c r="B26" t="n">
        <v>-2.75</v>
      </c>
      <c r="C26" t="n">
        <v>8</v>
      </c>
      <c r="D26" t="n">
        <v>-0.25</v>
      </c>
      <c r="E26" t="n">
        <v>177</v>
      </c>
    </row>
    <row r="27">
      <c r="A27" t="s">
        <v>282</v>
      </c>
      <c r="B27" t="n">
        <v>0</v>
      </c>
      <c r="C27" t="n">
        <v>174</v>
      </c>
      <c r="D27" t="n">
        <v>-0.25</v>
      </c>
      <c r="E27" t="n">
        <v>116</v>
      </c>
    </row>
    <row r="28">
      <c r="A28" t="s">
        <v>283</v>
      </c>
      <c r="B28" t="n">
        <v>0</v>
      </c>
      <c r="C28" t="n">
        <v>78</v>
      </c>
      <c r="D28" t="n">
        <v>0</v>
      </c>
      <c r="E28" t="n">
        <v>88</v>
      </c>
    </row>
    <row r="29">
      <c r="A29" t="s">
        <v>283</v>
      </c>
      <c r="B29" t="n">
        <v>-0.5</v>
      </c>
      <c r="C29" t="n">
        <v>2</v>
      </c>
      <c r="D29" t="n">
        <v>-0.25</v>
      </c>
      <c r="E29" t="n">
        <v>0</v>
      </c>
    </row>
    <row r="30">
      <c r="A30" t="s">
        <v>282</v>
      </c>
      <c r="B30" t="n">
        <v>-0.75</v>
      </c>
      <c r="C30" t="n">
        <v>81</v>
      </c>
      <c r="D30" t="n">
        <v>-0.5</v>
      </c>
      <c r="E30" t="n">
        <v>85</v>
      </c>
    </row>
    <row r="31">
      <c r="A31" t="s">
        <v>283</v>
      </c>
      <c r="B31" t="n">
        <v>-1</v>
      </c>
      <c r="C31" t="n">
        <v>18</v>
      </c>
      <c r="D31" t="n">
        <v>-0.25</v>
      </c>
      <c r="E31" t="n">
        <v>174</v>
      </c>
    </row>
    <row r="32">
      <c r="A32" t="s">
        <v>282</v>
      </c>
      <c r="B32" t="n">
        <v>-0.75</v>
      </c>
      <c r="C32" t="n">
        <v>180</v>
      </c>
      <c r="D32" t="n">
        <v>-0.5</v>
      </c>
      <c r="E32" t="n">
        <v>167</v>
      </c>
    </row>
    <row r="33">
      <c r="A33" t="s">
        <v>283</v>
      </c>
      <c r="B33" t="n">
        <v>-0.25</v>
      </c>
      <c r="C33" t="n">
        <v>169</v>
      </c>
      <c r="D33" t="n">
        <v>0</v>
      </c>
      <c r="E33" t="n">
        <v>82</v>
      </c>
    </row>
    <row r="34">
      <c r="A34" t="s">
        <v>282</v>
      </c>
      <c r="B34" t="n">
        <v>-0.25</v>
      </c>
      <c r="C34" t="n">
        <v>12</v>
      </c>
      <c r="D34" t="n">
        <v>-0.25</v>
      </c>
      <c r="E34" t="n">
        <v>3</v>
      </c>
    </row>
    <row r="35">
      <c r="A35" t="s">
        <v>283</v>
      </c>
      <c r="B35" t="n">
        <v>-0.5</v>
      </c>
      <c r="C35" t="n">
        <v>174</v>
      </c>
      <c r="D35" t="n">
        <v>-0.25</v>
      </c>
      <c r="E35" t="n">
        <v>9</v>
      </c>
    </row>
    <row r="36">
      <c r="A36" t="s">
        <v>282</v>
      </c>
      <c r="B36" t="n">
        <v>-1</v>
      </c>
      <c r="C36" t="n">
        <v>59</v>
      </c>
      <c r="D36" t="n">
        <v>-0.5</v>
      </c>
      <c r="E36" t="n">
        <v>84</v>
      </c>
    </row>
    <row r="37">
      <c r="A37" t="s">
        <v>283</v>
      </c>
      <c r="B37" t="n">
        <v>-0.5</v>
      </c>
      <c r="C37" t="n">
        <v>76</v>
      </c>
      <c r="D37" t="n">
        <v>-0.25</v>
      </c>
      <c r="E37" t="n">
        <v>50</v>
      </c>
    </row>
    <row r="38">
      <c r="A38" t="s">
        <v>282</v>
      </c>
      <c r="B38" t="n">
        <v>0</v>
      </c>
      <c r="C38" t="n">
        <v>179</v>
      </c>
      <c r="D38" t="n">
        <v>0</v>
      </c>
      <c r="E38" t="n">
        <v>20</v>
      </c>
    </row>
    <row r="39">
      <c r="A39" t="s">
        <v>283</v>
      </c>
      <c r="B39" t="n">
        <v>-0.25</v>
      </c>
      <c r="C39" t="n">
        <v>100</v>
      </c>
      <c r="D39" t="n">
        <v>-0.25</v>
      </c>
      <c r="E39" t="n">
        <v>102</v>
      </c>
    </row>
    <row r="40">
      <c r="A40" t="s">
        <v>282</v>
      </c>
      <c r="B40" t="n">
        <v>-0.75</v>
      </c>
      <c r="C40" t="n">
        <v>172</v>
      </c>
      <c r="D40" t="n">
        <v>-0.25</v>
      </c>
      <c r="E40" t="n">
        <v>159</v>
      </c>
    </row>
    <row r="41">
      <c r="A41" t="s">
        <v>282</v>
      </c>
      <c r="B41" t="n">
        <v>-0.25</v>
      </c>
      <c r="C41" t="n">
        <v>177</v>
      </c>
      <c r="D41" t="n">
        <v>-0.25</v>
      </c>
      <c r="E41" t="n">
        <v>161</v>
      </c>
    </row>
    <row r="42">
      <c r="A42" t="s">
        <v>283</v>
      </c>
      <c r="B42" t="n">
        <v>0</v>
      </c>
      <c r="C42" t="n">
        <v>92</v>
      </c>
      <c r="D42" t="n">
        <v>0</v>
      </c>
      <c r="E42" t="n">
        <v>108</v>
      </c>
    </row>
    <row r="43">
      <c r="A43" t="s">
        <v>282</v>
      </c>
      <c r="B43" t="n">
        <v>-0.25</v>
      </c>
      <c r="C43" t="n">
        <v>84</v>
      </c>
      <c r="D43" t="n">
        <v>0</v>
      </c>
      <c r="E43" t="n">
        <v>66</v>
      </c>
    </row>
    <row r="44">
      <c r="A44" t="s">
        <v>282</v>
      </c>
      <c r="B44" t="n">
        <v>-0.5</v>
      </c>
      <c r="C44" t="n">
        <v>77</v>
      </c>
      <c r="D44" t="n">
        <v>-0.25</v>
      </c>
      <c r="E44" t="n">
        <v>67</v>
      </c>
    </row>
    <row r="45">
      <c r="A45" t="s">
        <v>283</v>
      </c>
      <c r="B45" t="n">
        <v>-0.75</v>
      </c>
      <c r="C45" t="n">
        <v>97</v>
      </c>
      <c r="D45" t="n">
        <v>0</v>
      </c>
      <c r="E45" t="n">
        <v>71</v>
      </c>
    </row>
    <row r="46">
      <c r="A46" t="s">
        <v>282</v>
      </c>
      <c r="B46" t="n">
        <v>-1.75</v>
      </c>
      <c r="C46" t="n">
        <v>178</v>
      </c>
      <c r="D46" t="n">
        <v>-0.25</v>
      </c>
      <c r="E46" t="n">
        <v>147</v>
      </c>
    </row>
    <row r="47">
      <c r="A47" t="s">
        <v>283</v>
      </c>
      <c r="B47" t="n">
        <v>-1</v>
      </c>
      <c r="C47" t="n">
        <v>162</v>
      </c>
      <c r="D47" t="n">
        <v>-0.5</v>
      </c>
      <c r="E47" t="n">
        <v>12</v>
      </c>
    </row>
    <row r="48">
      <c r="A48" t="s">
        <v>282</v>
      </c>
      <c r="B48" t="n">
        <v>-0.75</v>
      </c>
      <c r="C48" t="n">
        <v>172</v>
      </c>
      <c r="D48" t="n">
        <v>-0.25</v>
      </c>
      <c r="E48" t="n">
        <v>168</v>
      </c>
    </row>
    <row r="49">
      <c r="A49" t="s">
        <v>282</v>
      </c>
      <c r="B49" t="n">
        <v>0</v>
      </c>
      <c r="C49" t="n">
        <v>10</v>
      </c>
      <c r="D49" t="n">
        <v>0</v>
      </c>
      <c r="E49" t="n">
        <v>141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284</v>
      </c>
    </row>
    <row r="2">
      <c r="A2" t="s">
        <v>285</v>
      </c>
      <c r="B2" t="s">
        <v>286</v>
      </c>
      <c r="C2" t="s">
        <v>287</v>
      </c>
      <c r="D2" t="s">
        <v>288</v>
      </c>
      <c r="E2" t="s">
        <v>289</v>
      </c>
      <c r="F2" t="s">
        <v>290</v>
      </c>
      <c r="G2" t="s">
        <v>291</v>
      </c>
      <c r="H2" t="s">
        <v>292</v>
      </c>
      <c r="I2" t="s">
        <v>293</v>
      </c>
      <c r="J2" t="s">
        <v>294</v>
      </c>
      <c r="K2" t="s">
        <v>295</v>
      </c>
      <c r="L2" t="s">
        <v>296</v>
      </c>
      <c r="M2" t="s">
        <v>297</v>
      </c>
      <c r="N2" t="s">
        <v>1</v>
      </c>
    </row>
    <row r="3">
      <c r="A3" t="s">
        <v>298</v>
      </c>
      <c r="B3" t="s">
        <v>299</v>
      </c>
      <c r="C3" t="n">
        <v>30.7882687340881</v>
      </c>
      <c r="D3" t="n">
        <v>0.795244258660357</v>
      </c>
      <c r="E3" t="n">
        <v>1498.88893131993</v>
      </c>
      <c r="F3" t="n">
        <v>0</v>
      </c>
      <c r="G3" t="s">
        <v>300</v>
      </c>
      <c r="H3" t="n">
        <v>30.7882687340881</v>
      </c>
      <c r="I3" t="n">
        <v>29.2295899871138</v>
      </c>
      <c r="J3" t="n">
        <v>32.3469474810624</v>
      </c>
      <c r="K3" t="s">
        <v>301</v>
      </c>
      <c r="L3" t="s">
        <v>302</v>
      </c>
      <c r="M3" t="s">
        <v>303</v>
      </c>
      <c r="N3"/>
    </row>
    <row r="4">
      <c r="A4" t="s">
        <v>298</v>
      </c>
      <c r="B4" t="s">
        <v>304</v>
      </c>
      <c r="C4" t="n">
        <v>6.868478218263</v>
      </c>
      <c r="D4" t="n">
        <v>1.4959848785229</v>
      </c>
      <c r="E4" t="n">
        <v>21.0798076302206</v>
      </c>
      <c r="F4" t="n">
        <v>0.00000440546059088387</v>
      </c>
      <c r="G4" t="s">
        <v>300</v>
      </c>
      <c r="H4" t="n">
        <v>6.868478218263</v>
      </c>
      <c r="I4" t="n">
        <v>3.93634785635812</v>
      </c>
      <c r="J4" t="n">
        <v>9.80060858016788</v>
      </c>
      <c r="K4" t="s">
        <v>305</v>
      </c>
      <c r="L4" t="s">
        <v>302</v>
      </c>
      <c r="M4" t="s">
        <v>303</v>
      </c>
      <c r="N4"/>
    </row>
    <row r="5">
      <c r="A5" t="s">
        <v>51</v>
      </c>
      <c r="B5" t="s">
        <v>299</v>
      </c>
      <c r="C5" t="n">
        <v>-4.24759258569526</v>
      </c>
      <c r="D5" t="n">
        <v>0.203771369651319</v>
      </c>
      <c r="E5" t="n">
        <v>434.509602818471</v>
      </c>
      <c r="F5" t="n">
        <v>0</v>
      </c>
      <c r="G5" t="s">
        <v>300</v>
      </c>
      <c r="H5" t="n">
        <v>-4.24759258569526</v>
      </c>
      <c r="I5" t="n">
        <v>-4.64698447021185</v>
      </c>
      <c r="J5" t="n">
        <v>-3.84820070117868</v>
      </c>
      <c r="K5" t="s">
        <v>306</v>
      </c>
      <c r="L5" t="s">
        <v>302</v>
      </c>
      <c r="M5" t="s">
        <v>303</v>
      </c>
      <c r="N5"/>
    </row>
    <row r="6">
      <c r="A6" t="s">
        <v>51</v>
      </c>
      <c r="B6" t="s">
        <v>304</v>
      </c>
      <c r="C6" t="n">
        <v>-0.219024691351718</v>
      </c>
      <c r="D6" t="n">
        <v>0.308425263612307</v>
      </c>
      <c r="E6" t="n">
        <v>0.504296860890789</v>
      </c>
      <c r="F6" t="n">
        <v>0.477618178740139</v>
      </c>
      <c r="G6" t="s">
        <v>300</v>
      </c>
      <c r="H6" t="n">
        <v>-0.219024691351718</v>
      </c>
      <c r="I6" t="n">
        <v>-0.823538208031839</v>
      </c>
      <c r="J6" t="n">
        <v>0.385488825328402</v>
      </c>
      <c r="K6" t="s">
        <v>307</v>
      </c>
      <c r="L6" t="s">
        <v>302</v>
      </c>
      <c r="M6" t="s">
        <v>303</v>
      </c>
      <c r="N6"/>
    </row>
    <row r="7">
      <c r="A7" t="s">
        <v>58</v>
      </c>
      <c r="B7" t="s">
        <v>299</v>
      </c>
      <c r="C7" t="n">
        <v>-3.91086253464682</v>
      </c>
      <c r="D7" t="n">
        <v>0.200669725490381</v>
      </c>
      <c r="E7" t="n">
        <v>379.823112844804</v>
      </c>
      <c r="F7" t="n">
        <v>0</v>
      </c>
      <c r="G7" t="s">
        <v>300</v>
      </c>
      <c r="H7" t="n">
        <v>-3.91086253464682</v>
      </c>
      <c r="I7" t="n">
        <v>-4.30417519660796</v>
      </c>
      <c r="J7" t="n">
        <v>-3.51754987268567</v>
      </c>
      <c r="K7" t="s">
        <v>308</v>
      </c>
      <c r="L7" t="s">
        <v>302</v>
      </c>
      <c r="M7" t="s">
        <v>303</v>
      </c>
      <c r="N7"/>
    </row>
    <row r="8">
      <c r="A8" t="s">
        <v>58</v>
      </c>
      <c r="B8" t="s">
        <v>304</v>
      </c>
      <c r="C8" t="n">
        <v>-0.239693204283663</v>
      </c>
      <c r="D8" t="n">
        <v>0.310431329354651</v>
      </c>
      <c r="E8" t="n">
        <v>0.59618405015717</v>
      </c>
      <c r="F8" t="n">
        <v>0.440037698907596</v>
      </c>
      <c r="G8" t="s">
        <v>300</v>
      </c>
      <c r="H8" t="n">
        <v>-0.239693204283663</v>
      </c>
      <c r="I8" t="n">
        <v>-0.848138609818779</v>
      </c>
      <c r="J8" t="n">
        <v>0.368752201251453</v>
      </c>
      <c r="K8" t="s">
        <v>309</v>
      </c>
      <c r="L8" t="s">
        <v>302</v>
      </c>
      <c r="M8" t="s">
        <v>303</v>
      </c>
      <c r="N8"/>
    </row>
    <row r="9">
      <c r="A9" t="s">
        <v>64</v>
      </c>
      <c r="B9" t="s">
        <v>299</v>
      </c>
      <c r="C9" t="n">
        <v>-0.664995162315434</v>
      </c>
      <c r="D9" t="n">
        <v>0.0623798735354207</v>
      </c>
      <c r="E9" t="n">
        <v>113.644387400286</v>
      </c>
      <c r="F9" t="n">
        <v>0</v>
      </c>
      <c r="G9" t="s">
        <v>300</v>
      </c>
      <c r="H9" t="n">
        <v>-0.664995162315434</v>
      </c>
      <c r="I9" t="n">
        <v>-0.787259714444858</v>
      </c>
      <c r="J9" t="n">
        <v>-0.542730610186009</v>
      </c>
      <c r="K9" t="s">
        <v>310</v>
      </c>
      <c r="L9" t="s">
        <v>302</v>
      </c>
      <c r="M9" t="s">
        <v>303</v>
      </c>
      <c r="N9"/>
    </row>
    <row r="10">
      <c r="A10" t="s">
        <v>64</v>
      </c>
      <c r="B10" t="s">
        <v>304</v>
      </c>
      <c r="C10" t="n">
        <v>0.0052733223409882</v>
      </c>
      <c r="D10" t="n">
        <v>0.0982485182951867</v>
      </c>
      <c r="E10" t="n">
        <v>0.00288082329019765</v>
      </c>
      <c r="F10" t="n">
        <v>0.957195454474741</v>
      </c>
      <c r="G10" t="s">
        <v>300</v>
      </c>
      <c r="H10" t="n">
        <v>0.0052733223409882</v>
      </c>
      <c r="I10" t="n">
        <v>-0.187293773517578</v>
      </c>
      <c r="J10" t="n">
        <v>0.197840418199554</v>
      </c>
      <c r="K10" t="s">
        <v>311</v>
      </c>
      <c r="L10" t="s">
        <v>302</v>
      </c>
      <c r="M10" t="s">
        <v>303</v>
      </c>
      <c r="N10"/>
    </row>
    <row r="11">
      <c r="A11" t="s">
        <v>70</v>
      </c>
      <c r="B11" t="s">
        <v>299</v>
      </c>
      <c r="C11" t="n">
        <v>1.08211469101867</v>
      </c>
      <c r="D11" t="n">
        <v>0.0242065436477712</v>
      </c>
      <c r="E11" t="n">
        <v>1998.3935568353</v>
      </c>
      <c r="F11" t="n">
        <v>0</v>
      </c>
      <c r="G11" t="s">
        <v>300</v>
      </c>
      <c r="H11" t="n">
        <v>1.08211469101867</v>
      </c>
      <c r="I11" t="n">
        <v>1.03466986546904</v>
      </c>
      <c r="J11" t="n">
        <v>1.1295595165683</v>
      </c>
      <c r="K11" t="s">
        <v>312</v>
      </c>
      <c r="L11" t="s">
        <v>302</v>
      </c>
      <c r="M11" t="s">
        <v>303</v>
      </c>
      <c r="N11"/>
    </row>
    <row r="12">
      <c r="A12" t="s">
        <v>70</v>
      </c>
      <c r="B12" t="s">
        <v>304</v>
      </c>
      <c r="C12" t="n">
        <v>0.0181857605530368</v>
      </c>
      <c r="D12" t="n">
        <v>0.0389812725490617</v>
      </c>
      <c r="E12" t="n">
        <v>0.21764611123996</v>
      </c>
      <c r="F12" t="n">
        <v>0.640839346328614</v>
      </c>
      <c r="G12" t="s">
        <v>300</v>
      </c>
      <c r="H12" t="n">
        <v>0.0181857605530368</v>
      </c>
      <c r="I12" t="n">
        <v>-0.0582175336431241</v>
      </c>
      <c r="J12" t="n">
        <v>0.0945890547491977</v>
      </c>
      <c r="K12" t="s">
        <v>313</v>
      </c>
      <c r="L12" t="s">
        <v>302</v>
      </c>
      <c r="M12" t="s">
        <v>303</v>
      </c>
      <c r="N12"/>
    </row>
    <row r="13">
      <c r="A13" t="s">
        <v>76</v>
      </c>
      <c r="B13" t="s">
        <v>299</v>
      </c>
      <c r="C13" t="n">
        <v>-0.0124477551855591</v>
      </c>
      <c r="D13" t="n">
        <v>0.00348506437027223</v>
      </c>
      <c r="E13" t="n">
        <v>12.7573499366177</v>
      </c>
      <c r="F13" t="n">
        <v>0.000354612952575439</v>
      </c>
      <c r="G13" t="s">
        <v>300</v>
      </c>
      <c r="H13" t="n">
        <v>-0.0124477551855591</v>
      </c>
      <c r="I13" t="n">
        <v>-0.0192784813512927</v>
      </c>
      <c r="J13" t="n">
        <v>-0.00561702901982555</v>
      </c>
      <c r="K13" t="s">
        <v>314</v>
      </c>
      <c r="L13" t="s">
        <v>302</v>
      </c>
      <c r="M13" t="s">
        <v>303</v>
      </c>
      <c r="N13"/>
    </row>
    <row r="14">
      <c r="A14" t="s">
        <v>76</v>
      </c>
      <c r="B14" t="s">
        <v>304</v>
      </c>
      <c r="C14" t="n">
        <v>0.00637573240330391</v>
      </c>
      <c r="D14" t="n">
        <v>0.00527115771987215</v>
      </c>
      <c r="E14" t="n">
        <v>1.46301284695854</v>
      </c>
      <c r="F14" t="n">
        <v>0.226451353052746</v>
      </c>
      <c r="G14" t="s">
        <v>300</v>
      </c>
      <c r="H14" t="n">
        <v>0.00637573240330391</v>
      </c>
      <c r="I14" t="n">
        <v>-0.0039557367276455</v>
      </c>
      <c r="J14" t="n">
        <v>0.0167072015342533</v>
      </c>
      <c r="K14" t="s">
        <v>315</v>
      </c>
      <c r="L14" t="s">
        <v>302</v>
      </c>
      <c r="M14" t="s">
        <v>303</v>
      </c>
      <c r="N14"/>
    </row>
    <row r="15">
      <c r="A15" t="s">
        <v>81</v>
      </c>
      <c r="B15" t="s">
        <v>299</v>
      </c>
      <c r="C15" t="n">
        <v>544.884640773701</v>
      </c>
      <c r="D15" t="n">
        <v>2.64617508338616</v>
      </c>
      <c r="E15" t="n">
        <v>42400.5979086058</v>
      </c>
      <c r="F15" t="n">
        <v>0</v>
      </c>
      <c r="G15" t="s">
        <v>300</v>
      </c>
      <c r="H15" t="n">
        <v>544.884640773701</v>
      </c>
      <c r="I15" t="n">
        <v>539.698137610264</v>
      </c>
      <c r="J15" t="n">
        <v>550.071143937138</v>
      </c>
      <c r="K15" t="s">
        <v>316</v>
      </c>
      <c r="L15" t="s">
        <v>302</v>
      </c>
      <c r="M15" t="s">
        <v>303</v>
      </c>
      <c r="N15"/>
    </row>
    <row r="16">
      <c r="A16" t="s">
        <v>81</v>
      </c>
      <c r="B16" t="s">
        <v>304</v>
      </c>
      <c r="C16" t="n">
        <v>-15.0451925949889</v>
      </c>
      <c r="D16" t="n">
        <v>5.29130608199126</v>
      </c>
      <c r="E16" t="n">
        <v>8.08480843538537</v>
      </c>
      <c r="F16" t="n">
        <v>0.00446378491744659</v>
      </c>
      <c r="G16" t="s">
        <v>300</v>
      </c>
      <c r="H16" t="n">
        <v>-15.0451925949889</v>
      </c>
      <c r="I16" t="n">
        <v>-25.4161525156917</v>
      </c>
      <c r="J16" t="n">
        <v>-4.674232674286</v>
      </c>
      <c r="K16" t="s">
        <v>317</v>
      </c>
      <c r="L16" t="s">
        <v>302</v>
      </c>
      <c r="M16" t="s">
        <v>303</v>
      </c>
      <c r="N16"/>
    </row>
    <row r="17">
      <c r="A17" t="s">
        <v>87</v>
      </c>
      <c r="B17" t="s">
        <v>299</v>
      </c>
      <c r="C17" t="n">
        <v>43.6576245177921</v>
      </c>
      <c r="D17" t="n">
        <v>0.150920476847065</v>
      </c>
      <c r="E17" t="n">
        <v>83680.4226886833</v>
      </c>
      <c r="F17" t="n">
        <v>0</v>
      </c>
      <c r="G17" t="s">
        <v>300</v>
      </c>
      <c r="H17" t="n">
        <v>43.6576245177921</v>
      </c>
      <c r="I17" t="n">
        <v>43.3618203831718</v>
      </c>
      <c r="J17" t="n">
        <v>43.9534286524123</v>
      </c>
      <c r="K17" t="s">
        <v>318</v>
      </c>
      <c r="L17" t="s">
        <v>302</v>
      </c>
      <c r="M17" t="s">
        <v>303</v>
      </c>
      <c r="N17"/>
    </row>
    <row r="18">
      <c r="A18" t="s">
        <v>87</v>
      </c>
      <c r="B18" t="s">
        <v>304</v>
      </c>
      <c r="C18" t="n">
        <v>-0.064128150095261</v>
      </c>
      <c r="D18" t="n">
        <v>0.27658842604658</v>
      </c>
      <c r="E18" t="n">
        <v>0.0537563060896642</v>
      </c>
      <c r="F18" t="n">
        <v>0.816651365470296</v>
      </c>
      <c r="G18" t="s">
        <v>300</v>
      </c>
      <c r="H18" t="n">
        <v>-0.064128150095261</v>
      </c>
      <c r="I18" t="n">
        <v>-0.606241465146559</v>
      </c>
      <c r="J18" t="n">
        <v>0.477985164956037</v>
      </c>
      <c r="K18" t="s">
        <v>319</v>
      </c>
      <c r="L18" t="s">
        <v>302</v>
      </c>
      <c r="M18" t="s">
        <v>303</v>
      </c>
      <c r="N18"/>
    </row>
    <row r="19">
      <c r="A19" t="s">
        <v>93</v>
      </c>
      <c r="B19"/>
      <c r="C19"/>
      <c r="D19"/>
      <c r="E19"/>
      <c r="F19"/>
      <c r="G19"/>
      <c r="H19"/>
      <c r="I19"/>
      <c r="J19"/>
      <c r="K19"/>
      <c r="L19" t="s">
        <v>320</v>
      </c>
      <c r="M19"/>
      <c r="N19"/>
    </row>
    <row r="20">
      <c r="A20" t="s">
        <v>23</v>
      </c>
      <c r="B20" t="s">
        <v>299</v>
      </c>
      <c r="C20" t="n">
        <v>0.154532513837263</v>
      </c>
      <c r="D20" t="n">
        <v>0.248807674623619</v>
      </c>
      <c r="E20" t="n">
        <v>0.385755559984485</v>
      </c>
      <c r="F20" t="n">
        <v>0.534538940345357</v>
      </c>
      <c r="G20" t="s">
        <v>321</v>
      </c>
      <c r="H20" t="n">
        <v>1.16711222473754</v>
      </c>
      <c r="I20" t="n">
        <v>0.716676641376928</v>
      </c>
      <c r="J20" t="n">
        <v>1.90064928377566</v>
      </c>
      <c r="K20" t="s">
        <v>322</v>
      </c>
      <c r="L20" t="s">
        <v>323</v>
      </c>
      <c r="M20" t="s">
        <v>303</v>
      </c>
      <c r="N20"/>
    </row>
    <row r="21">
      <c r="A21" t="s">
        <v>23</v>
      </c>
      <c r="B21" t="s">
        <v>304</v>
      </c>
      <c r="C21" t="n">
        <v>-0.289904653893643</v>
      </c>
      <c r="D21" t="n">
        <v>0.442532245061023</v>
      </c>
      <c r="E21" t="n">
        <v>0.429161280497633</v>
      </c>
      <c r="F21" t="n">
        <v>0.51240078231637</v>
      </c>
      <c r="G21" t="s">
        <v>321</v>
      </c>
      <c r="H21" t="n">
        <v>0.748334914997558</v>
      </c>
      <c r="I21" t="n">
        <v>0.314343841924901</v>
      </c>
      <c r="J21" t="n">
        <v>1.78150506011246</v>
      </c>
      <c r="K21" t="s">
        <v>324</v>
      </c>
      <c r="L21" t="s">
        <v>323</v>
      </c>
      <c r="M21" t="s">
        <v>303</v>
      </c>
      <c r="N21"/>
    </row>
    <row r="22">
      <c r="A22" t="s">
        <v>325</v>
      </c>
      <c r="B22" t="s">
        <v>299</v>
      </c>
      <c r="C22" t="n">
        <v>-1.31152332126801</v>
      </c>
      <c r="D22" t="n">
        <v>0.301781732663986</v>
      </c>
      <c r="E22" t="n">
        <v>18.8871373987367</v>
      </c>
      <c r="F22" t="n">
        <v>0.0000138684626693752</v>
      </c>
      <c r="G22" t="s">
        <v>321</v>
      </c>
      <c r="H22" t="n">
        <v>0.269409346655115</v>
      </c>
      <c r="I22" t="n">
        <v>0.149118271821865</v>
      </c>
      <c r="J22" t="n">
        <v>0.486737105911748</v>
      </c>
      <c r="K22" t="s">
        <v>326</v>
      </c>
      <c r="L22" t="s">
        <v>323</v>
      </c>
      <c r="M22" t="s">
        <v>303</v>
      </c>
      <c r="N22"/>
    </row>
    <row r="23">
      <c r="A23" t="s">
        <v>325</v>
      </c>
      <c r="B23" t="s">
        <v>304</v>
      </c>
      <c r="C23" t="n">
        <v>0.315488486421669</v>
      </c>
      <c r="D23" t="n">
        <v>0.511494719454778</v>
      </c>
      <c r="E23" t="n">
        <v>0.380438727195062</v>
      </c>
      <c r="F23" t="n">
        <v>0.537368530483012</v>
      </c>
      <c r="G23" t="s">
        <v>321</v>
      </c>
      <c r="H23" t="n">
        <v>1.37092882753613</v>
      </c>
      <c r="I23" t="n">
        <v>0.503062348285674</v>
      </c>
      <c r="J23" t="n">
        <v>3.73600977408531</v>
      </c>
      <c r="K23" t="s">
        <v>327</v>
      </c>
      <c r="L23" t="s">
        <v>323</v>
      </c>
      <c r="M23" t="s">
        <v>303</v>
      </c>
      <c r="N23"/>
    </row>
    <row r="24">
      <c r="A24" t="s">
        <v>328</v>
      </c>
      <c r="B24"/>
      <c r="C24"/>
      <c r="D24"/>
      <c r="E24"/>
      <c r="F24"/>
      <c r="G24"/>
      <c r="H24"/>
      <c r="I24"/>
      <c r="J24"/>
      <c r="K24"/>
      <c r="L24" t="s">
        <v>329</v>
      </c>
      <c r="M24"/>
      <c r="N24"/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284</v>
      </c>
    </row>
    <row r="2">
      <c r="A2" t="s">
        <v>285</v>
      </c>
      <c r="B2" t="s">
        <v>286</v>
      </c>
      <c r="C2" t="s">
        <v>287</v>
      </c>
      <c r="D2" t="s">
        <v>288</v>
      </c>
      <c r="E2" t="s">
        <v>289</v>
      </c>
      <c r="F2" t="s">
        <v>290</v>
      </c>
      <c r="G2" t="s">
        <v>291</v>
      </c>
      <c r="H2" t="s">
        <v>292</v>
      </c>
      <c r="I2" t="s">
        <v>293</v>
      </c>
      <c r="J2" t="s">
        <v>294</v>
      </c>
      <c r="K2" t="s">
        <v>295</v>
      </c>
      <c r="L2" t="s">
        <v>296</v>
      </c>
      <c r="M2" t="s">
        <v>297</v>
      </c>
      <c r="N2" t="s">
        <v>1</v>
      </c>
    </row>
    <row r="3">
      <c r="A3" t="s">
        <v>123</v>
      </c>
      <c r="B3" t="s">
        <v>299</v>
      </c>
      <c r="C3" t="n">
        <v>6.51886547947047</v>
      </c>
      <c r="D3" t="n">
        <v>0.0291560345529994</v>
      </c>
      <c r="E3" t="n">
        <v>49990.4591835469</v>
      </c>
      <c r="F3" t="n">
        <v>0</v>
      </c>
      <c r="G3" t="s">
        <v>300</v>
      </c>
      <c r="H3" t="n">
        <v>6.51886547947047</v>
      </c>
      <c r="I3" t="n">
        <v>6.46171965174659</v>
      </c>
      <c r="J3" t="n">
        <v>6.57601130719435</v>
      </c>
      <c r="K3" t="s">
        <v>330</v>
      </c>
      <c r="L3" t="s">
        <v>302</v>
      </c>
      <c r="M3" t="s">
        <v>303</v>
      </c>
      <c r="N3"/>
    </row>
    <row r="4">
      <c r="A4" t="s">
        <v>123</v>
      </c>
      <c r="B4" t="s">
        <v>304</v>
      </c>
      <c r="C4" t="n">
        <v>-0.0281877835524121</v>
      </c>
      <c r="D4" t="n">
        <v>0.0527075050829486</v>
      </c>
      <c r="E4" t="n">
        <v>0.286007180951608</v>
      </c>
      <c r="F4" t="n">
        <v>0.592790658197728</v>
      </c>
      <c r="G4" t="s">
        <v>300</v>
      </c>
      <c r="H4" t="n">
        <v>-0.0281877835524121</v>
      </c>
      <c r="I4" t="n">
        <v>-0.131494493514991</v>
      </c>
      <c r="J4" t="n">
        <v>0.0751189264101672</v>
      </c>
      <c r="K4" t="s">
        <v>331</v>
      </c>
      <c r="L4" t="s">
        <v>302</v>
      </c>
      <c r="M4" t="s">
        <v>303</v>
      </c>
      <c r="N4"/>
    </row>
    <row r="5">
      <c r="A5" t="s">
        <v>129</v>
      </c>
      <c r="B5" t="s">
        <v>299</v>
      </c>
      <c r="C5" t="n">
        <v>65.7526824604413</v>
      </c>
      <c r="D5" t="n">
        <v>2.95948921626109</v>
      </c>
      <c r="E5" t="n">
        <v>493.6207715555</v>
      </c>
      <c r="F5" t="n">
        <v>0</v>
      </c>
      <c r="G5" t="s">
        <v>300</v>
      </c>
      <c r="H5" t="n">
        <v>65.7526824604413</v>
      </c>
      <c r="I5" t="n">
        <v>59.9520835965696</v>
      </c>
      <c r="J5" t="n">
        <v>71.553281324313</v>
      </c>
      <c r="K5" t="s">
        <v>332</v>
      </c>
      <c r="L5" t="s">
        <v>302</v>
      </c>
      <c r="M5" t="s">
        <v>303</v>
      </c>
      <c r="N5"/>
    </row>
    <row r="6">
      <c r="A6" t="s">
        <v>129</v>
      </c>
      <c r="B6" t="s">
        <v>304</v>
      </c>
      <c r="C6" t="n">
        <v>1.81808345276184</v>
      </c>
      <c r="D6" t="n">
        <v>4.60606018371808</v>
      </c>
      <c r="E6" t="n">
        <v>0.155800343818842</v>
      </c>
      <c r="F6" t="n">
        <v>0.693052845647988</v>
      </c>
      <c r="G6" t="s">
        <v>300</v>
      </c>
      <c r="H6" t="n">
        <v>1.81808345276184</v>
      </c>
      <c r="I6" t="n">
        <v>-7.20979450732559</v>
      </c>
      <c r="J6" t="n">
        <v>10.8459614128493</v>
      </c>
      <c r="K6" t="s">
        <v>333</v>
      </c>
      <c r="L6" t="s">
        <v>302</v>
      </c>
      <c r="M6" t="s">
        <v>303</v>
      </c>
      <c r="N6"/>
    </row>
    <row r="7">
      <c r="A7" t="s">
        <v>334</v>
      </c>
      <c r="B7"/>
      <c r="C7"/>
      <c r="D7"/>
      <c r="E7"/>
      <c r="F7"/>
      <c r="G7"/>
      <c r="H7"/>
      <c r="I7"/>
      <c r="J7"/>
      <c r="K7"/>
      <c r="L7" t="s">
        <v>329</v>
      </c>
      <c r="M7"/>
      <c r="N7"/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284</v>
      </c>
    </row>
    <row r="2">
      <c r="A2" t="s">
        <v>285</v>
      </c>
      <c r="B2" t="s">
        <v>286</v>
      </c>
      <c r="C2" t="s">
        <v>287</v>
      </c>
      <c r="D2" t="s">
        <v>288</v>
      </c>
      <c r="E2" t="s">
        <v>289</v>
      </c>
      <c r="F2" t="s">
        <v>290</v>
      </c>
      <c r="G2" t="s">
        <v>291</v>
      </c>
      <c r="H2" t="s">
        <v>292</v>
      </c>
      <c r="I2" t="s">
        <v>293</v>
      </c>
      <c r="J2" t="s">
        <v>294</v>
      </c>
      <c r="K2" t="s">
        <v>295</v>
      </c>
      <c r="L2" t="s">
        <v>296</v>
      </c>
      <c r="M2" t="s">
        <v>297</v>
      </c>
      <c r="N2" t="s">
        <v>1</v>
      </c>
    </row>
    <row r="3">
      <c r="A3" t="s">
        <v>142</v>
      </c>
      <c r="B3" t="s">
        <v>299</v>
      </c>
      <c r="C3" t="n">
        <v>188.049526356004</v>
      </c>
      <c r="D3" t="n">
        <v>8.44297049785388</v>
      </c>
      <c r="E3" t="n">
        <v>496.082542685311</v>
      </c>
      <c r="F3" t="n">
        <v>0</v>
      </c>
      <c r="G3" t="s">
        <v>300</v>
      </c>
      <c r="H3" t="n">
        <v>188.049526356004</v>
      </c>
      <c r="I3" t="n">
        <v>171.50130418021</v>
      </c>
      <c r="J3" t="n">
        <v>204.597748531797</v>
      </c>
      <c r="K3" t="s">
        <v>335</v>
      </c>
      <c r="L3" t="s">
        <v>302</v>
      </c>
      <c r="M3" t="s">
        <v>303</v>
      </c>
      <c r="N3"/>
    </row>
    <row r="4">
      <c r="A4" t="s">
        <v>142</v>
      </c>
      <c r="B4" t="s">
        <v>304</v>
      </c>
      <c r="C4" t="n">
        <v>-20.1400741940335</v>
      </c>
      <c r="D4" t="n">
        <v>13.2074013571087</v>
      </c>
      <c r="E4" t="n">
        <v>2.32534491772133</v>
      </c>
      <c r="F4" t="n">
        <v>0.127282004556362</v>
      </c>
      <c r="G4" t="s">
        <v>300</v>
      </c>
      <c r="H4" t="n">
        <v>-20.1400741940335</v>
      </c>
      <c r="I4" t="n">
        <v>-46.0265808539665</v>
      </c>
      <c r="J4" t="n">
        <v>5.74643246589946</v>
      </c>
      <c r="K4" t="s">
        <v>336</v>
      </c>
      <c r="L4" t="s">
        <v>302</v>
      </c>
      <c r="M4" t="s">
        <v>303</v>
      </c>
      <c r="N4"/>
    </row>
    <row r="5">
      <c r="A5" t="s">
        <v>150</v>
      </c>
      <c r="B5" t="s">
        <v>299</v>
      </c>
      <c r="C5" t="n">
        <v>0.016051236395336</v>
      </c>
      <c r="D5" t="n">
        <v>0.0291632063550181</v>
      </c>
      <c r="E5" t="n">
        <v>0.302932898337931</v>
      </c>
      <c r="F5" t="n">
        <v>0.582049572321116</v>
      </c>
      <c r="G5" t="s">
        <v>300</v>
      </c>
      <c r="H5" t="n">
        <v>0.016051236395336</v>
      </c>
      <c r="I5" t="n">
        <v>-0.0411086480604994</v>
      </c>
      <c r="J5" t="n">
        <v>0.0732111208511714</v>
      </c>
      <c r="K5" t="s">
        <v>337</v>
      </c>
      <c r="L5" t="s">
        <v>302</v>
      </c>
      <c r="M5" t="s">
        <v>303</v>
      </c>
      <c r="N5"/>
    </row>
    <row r="6">
      <c r="A6" t="s">
        <v>150</v>
      </c>
      <c r="B6" t="s">
        <v>304</v>
      </c>
      <c r="C6" t="n">
        <v>-0.188303079191625</v>
      </c>
      <c r="D6" t="n">
        <v>0.0764282258930442</v>
      </c>
      <c r="E6" t="n">
        <v>6.07025990807001</v>
      </c>
      <c r="F6" t="n">
        <v>0.0137476729711643</v>
      </c>
      <c r="G6" t="s">
        <v>300</v>
      </c>
      <c r="H6" t="n">
        <v>-0.188303079191625</v>
      </c>
      <c r="I6" t="n">
        <v>-0.338102401941992</v>
      </c>
      <c r="J6" t="n">
        <v>-0.0385037564412583</v>
      </c>
      <c r="K6" t="s">
        <v>338</v>
      </c>
      <c r="L6" t="s">
        <v>302</v>
      </c>
      <c r="M6" t="s">
        <v>303</v>
      </c>
      <c r="N6"/>
    </row>
    <row r="7">
      <c r="A7" t="s">
        <v>158</v>
      </c>
      <c r="B7" t="s">
        <v>299</v>
      </c>
      <c r="C7" t="n">
        <v>-0.208269464356033</v>
      </c>
      <c r="D7" t="n">
        <v>0.0173445791203134</v>
      </c>
      <c r="E7" t="n">
        <v>144.18619080319</v>
      </c>
      <c r="F7" t="n">
        <v>0</v>
      </c>
      <c r="G7" t="s">
        <v>300</v>
      </c>
      <c r="H7" t="n">
        <v>-0.208269464356033</v>
      </c>
      <c r="I7" t="n">
        <v>-0.242264839431848</v>
      </c>
      <c r="J7" t="n">
        <v>-0.174274089280219</v>
      </c>
      <c r="K7" t="s">
        <v>339</v>
      </c>
      <c r="L7" t="s">
        <v>302</v>
      </c>
      <c r="M7" t="s">
        <v>303</v>
      </c>
      <c r="N7"/>
    </row>
    <row r="8">
      <c r="A8" t="s">
        <v>158</v>
      </c>
      <c r="B8" t="s">
        <v>304</v>
      </c>
      <c r="C8" t="n">
        <v>-0.000674031515869937</v>
      </c>
      <c r="D8" t="n">
        <v>0.0328848727323378</v>
      </c>
      <c r="E8" t="n">
        <v>0.000420114891564631</v>
      </c>
      <c r="F8" t="n">
        <v>0.983647141027268</v>
      </c>
      <c r="G8" t="s">
        <v>300</v>
      </c>
      <c r="H8" t="n">
        <v>-0.000674031515869937</v>
      </c>
      <c r="I8" t="n">
        <v>-0.065128382071252</v>
      </c>
      <c r="J8" t="n">
        <v>0.0637803190395121</v>
      </c>
      <c r="K8" t="s">
        <v>340</v>
      </c>
      <c r="L8" t="s">
        <v>302</v>
      </c>
      <c r="M8" t="s">
        <v>303</v>
      </c>
      <c r="N8"/>
    </row>
    <row r="9">
      <c r="A9" t="s">
        <v>166</v>
      </c>
      <c r="B9" t="s">
        <v>299</v>
      </c>
      <c r="C9" t="n">
        <v>0.00384375215655447</v>
      </c>
      <c r="D9" t="n">
        <v>0.00551583029079786</v>
      </c>
      <c r="E9" t="n">
        <v>0.48561149963309</v>
      </c>
      <c r="F9" t="n">
        <v>0.4858914723832</v>
      </c>
      <c r="G9" t="s">
        <v>300</v>
      </c>
      <c r="H9" t="n">
        <v>0.00384375215655447</v>
      </c>
      <c r="I9" t="n">
        <v>-0.00696727521340933</v>
      </c>
      <c r="J9" t="n">
        <v>0.0146547795265183</v>
      </c>
      <c r="K9" t="s">
        <v>341</v>
      </c>
      <c r="L9" t="s">
        <v>302</v>
      </c>
      <c r="M9" t="s">
        <v>303</v>
      </c>
      <c r="N9"/>
    </row>
    <row r="10">
      <c r="A10" t="s">
        <v>166</v>
      </c>
      <c r="B10" t="s">
        <v>304</v>
      </c>
      <c r="C10" t="n">
        <v>0.0585433309966364</v>
      </c>
      <c r="D10" t="n">
        <v>0.00987499141277275</v>
      </c>
      <c r="E10" t="n">
        <v>35.1464451459624</v>
      </c>
      <c r="F10" t="n">
        <v>0.00000000305819158885612</v>
      </c>
      <c r="G10" t="s">
        <v>300</v>
      </c>
      <c r="H10" t="n">
        <v>0.0585433309966364</v>
      </c>
      <c r="I10" t="n">
        <v>0.0391883478276018</v>
      </c>
      <c r="J10" t="n">
        <v>0.077898314165671</v>
      </c>
      <c r="K10" t="s">
        <v>342</v>
      </c>
      <c r="L10" t="s">
        <v>302</v>
      </c>
      <c r="M10" t="s">
        <v>303</v>
      </c>
      <c r="N10"/>
    </row>
    <row r="11">
      <c r="A11" t="s">
        <v>171</v>
      </c>
      <c r="B11" t="s">
        <v>299</v>
      </c>
      <c r="C11" t="n">
        <v>-0.0119610617422937</v>
      </c>
      <c r="D11" t="n">
        <v>0.00405586348945686</v>
      </c>
      <c r="E11" t="n">
        <v>8.69706680088351</v>
      </c>
      <c r="F11" t="n">
        <v>0.00318722517577985</v>
      </c>
      <c r="G11" t="s">
        <v>300</v>
      </c>
      <c r="H11" t="n">
        <v>-0.0119610617422937</v>
      </c>
      <c r="I11" t="n">
        <v>-0.0199105541816291</v>
      </c>
      <c r="J11" t="n">
        <v>-0.00401156930295825</v>
      </c>
      <c r="K11" t="s">
        <v>343</v>
      </c>
      <c r="L11" t="s">
        <v>302</v>
      </c>
      <c r="M11" t="s">
        <v>303</v>
      </c>
      <c r="N11"/>
    </row>
    <row r="12">
      <c r="A12" t="s">
        <v>171</v>
      </c>
      <c r="B12" t="s">
        <v>304</v>
      </c>
      <c r="C12" t="n">
        <v>0.00709227769697995</v>
      </c>
      <c r="D12" t="n">
        <v>0.00658858262727178</v>
      </c>
      <c r="E12" t="n">
        <v>1.15874392540079</v>
      </c>
      <c r="F12" t="n">
        <v>0.281726191624041</v>
      </c>
      <c r="G12" t="s">
        <v>300</v>
      </c>
      <c r="H12" t="n">
        <v>0.00709227769697995</v>
      </c>
      <c r="I12" t="n">
        <v>-0.00582134425247273</v>
      </c>
      <c r="J12" t="n">
        <v>0.0200058996464326</v>
      </c>
      <c r="K12" t="s">
        <v>344</v>
      </c>
      <c r="L12" t="s">
        <v>302</v>
      </c>
      <c r="M12" t="s">
        <v>303</v>
      </c>
      <c r="N12"/>
    </row>
    <row r="13">
      <c r="A13" t="s">
        <v>178</v>
      </c>
      <c r="B13"/>
      <c r="C13"/>
      <c r="D13"/>
      <c r="E13"/>
      <c r="F13"/>
      <c r="G13"/>
      <c r="H13"/>
      <c r="I13"/>
      <c r="J13"/>
      <c r="K13"/>
      <c r="L13" t="s">
        <v>320</v>
      </c>
      <c r="M13"/>
      <c r="N13"/>
    </row>
    <row r="14">
      <c r="A14" t="s">
        <v>181</v>
      </c>
      <c r="B14"/>
      <c r="C14"/>
      <c r="D14"/>
      <c r="E14"/>
      <c r="F14"/>
      <c r="G14"/>
      <c r="H14"/>
      <c r="I14"/>
      <c r="J14"/>
      <c r="K14"/>
      <c r="L14" t="s">
        <v>320</v>
      </c>
      <c r="M14"/>
      <c r="N14"/>
    </row>
    <row r="15">
      <c r="A15" t="s">
        <v>345</v>
      </c>
      <c r="B15" t="s">
        <v>299</v>
      </c>
      <c r="C15" t="n">
        <v>-1.54130351831789</v>
      </c>
      <c r="D15" t="n">
        <v>0.23752113792601</v>
      </c>
      <c r="E15" t="n">
        <v>42.1086975957578</v>
      </c>
      <c r="F15" t="n">
        <v>0.0000000000863383808891172</v>
      </c>
      <c r="G15" t="s">
        <v>321</v>
      </c>
      <c r="H15" t="n">
        <v>0.214101833789043</v>
      </c>
      <c r="I15" t="n">
        <v>0.13441208340424</v>
      </c>
      <c r="J15" t="n">
        <v>0.341037755467043</v>
      </c>
      <c r="K15" t="s">
        <v>346</v>
      </c>
      <c r="L15" t="s">
        <v>323</v>
      </c>
      <c r="M15" t="s">
        <v>303</v>
      </c>
      <c r="N15"/>
    </row>
    <row r="16">
      <c r="A16" t="s">
        <v>345</v>
      </c>
      <c r="B16" t="s">
        <v>304</v>
      </c>
      <c r="C16" t="n">
        <v>0.579092989799848</v>
      </c>
      <c r="D16" t="n">
        <v>0.382884052583414</v>
      </c>
      <c r="E16" t="n">
        <v>2.28750503781486</v>
      </c>
      <c r="F16" t="n">
        <v>0.130419420334195</v>
      </c>
      <c r="G16" t="s">
        <v>321</v>
      </c>
      <c r="H16" t="n">
        <v>1.78441921011134</v>
      </c>
      <c r="I16" t="n">
        <v>0.842518420193355</v>
      </c>
      <c r="J16" t="n">
        <v>3.77932617388192</v>
      </c>
      <c r="K16" t="s">
        <v>347</v>
      </c>
      <c r="L16" t="s">
        <v>323</v>
      </c>
      <c r="M16" t="s">
        <v>303</v>
      </c>
      <c r="N16"/>
    </row>
    <row r="17">
      <c r="A17" t="s">
        <v>348</v>
      </c>
      <c r="B17" t="s">
        <v>299</v>
      </c>
      <c r="C17" t="n">
        <v>-3.02648623341645</v>
      </c>
      <c r="D17" t="n">
        <v>0.443872263342071</v>
      </c>
      <c r="E17" t="n">
        <v>46.4901973899365</v>
      </c>
      <c r="F17" t="n">
        <v>0.0000000000092077456770312</v>
      </c>
      <c r="G17" t="s">
        <v>321</v>
      </c>
      <c r="H17" t="n">
        <v>0.0484857066162869</v>
      </c>
      <c r="I17" t="n">
        <v>0.0203133724269045</v>
      </c>
      <c r="J17" t="n">
        <v>0.115729859950138</v>
      </c>
      <c r="K17" t="s">
        <v>349</v>
      </c>
      <c r="L17" t="s">
        <v>323</v>
      </c>
      <c r="M17" t="s">
        <v>303</v>
      </c>
      <c r="N17"/>
    </row>
    <row r="18">
      <c r="A18" t="s">
        <v>348</v>
      </c>
      <c r="B18" t="s">
        <v>304</v>
      </c>
      <c r="C18" t="n">
        <v>0.336720115916173</v>
      </c>
      <c r="D18" t="n">
        <v>0.87407850347198</v>
      </c>
      <c r="E18" t="n">
        <v>0.148401142776283</v>
      </c>
      <c r="F18" t="n">
        <v>0.700067989773222</v>
      </c>
      <c r="G18" t="s">
        <v>321</v>
      </c>
      <c r="H18" t="n">
        <v>1.4003470740274</v>
      </c>
      <c r="I18" t="n">
        <v>0.252467247667271</v>
      </c>
      <c r="J18" t="n">
        <v>7.76723296132846</v>
      </c>
      <c r="K18" t="s">
        <v>350</v>
      </c>
      <c r="L18" t="s">
        <v>323</v>
      </c>
      <c r="M18" t="s">
        <v>303</v>
      </c>
      <c r="N18"/>
    </row>
    <row r="19">
      <c r="A19" t="s">
        <v>351</v>
      </c>
      <c r="B19"/>
      <c r="C19"/>
      <c r="D19"/>
      <c r="E19"/>
      <c r="F19"/>
      <c r="G19"/>
      <c r="H19"/>
      <c r="I19"/>
      <c r="J19"/>
      <c r="K19"/>
      <c r="L19" t="s">
        <v>329</v>
      </c>
      <c r="M19"/>
      <c r="N19"/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284</v>
      </c>
    </row>
    <row r="2">
      <c r="A2" t="s">
        <v>285</v>
      </c>
      <c r="B2" t="s">
        <v>286</v>
      </c>
      <c r="C2" t="s">
        <v>287</v>
      </c>
      <c r="D2" t="s">
        <v>288</v>
      </c>
      <c r="E2" t="s">
        <v>289</v>
      </c>
      <c r="F2" t="s">
        <v>290</v>
      </c>
      <c r="G2" t="s">
        <v>291</v>
      </c>
      <c r="H2" t="s">
        <v>292</v>
      </c>
      <c r="I2" t="s">
        <v>293</v>
      </c>
      <c r="J2" t="s">
        <v>294</v>
      </c>
      <c r="K2" t="s">
        <v>295</v>
      </c>
      <c r="L2" t="s">
        <v>296</v>
      </c>
      <c r="M2" t="s">
        <v>297</v>
      </c>
      <c r="N2" t="s">
        <v>1</v>
      </c>
    </row>
    <row r="3">
      <c r="A3" t="s">
        <v>298</v>
      </c>
      <c r="B3" t="s">
        <v>299</v>
      </c>
      <c r="C3" t="n">
        <v>30.854136235011</v>
      </c>
      <c r="D3" t="n">
        <v>0.790027679882994</v>
      </c>
      <c r="E3" t="n">
        <v>1525.25399111333</v>
      </c>
      <c r="F3" t="n">
        <v>0</v>
      </c>
      <c r="G3" t="s">
        <v>300</v>
      </c>
      <c r="H3" t="n">
        <v>30.854136235011</v>
      </c>
      <c r="I3" t="n">
        <v>29.3056819824404</v>
      </c>
      <c r="J3" t="n">
        <v>32.4025904875817</v>
      </c>
      <c r="K3" t="s">
        <v>352</v>
      </c>
      <c r="L3" t="s">
        <v>353</v>
      </c>
      <c r="M3" t="s">
        <v>51</v>
      </c>
      <c r="N3"/>
    </row>
    <row r="4">
      <c r="A4" t="s">
        <v>298</v>
      </c>
      <c r="B4" t="s">
        <v>304</v>
      </c>
      <c r="C4" t="n">
        <v>6.87197185632739</v>
      </c>
      <c r="D4" t="n">
        <v>1.49640381243492</v>
      </c>
      <c r="E4" t="n">
        <v>21.0894441082304</v>
      </c>
      <c r="F4" t="n">
        <v>0.00000438336133867789</v>
      </c>
      <c r="G4" t="s">
        <v>300</v>
      </c>
      <c r="H4" t="n">
        <v>6.87197185632739</v>
      </c>
      <c r="I4" t="n">
        <v>3.93902038395495</v>
      </c>
      <c r="J4" t="n">
        <v>9.80492332869984</v>
      </c>
      <c r="K4" t="s">
        <v>354</v>
      </c>
      <c r="L4" t="s">
        <v>353</v>
      </c>
      <c r="M4" t="s">
        <v>51</v>
      </c>
      <c r="N4"/>
    </row>
    <row r="5">
      <c r="A5" t="s">
        <v>298</v>
      </c>
      <c r="B5" t="s">
        <v>51</v>
      </c>
      <c r="C5" t="n">
        <v>0.0155691359714308</v>
      </c>
      <c r="D5" t="n">
        <v>0.0363144468608894</v>
      </c>
      <c r="E5" t="n">
        <v>0.183810432206113</v>
      </c>
      <c r="F5" t="n">
        <v>0.668118860586041</v>
      </c>
      <c r="G5" t="s">
        <v>300</v>
      </c>
      <c r="H5" t="n">
        <v>0.0155691359714308</v>
      </c>
      <c r="I5" t="n">
        <v>-0.0556071798759125</v>
      </c>
      <c r="J5" t="n">
        <v>0.086745451818774</v>
      </c>
      <c r="K5" t="s">
        <v>355</v>
      </c>
      <c r="L5" t="s">
        <v>353</v>
      </c>
      <c r="M5" t="s">
        <v>51</v>
      </c>
      <c r="N5"/>
    </row>
    <row r="6">
      <c r="A6" t="s">
        <v>51</v>
      </c>
      <c r="B6" t="s">
        <v>299</v>
      </c>
      <c r="C6" t="n">
        <v>-4.73135906820822</v>
      </c>
      <c r="D6" t="n">
        <v>0.766387086659806</v>
      </c>
      <c r="E6" t="n">
        <v>38.1132040451215</v>
      </c>
      <c r="F6" t="n">
        <v>0.000000000667568444967515</v>
      </c>
      <c r="G6" t="s">
        <v>300</v>
      </c>
      <c r="H6" t="n">
        <v>-4.73135906820822</v>
      </c>
      <c r="I6" t="n">
        <v>-6.23347775806144</v>
      </c>
      <c r="J6" t="n">
        <v>-3.229240378355</v>
      </c>
      <c r="K6" t="s">
        <v>356</v>
      </c>
      <c r="L6" t="s">
        <v>353</v>
      </c>
      <c r="M6" t="s">
        <v>298</v>
      </c>
      <c r="N6"/>
    </row>
    <row r="7">
      <c r="A7" t="s">
        <v>51</v>
      </c>
      <c r="B7" t="s">
        <v>304</v>
      </c>
      <c r="C7" t="n">
        <v>-0.327866796041595</v>
      </c>
      <c r="D7" t="n">
        <v>0.310837133231925</v>
      </c>
      <c r="E7" t="n">
        <v>1.11257445341856</v>
      </c>
      <c r="F7" t="n">
        <v>0.291523003446177</v>
      </c>
      <c r="G7" t="s">
        <v>300</v>
      </c>
      <c r="H7" t="n">
        <v>-0.327866796041595</v>
      </c>
      <c r="I7" t="n">
        <v>-0.937107577176168</v>
      </c>
      <c r="J7" t="n">
        <v>0.281373985092979</v>
      </c>
      <c r="K7" t="s">
        <v>357</v>
      </c>
      <c r="L7" t="s">
        <v>353</v>
      </c>
      <c r="M7" t="s">
        <v>298</v>
      </c>
      <c r="N7"/>
    </row>
    <row r="8">
      <c r="A8" t="s">
        <v>51</v>
      </c>
      <c r="B8" t="s">
        <v>298</v>
      </c>
      <c r="C8" t="n">
        <v>0.0157930564238363</v>
      </c>
      <c r="D8" t="n">
        <v>0.0243126102423434</v>
      </c>
      <c r="E8" t="n">
        <v>0.421957973685177</v>
      </c>
      <c r="F8" t="n">
        <v>0.515961666894854</v>
      </c>
      <c r="G8" t="s">
        <v>300</v>
      </c>
      <c r="H8" t="n">
        <v>0.0157930564238363</v>
      </c>
      <c r="I8" t="n">
        <v>-0.0318596596511567</v>
      </c>
      <c r="J8" t="n">
        <v>0.0634457724988293</v>
      </c>
      <c r="K8" t="s">
        <v>358</v>
      </c>
      <c r="L8" t="s">
        <v>353</v>
      </c>
      <c r="M8" t="s">
        <v>298</v>
      </c>
      <c r="N8"/>
    </row>
    <row r="9">
      <c r="A9" t="s">
        <v>58</v>
      </c>
      <c r="B9" t="s">
        <v>299</v>
      </c>
      <c r="C9" t="n">
        <v>0.271005252418356</v>
      </c>
      <c r="D9" t="n">
        <v>0.105882982218051</v>
      </c>
      <c r="E9" t="n">
        <v>6.55093192830604</v>
      </c>
      <c r="F9" t="n">
        <v>0.0104829237657047</v>
      </c>
      <c r="G9" t="s">
        <v>300</v>
      </c>
      <c r="H9" t="n">
        <v>0.271005252418356</v>
      </c>
      <c r="I9" t="n">
        <v>0.063474607270976</v>
      </c>
      <c r="J9" t="n">
        <v>0.478535897565735</v>
      </c>
      <c r="K9" t="s">
        <v>359</v>
      </c>
      <c r="L9" t="s">
        <v>302</v>
      </c>
      <c r="M9" t="s">
        <v>360</v>
      </c>
      <c r="N9"/>
    </row>
    <row r="10">
      <c r="A10" t="s">
        <v>58</v>
      </c>
      <c r="B10" t="s">
        <v>304</v>
      </c>
      <c r="C10" t="n">
        <v>-0.016966651778939</v>
      </c>
      <c r="D10" t="n">
        <v>0.0505185158921953</v>
      </c>
      <c r="E10" t="n">
        <v>0.112795331748157</v>
      </c>
      <c r="F10" t="n">
        <v>0.736983860643031</v>
      </c>
      <c r="G10" t="s">
        <v>300</v>
      </c>
      <c r="H10" t="n">
        <v>-0.016966651778939</v>
      </c>
      <c r="I10" t="n">
        <v>-0.115982942927642</v>
      </c>
      <c r="J10" t="n">
        <v>0.0820496393697638</v>
      </c>
      <c r="K10" t="s">
        <v>361</v>
      </c>
      <c r="L10" t="s">
        <v>302</v>
      </c>
      <c r="M10" t="s">
        <v>360</v>
      </c>
      <c r="N10"/>
    </row>
    <row r="11">
      <c r="A11" t="s">
        <v>58</v>
      </c>
      <c r="B11" t="s">
        <v>298</v>
      </c>
      <c r="C11" t="n">
        <v>0.00000228226988646589</v>
      </c>
      <c r="D11" t="n">
        <v>0.00327781356287212</v>
      </c>
      <c r="E11" t="n">
        <v>0.000000484803229396892</v>
      </c>
      <c r="F11" t="n">
        <v>0.999444450477756</v>
      </c>
      <c r="G11" t="s">
        <v>300</v>
      </c>
      <c r="H11" t="n">
        <v>0.00000228226988646589</v>
      </c>
      <c r="I11" t="n">
        <v>-0.00642223231334288</v>
      </c>
      <c r="J11" t="n">
        <v>0.00642679685311582</v>
      </c>
      <c r="K11" t="s">
        <v>362</v>
      </c>
      <c r="L11" t="s">
        <v>302</v>
      </c>
      <c r="M11" t="s">
        <v>360</v>
      </c>
      <c r="N11"/>
    </row>
    <row r="12">
      <c r="A12" t="s">
        <v>58</v>
      </c>
      <c r="B12" t="s">
        <v>51</v>
      </c>
      <c r="C12" t="n">
        <v>0.985068130744604</v>
      </c>
      <c r="D12" t="n">
        <v>0.0110146948988047</v>
      </c>
      <c r="E12" t="n">
        <v>7998.1140711045</v>
      </c>
      <c r="F12" t="n">
        <v>0</v>
      </c>
      <c r="G12" t="s">
        <v>300</v>
      </c>
      <c r="H12" t="n">
        <v>0.985068130744604</v>
      </c>
      <c r="I12" t="n">
        <v>0.963479328742947</v>
      </c>
      <c r="J12" t="n">
        <v>1.00665693274626</v>
      </c>
      <c r="K12" t="s">
        <v>363</v>
      </c>
      <c r="L12" t="s">
        <v>302</v>
      </c>
      <c r="M12" t="s">
        <v>360</v>
      </c>
      <c r="N12"/>
    </row>
    <row r="13">
      <c r="A13" t="s">
        <v>64</v>
      </c>
      <c r="B13" t="s">
        <v>299</v>
      </c>
      <c r="C13" t="n">
        <v>-0.676949626942488</v>
      </c>
      <c r="D13" t="n">
        <v>0.214075288666419</v>
      </c>
      <c r="E13" t="n">
        <v>9.99953097121797</v>
      </c>
      <c r="F13" t="n">
        <v>0.00156580100109094</v>
      </c>
      <c r="G13" t="s">
        <v>300</v>
      </c>
      <c r="H13" t="n">
        <v>-0.676949626942488</v>
      </c>
      <c r="I13" t="n">
        <v>-1.09653719272867</v>
      </c>
      <c r="J13" t="n">
        <v>-0.257362061156307</v>
      </c>
      <c r="K13" t="s">
        <v>364</v>
      </c>
      <c r="L13" t="s">
        <v>302</v>
      </c>
      <c r="M13" t="s">
        <v>360</v>
      </c>
      <c r="N13"/>
    </row>
    <row r="14">
      <c r="A14" t="s">
        <v>64</v>
      </c>
      <c r="B14" t="s">
        <v>304</v>
      </c>
      <c r="C14" t="n">
        <v>-0.0202560482554563</v>
      </c>
      <c r="D14" t="n">
        <v>0.096152337404426</v>
      </c>
      <c r="E14" t="n">
        <v>0.044380250948278</v>
      </c>
      <c r="F14" t="n">
        <v>0.833147745376256</v>
      </c>
      <c r="G14" t="s">
        <v>300</v>
      </c>
      <c r="H14" t="n">
        <v>-0.0202560482554563</v>
      </c>
      <c r="I14" t="n">
        <v>-0.208714629568131</v>
      </c>
      <c r="J14" t="n">
        <v>0.168202533057219</v>
      </c>
      <c r="K14" t="s">
        <v>365</v>
      </c>
      <c r="L14" t="s">
        <v>302</v>
      </c>
      <c r="M14" t="s">
        <v>360</v>
      </c>
      <c r="N14"/>
    </row>
    <row r="15">
      <c r="A15" t="s">
        <v>64</v>
      </c>
      <c r="B15" t="s">
        <v>298</v>
      </c>
      <c r="C15" t="n">
        <v>0.00458743112113052</v>
      </c>
      <c r="D15" t="n">
        <v>0.00660465448771402</v>
      </c>
      <c r="E15" t="n">
        <v>0.48243511005641</v>
      </c>
      <c r="F15" t="n">
        <v>0.487321377384727</v>
      </c>
      <c r="G15" t="s">
        <v>300</v>
      </c>
      <c r="H15" t="n">
        <v>0.00458743112113052</v>
      </c>
      <c r="I15" t="n">
        <v>-0.00835769167478896</v>
      </c>
      <c r="J15" t="n">
        <v>0.01753255391705</v>
      </c>
      <c r="K15" t="s">
        <v>366</v>
      </c>
      <c r="L15" t="s">
        <v>302</v>
      </c>
      <c r="M15" t="s">
        <v>360</v>
      </c>
      <c r="N15"/>
    </row>
    <row r="16">
      <c r="A16" t="s">
        <v>64</v>
      </c>
      <c r="B16" t="s">
        <v>51</v>
      </c>
      <c r="C16" t="n">
        <v>0.030160969179639</v>
      </c>
      <c r="D16" t="n">
        <v>0.022278453538387</v>
      </c>
      <c r="E16" t="n">
        <v>1.83282290575909</v>
      </c>
      <c r="F16" t="n">
        <v>0.175794481520173</v>
      </c>
      <c r="G16" t="s">
        <v>300</v>
      </c>
      <c r="H16" t="n">
        <v>0.030160969179639</v>
      </c>
      <c r="I16" t="n">
        <v>-0.0135047997555995</v>
      </c>
      <c r="J16" t="n">
        <v>0.0738267381148775</v>
      </c>
      <c r="K16" t="s">
        <v>367</v>
      </c>
      <c r="L16" t="s">
        <v>302</v>
      </c>
      <c r="M16" t="s">
        <v>360</v>
      </c>
      <c r="N16"/>
    </row>
    <row r="17">
      <c r="A17" t="s">
        <v>70</v>
      </c>
      <c r="B17" t="s">
        <v>299</v>
      </c>
      <c r="C17" t="n">
        <v>0.633480197021396</v>
      </c>
      <c r="D17" t="n">
        <v>0.046637107936012</v>
      </c>
      <c r="E17" t="n">
        <v>184.502758668664</v>
      </c>
      <c r="F17" t="n">
        <v>0</v>
      </c>
      <c r="G17" t="s">
        <v>300</v>
      </c>
      <c r="H17" t="n">
        <v>0.633480197021396</v>
      </c>
      <c r="I17" t="n">
        <v>0.542071465466812</v>
      </c>
      <c r="J17" t="n">
        <v>0.724888928575979</v>
      </c>
      <c r="K17" t="s">
        <v>368</v>
      </c>
      <c r="L17" t="s">
        <v>302</v>
      </c>
      <c r="M17" t="s">
        <v>360</v>
      </c>
      <c r="N17"/>
    </row>
    <row r="18">
      <c r="A18" t="s">
        <v>70</v>
      </c>
      <c r="B18" t="s">
        <v>304</v>
      </c>
      <c r="C18" t="n">
        <v>-0.000375881957952405</v>
      </c>
      <c r="D18" t="n">
        <v>0.0211180808044446</v>
      </c>
      <c r="E18" t="n">
        <v>0.000316806487374198</v>
      </c>
      <c r="F18" t="n">
        <v>0.985799155762773</v>
      </c>
      <c r="G18" t="s">
        <v>300</v>
      </c>
      <c r="H18" t="n">
        <v>-0.000375881957952405</v>
      </c>
      <c r="I18" t="n">
        <v>-0.0417673203346639</v>
      </c>
      <c r="J18" t="n">
        <v>0.0410155564187591</v>
      </c>
      <c r="K18" t="s">
        <v>369</v>
      </c>
      <c r="L18" t="s">
        <v>302</v>
      </c>
      <c r="M18" t="s">
        <v>360</v>
      </c>
      <c r="N18"/>
    </row>
    <row r="19">
      <c r="A19" t="s">
        <v>70</v>
      </c>
      <c r="B19" t="s">
        <v>298</v>
      </c>
      <c r="C19" t="n">
        <v>-0.000685087752792423</v>
      </c>
      <c r="D19" t="n">
        <v>0.00120971110034436</v>
      </c>
      <c r="E19" t="n">
        <v>0.320722239666452</v>
      </c>
      <c r="F19" t="n">
        <v>0.571173928344029</v>
      </c>
      <c r="G19" t="s">
        <v>300</v>
      </c>
      <c r="H19" t="n">
        <v>-0.000685087752792423</v>
      </c>
      <c r="I19" t="n">
        <v>-0.00305612150946736</v>
      </c>
      <c r="J19" t="n">
        <v>0.00168594600388252</v>
      </c>
      <c r="K19" t="s">
        <v>370</v>
      </c>
      <c r="L19" t="s">
        <v>302</v>
      </c>
      <c r="M19" t="s">
        <v>360</v>
      </c>
      <c r="N19"/>
    </row>
    <row r="20">
      <c r="A20" t="s">
        <v>70</v>
      </c>
      <c r="B20" t="s">
        <v>51</v>
      </c>
      <c r="C20" t="n">
        <v>-0.110425283588295</v>
      </c>
      <c r="D20" t="n">
        <v>0.00507504398050469</v>
      </c>
      <c r="E20" t="n">
        <v>473.431800380655</v>
      </c>
      <c r="F20" t="n">
        <v>0</v>
      </c>
      <c r="G20" t="s">
        <v>300</v>
      </c>
      <c r="H20" t="n">
        <v>-0.110425283588295</v>
      </c>
      <c r="I20" t="n">
        <v>-0.120372369790084</v>
      </c>
      <c r="J20" t="n">
        <v>-0.100478197386506</v>
      </c>
      <c r="K20" t="s">
        <v>371</v>
      </c>
      <c r="L20" t="s">
        <v>302</v>
      </c>
      <c r="M20" t="s">
        <v>360</v>
      </c>
      <c r="N20"/>
    </row>
    <row r="21">
      <c r="A21" t="s">
        <v>76</v>
      </c>
      <c r="B21" t="s">
        <v>299</v>
      </c>
      <c r="C21" t="n">
        <v>-0.0205803146865914</v>
      </c>
      <c r="D21" t="n">
        <v>0.0146052405712918</v>
      </c>
      <c r="E21" t="n">
        <v>1.98557635521811</v>
      </c>
      <c r="F21" t="n">
        <v>0.158804179872449</v>
      </c>
      <c r="G21" t="s">
        <v>300</v>
      </c>
      <c r="H21" t="n">
        <v>-0.0205803146865914</v>
      </c>
      <c r="I21" t="n">
        <v>-0.0492065862063233</v>
      </c>
      <c r="J21" t="n">
        <v>0.00804595683314048</v>
      </c>
      <c r="K21" t="s">
        <v>372</v>
      </c>
      <c r="L21" t="s">
        <v>302</v>
      </c>
      <c r="M21" t="s">
        <v>360</v>
      </c>
      <c r="N21"/>
    </row>
    <row r="22">
      <c r="A22" t="s">
        <v>76</v>
      </c>
      <c r="B22" t="s">
        <v>304</v>
      </c>
      <c r="C22" t="n">
        <v>0.00568483033935821</v>
      </c>
      <c r="D22" t="n">
        <v>0.00630690953279541</v>
      </c>
      <c r="E22" t="n">
        <v>0.812459671658469</v>
      </c>
      <c r="F22" t="n">
        <v>0.367394045844733</v>
      </c>
      <c r="G22" t="s">
        <v>300</v>
      </c>
      <c r="H22" t="n">
        <v>0.00568483033935821</v>
      </c>
      <c r="I22" t="n">
        <v>-0.00667671234492079</v>
      </c>
      <c r="J22" t="n">
        <v>0.0180463730236372</v>
      </c>
      <c r="K22" t="s">
        <v>373</v>
      </c>
      <c r="L22" t="s">
        <v>302</v>
      </c>
      <c r="M22" t="s">
        <v>360</v>
      </c>
      <c r="N22"/>
    </row>
    <row r="23">
      <c r="A23" t="s">
        <v>76</v>
      </c>
      <c r="B23" t="s">
        <v>298</v>
      </c>
      <c r="C23" t="n">
        <v>0.0000518431980623701</v>
      </c>
      <c r="D23" t="n">
        <v>0.000393625930903781</v>
      </c>
      <c r="E23" t="n">
        <v>0.0173466720022548</v>
      </c>
      <c r="F23" t="n">
        <v>0.89521623427372</v>
      </c>
      <c r="G23" t="s">
        <v>300</v>
      </c>
      <c r="H23" t="n">
        <v>0.0000518431980623701</v>
      </c>
      <c r="I23" t="n">
        <v>-0.000719663626509041</v>
      </c>
      <c r="J23" t="n">
        <v>0.000823350022633781</v>
      </c>
      <c r="K23" t="s">
        <v>374</v>
      </c>
      <c r="L23" t="s">
        <v>302</v>
      </c>
      <c r="M23" t="s">
        <v>360</v>
      </c>
      <c r="N23"/>
    </row>
    <row r="24">
      <c r="A24" t="s">
        <v>76</v>
      </c>
      <c r="B24" t="s">
        <v>51</v>
      </c>
      <c r="C24" t="n">
        <v>-0.00154506572920057</v>
      </c>
      <c r="D24" t="n">
        <v>0.00174955006265289</v>
      </c>
      <c r="E24" t="n">
        <v>0.779904041635173</v>
      </c>
      <c r="F24" t="n">
        <v>0.377170488869691</v>
      </c>
      <c r="G24" t="s">
        <v>300</v>
      </c>
      <c r="H24" t="n">
        <v>-0.00154506572920057</v>
      </c>
      <c r="I24" t="n">
        <v>-0.00497418385200023</v>
      </c>
      <c r="J24" t="n">
        <v>0.0018840523935991</v>
      </c>
      <c r="K24" t="s">
        <v>375</v>
      </c>
      <c r="L24" t="s">
        <v>302</v>
      </c>
      <c r="M24" t="s">
        <v>360</v>
      </c>
      <c r="N24"/>
    </row>
    <row r="25">
      <c r="A25" t="s">
        <v>81</v>
      </c>
      <c r="B25" t="s">
        <v>299</v>
      </c>
      <c r="C25" t="n">
        <v>541.789547370598</v>
      </c>
      <c r="D25" t="n">
        <v>12.8351163977715</v>
      </c>
      <c r="E25" t="n">
        <v>1781.8109397443</v>
      </c>
      <c r="F25" t="n">
        <v>0</v>
      </c>
      <c r="G25" t="s">
        <v>300</v>
      </c>
      <c r="H25" t="n">
        <v>541.789547370598</v>
      </c>
      <c r="I25" t="n">
        <v>516.632719230966</v>
      </c>
      <c r="J25" t="n">
        <v>566.94637551023</v>
      </c>
      <c r="K25" t="s">
        <v>376</v>
      </c>
      <c r="L25" t="s">
        <v>302</v>
      </c>
      <c r="M25" t="s">
        <v>360</v>
      </c>
      <c r="N25"/>
    </row>
    <row r="26">
      <c r="A26" t="s">
        <v>81</v>
      </c>
      <c r="B26" t="s">
        <v>304</v>
      </c>
      <c r="C26" t="n">
        <v>-16.2016426673054</v>
      </c>
      <c r="D26" t="n">
        <v>5.87045853809574</v>
      </c>
      <c r="E26" t="n">
        <v>7.61682624771298</v>
      </c>
      <c r="F26" t="n">
        <v>0.00578261675478631</v>
      </c>
      <c r="G26" t="s">
        <v>300</v>
      </c>
      <c r="H26" t="n">
        <v>-16.2016426673054</v>
      </c>
      <c r="I26" t="n">
        <v>-27.707741401973</v>
      </c>
      <c r="J26" t="n">
        <v>-4.69554393263777</v>
      </c>
      <c r="K26" t="s">
        <v>377</v>
      </c>
      <c r="L26" t="s">
        <v>302</v>
      </c>
      <c r="M26" t="s">
        <v>360</v>
      </c>
      <c r="N26"/>
    </row>
    <row r="27">
      <c r="A27" t="s">
        <v>81</v>
      </c>
      <c r="B27" t="s">
        <v>298</v>
      </c>
      <c r="C27" t="n">
        <v>0.196684280701378</v>
      </c>
      <c r="D27" t="n">
        <v>0.371749473925465</v>
      </c>
      <c r="E27" t="n">
        <v>0.279922996482089</v>
      </c>
      <c r="F27" t="n">
        <v>0.59675169199486</v>
      </c>
      <c r="G27" t="s">
        <v>300</v>
      </c>
      <c r="H27" t="n">
        <v>0.196684280701378</v>
      </c>
      <c r="I27" t="n">
        <v>-0.531944688192532</v>
      </c>
      <c r="J27" t="n">
        <v>0.925313249595289</v>
      </c>
      <c r="K27" t="s">
        <v>378</v>
      </c>
      <c r="L27" t="s">
        <v>302</v>
      </c>
      <c r="M27" t="s">
        <v>360</v>
      </c>
      <c r="N27"/>
    </row>
    <row r="28">
      <c r="A28" t="s">
        <v>81</v>
      </c>
      <c r="B28" t="s">
        <v>51</v>
      </c>
      <c r="C28" t="n">
        <v>0.699376348746648</v>
      </c>
      <c r="D28" t="n">
        <v>1.33586189175161</v>
      </c>
      <c r="E28" t="n">
        <v>0.274093515467235</v>
      </c>
      <c r="F28" t="n">
        <v>0.600598932154715</v>
      </c>
      <c r="G28" t="s">
        <v>300</v>
      </c>
      <c r="H28" t="n">
        <v>0.699376348746648</v>
      </c>
      <c r="I28" t="n">
        <v>-1.91891295908651</v>
      </c>
      <c r="J28" t="n">
        <v>3.31766565657981</v>
      </c>
      <c r="K28" t="s">
        <v>379</v>
      </c>
      <c r="L28" t="s">
        <v>302</v>
      </c>
      <c r="M28" t="s">
        <v>360</v>
      </c>
      <c r="N28"/>
    </row>
    <row r="29">
      <c r="A29" t="s">
        <v>87</v>
      </c>
      <c r="B29" t="s">
        <v>299</v>
      </c>
      <c r="C29" t="n">
        <v>43.0914370525723</v>
      </c>
      <c r="D29" t="n">
        <v>0.789073879063262</v>
      </c>
      <c r="E29" t="n">
        <v>2982.2676740992</v>
      </c>
      <c r="F29" t="n">
        <v>0</v>
      </c>
      <c r="G29" t="s">
        <v>300</v>
      </c>
      <c r="H29" t="n">
        <v>43.0914370525723</v>
      </c>
      <c r="I29" t="n">
        <v>41.5448522496083</v>
      </c>
      <c r="J29" t="n">
        <v>44.6380218555363</v>
      </c>
      <c r="K29" t="s">
        <v>380</v>
      </c>
      <c r="L29" t="s">
        <v>302</v>
      </c>
      <c r="M29" t="s">
        <v>360</v>
      </c>
      <c r="N29"/>
    </row>
    <row r="30">
      <c r="A30" t="s">
        <v>87</v>
      </c>
      <c r="B30" t="s">
        <v>304</v>
      </c>
      <c r="C30" t="n">
        <v>-0.194351878549821</v>
      </c>
      <c r="D30" t="n">
        <v>0.309906749046438</v>
      </c>
      <c r="E30" t="n">
        <v>0.39329227576814</v>
      </c>
      <c r="F30" t="n">
        <v>0.530573898708602</v>
      </c>
      <c r="G30" t="s">
        <v>300</v>
      </c>
      <c r="H30" t="n">
        <v>-0.194351878549821</v>
      </c>
      <c r="I30" t="n">
        <v>-0.801769106680839</v>
      </c>
      <c r="J30" t="n">
        <v>0.413065349581196</v>
      </c>
      <c r="K30" t="s">
        <v>381</v>
      </c>
      <c r="L30" t="s">
        <v>302</v>
      </c>
      <c r="M30" t="s">
        <v>360</v>
      </c>
      <c r="N30"/>
    </row>
    <row r="31">
      <c r="A31" t="s">
        <v>87</v>
      </c>
      <c r="B31" t="s">
        <v>298</v>
      </c>
      <c r="C31" t="n">
        <v>0.0191311776054509</v>
      </c>
      <c r="D31" t="n">
        <v>0.0219231548080078</v>
      </c>
      <c r="E31" t="n">
        <v>0.761512972235339</v>
      </c>
      <c r="F31" t="n">
        <v>0.382855456238854</v>
      </c>
      <c r="G31" t="s">
        <v>300</v>
      </c>
      <c r="H31" t="n">
        <v>0.0191311776054509</v>
      </c>
      <c r="I31" t="n">
        <v>-0.0238382058182445</v>
      </c>
      <c r="J31" t="n">
        <v>0.0621005610291462</v>
      </c>
      <c r="K31" t="s">
        <v>382</v>
      </c>
      <c r="L31" t="s">
        <v>302</v>
      </c>
      <c r="M31" t="s">
        <v>360</v>
      </c>
      <c r="N31"/>
    </row>
    <row r="32">
      <c r="A32" t="s">
        <v>87</v>
      </c>
      <c r="B32" t="s">
        <v>51</v>
      </c>
      <c r="C32" t="n">
        <v>0.00452454517503836</v>
      </c>
      <c r="D32" t="n">
        <v>0.0740643728745662</v>
      </c>
      <c r="E32" t="n">
        <v>0.00373190996678982</v>
      </c>
      <c r="F32" t="n">
        <v>0.951288042413849</v>
      </c>
      <c r="G32" t="s">
        <v>300</v>
      </c>
      <c r="H32" t="n">
        <v>0.00452454517503836</v>
      </c>
      <c r="I32" t="n">
        <v>-0.140641625659111</v>
      </c>
      <c r="J32" t="n">
        <v>0.149690716009188</v>
      </c>
      <c r="K32" t="s">
        <v>383</v>
      </c>
      <c r="L32" t="s">
        <v>302</v>
      </c>
      <c r="M32" t="s">
        <v>360</v>
      </c>
      <c r="N32"/>
    </row>
    <row r="33">
      <c r="A33" t="s">
        <v>93</v>
      </c>
      <c r="B33"/>
      <c r="C33"/>
      <c r="D33"/>
      <c r="E33"/>
      <c r="F33"/>
      <c r="G33"/>
      <c r="H33"/>
      <c r="I33"/>
      <c r="J33"/>
      <c r="K33"/>
      <c r="L33" t="s">
        <v>320</v>
      </c>
      <c r="M33"/>
      <c r="N33"/>
    </row>
    <row r="34">
      <c r="A34" t="s">
        <v>23</v>
      </c>
      <c r="B34" t="s">
        <v>299</v>
      </c>
      <c r="C34" t="n">
        <v>-0.91801457612537</v>
      </c>
      <c r="D34" t="n">
        <v>0.999031170297789</v>
      </c>
      <c r="E34" t="n">
        <v>0.844386102083344</v>
      </c>
      <c r="F34" t="n">
        <v>0.35814534895558</v>
      </c>
      <c r="G34" t="s">
        <v>321</v>
      </c>
      <c r="H34" t="n">
        <v>0.399311056285952</v>
      </c>
      <c r="I34" t="n">
        <v>0.0563532328126252</v>
      </c>
      <c r="J34" t="n">
        <v>2.82946180217154</v>
      </c>
      <c r="K34" t="s">
        <v>384</v>
      </c>
      <c r="L34" t="s">
        <v>323</v>
      </c>
      <c r="M34" t="s">
        <v>360</v>
      </c>
      <c r="N34"/>
    </row>
    <row r="35">
      <c r="A35" t="s">
        <v>23</v>
      </c>
      <c r="B35" t="s">
        <v>304</v>
      </c>
      <c r="C35" t="n">
        <v>-0.534245265038864</v>
      </c>
      <c r="D35" t="n">
        <v>0.504772955933567</v>
      </c>
      <c r="E35" t="n">
        <v>1.12018358913712</v>
      </c>
      <c r="F35" t="n">
        <v>0.289878925891993</v>
      </c>
      <c r="G35" t="s">
        <v>321</v>
      </c>
      <c r="H35" t="n">
        <v>0.586111482081597</v>
      </c>
      <c r="I35" t="n">
        <v>0.217925883342438</v>
      </c>
      <c r="J35" t="n">
        <v>1.57634634380757</v>
      </c>
      <c r="K35" t="s">
        <v>385</v>
      </c>
      <c r="L35" t="s">
        <v>323</v>
      </c>
      <c r="M35" t="s">
        <v>360</v>
      </c>
      <c r="N35"/>
    </row>
    <row r="36">
      <c r="A36" t="s">
        <v>23</v>
      </c>
      <c r="B36" t="s">
        <v>298</v>
      </c>
      <c r="C36" t="n">
        <v>0.0350997347402107</v>
      </c>
      <c r="D36" t="n">
        <v>0.0313629609112277</v>
      </c>
      <c r="E36" t="n">
        <v>1.25248794689614</v>
      </c>
      <c r="F36" t="n">
        <v>0.263077824400479</v>
      </c>
      <c r="G36" t="s">
        <v>321</v>
      </c>
      <c r="H36" t="n">
        <v>1.03572300121307</v>
      </c>
      <c r="I36" t="n">
        <v>0.973973027093254</v>
      </c>
      <c r="J36" t="n">
        <v>1.10138792903051</v>
      </c>
      <c r="K36" t="s">
        <v>386</v>
      </c>
      <c r="L36" t="s">
        <v>323</v>
      </c>
      <c r="M36" t="s">
        <v>360</v>
      </c>
      <c r="N36"/>
    </row>
    <row r="37">
      <c r="A37" t="s">
        <v>23</v>
      </c>
      <c r="B37" t="s">
        <v>51</v>
      </c>
      <c r="C37" t="n">
        <v>0.0014723175729946</v>
      </c>
      <c r="D37" t="n">
        <v>0.00268012212519874</v>
      </c>
      <c r="E37" t="n">
        <v>0.301782341170579</v>
      </c>
      <c r="F37" t="n">
        <v>0.582767204539544</v>
      </c>
      <c r="G37" t="s">
        <v>321</v>
      </c>
      <c r="H37" t="n">
        <v>1.00147340196464</v>
      </c>
      <c r="I37" t="n">
        <v>0.996226416137898</v>
      </c>
      <c r="J37" t="n">
        <v>1.00674802293517</v>
      </c>
      <c r="K37" t="s">
        <v>387</v>
      </c>
      <c r="L37" t="s">
        <v>323</v>
      </c>
      <c r="M37" t="s">
        <v>360</v>
      </c>
      <c r="N37"/>
    </row>
    <row r="38">
      <c r="A38" t="s">
        <v>325</v>
      </c>
      <c r="B38" t="s">
        <v>299</v>
      </c>
      <c r="C38" t="n">
        <v>-2.15889065827505</v>
      </c>
      <c r="D38" t="n">
        <v>1.23506124521615</v>
      </c>
      <c r="E38" t="n">
        <v>3.05551419490678</v>
      </c>
      <c r="F38" t="n">
        <v>0.0804635224596553</v>
      </c>
      <c r="G38" t="s">
        <v>321</v>
      </c>
      <c r="H38" t="n">
        <v>0.115453126994811</v>
      </c>
      <c r="I38" t="n">
        <v>0.0102588893160189</v>
      </c>
      <c r="J38" t="n">
        <v>1.29930483917655</v>
      </c>
      <c r="K38" t="s">
        <v>388</v>
      </c>
      <c r="L38" t="s">
        <v>323</v>
      </c>
      <c r="M38" t="s">
        <v>360</v>
      </c>
      <c r="N38"/>
    </row>
    <row r="39">
      <c r="A39" t="s">
        <v>325</v>
      </c>
      <c r="B39" t="s">
        <v>304</v>
      </c>
      <c r="C39" t="n">
        <v>0.116973131397546</v>
      </c>
      <c r="D39" t="n">
        <v>0.522568882345044</v>
      </c>
      <c r="E39" t="n">
        <v>0.0501054702473483</v>
      </c>
      <c r="F39" t="n">
        <v>0.822879849246202</v>
      </c>
      <c r="G39" t="s">
        <v>321</v>
      </c>
      <c r="H39" t="n">
        <v>1.12408922657823</v>
      </c>
      <c r="I39" t="n">
        <v>0.403627894770519</v>
      </c>
      <c r="J39" t="n">
        <v>3.13054822444233</v>
      </c>
      <c r="K39" t="s">
        <v>389</v>
      </c>
      <c r="L39" t="s">
        <v>323</v>
      </c>
      <c r="M39" t="s">
        <v>360</v>
      </c>
      <c r="N39"/>
    </row>
    <row r="40">
      <c r="A40" t="s">
        <v>325</v>
      </c>
      <c r="B40" t="s">
        <v>298</v>
      </c>
      <c r="C40" t="n">
        <v>0.0302903696948972</v>
      </c>
      <c r="D40" t="n">
        <v>0.0369171504626171</v>
      </c>
      <c r="E40" t="n">
        <v>0.673213481939518</v>
      </c>
      <c r="F40" t="n">
        <v>0.411933479475433</v>
      </c>
      <c r="G40" t="s">
        <v>321</v>
      </c>
      <c r="H40" t="n">
        <v>1.03075379016751</v>
      </c>
      <c r="I40" t="n">
        <v>0.958805303338887</v>
      </c>
      <c r="J40" t="n">
        <v>1.10810127170226</v>
      </c>
      <c r="K40" t="s">
        <v>390</v>
      </c>
      <c r="L40" t="s">
        <v>323</v>
      </c>
      <c r="M40" t="s">
        <v>360</v>
      </c>
      <c r="N40"/>
    </row>
    <row r="41">
      <c r="A41" t="s">
        <v>325</v>
      </c>
      <c r="B41" t="s">
        <v>51</v>
      </c>
      <c r="C41" t="n">
        <v>0.0230335775343935</v>
      </c>
      <c r="D41" t="n">
        <v>0.0327000693134452</v>
      </c>
      <c r="E41" t="n">
        <v>0.496164225672009</v>
      </c>
      <c r="F41" t="n">
        <v>0.481190394288527</v>
      </c>
      <c r="G41" t="s">
        <v>321</v>
      </c>
      <c r="H41" t="n">
        <v>1.02330089889149</v>
      </c>
      <c r="I41" t="n">
        <v>0.959772925612133</v>
      </c>
      <c r="J41" t="n">
        <v>1.09103382865721</v>
      </c>
      <c r="K41" t="s">
        <v>391</v>
      </c>
      <c r="L41" t="s">
        <v>323</v>
      </c>
      <c r="M41" t="s">
        <v>360</v>
      </c>
      <c r="N41"/>
    </row>
    <row r="42">
      <c r="A42" t="s">
        <v>328</v>
      </c>
      <c r="B42"/>
      <c r="C42"/>
      <c r="D42"/>
      <c r="E42"/>
      <c r="F42"/>
      <c r="G42"/>
      <c r="H42"/>
      <c r="I42"/>
      <c r="J42"/>
      <c r="K42"/>
      <c r="L42" t="s">
        <v>329</v>
      </c>
      <c r="M42"/>
      <c r="N42"/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284</v>
      </c>
    </row>
    <row r="2">
      <c r="A2" t="s">
        <v>285</v>
      </c>
      <c r="B2" t="s">
        <v>286</v>
      </c>
      <c r="C2" t="s">
        <v>287</v>
      </c>
      <c r="D2" t="s">
        <v>288</v>
      </c>
      <c r="E2" t="s">
        <v>289</v>
      </c>
      <c r="F2" t="s">
        <v>290</v>
      </c>
      <c r="G2" t="s">
        <v>291</v>
      </c>
      <c r="H2" t="s">
        <v>292</v>
      </c>
      <c r="I2" t="s">
        <v>293</v>
      </c>
      <c r="J2" t="s">
        <v>294</v>
      </c>
      <c r="K2" t="s">
        <v>295</v>
      </c>
      <c r="L2" t="s">
        <v>296</v>
      </c>
      <c r="M2" t="s">
        <v>297</v>
      </c>
      <c r="N2" t="s">
        <v>1</v>
      </c>
    </row>
    <row r="3">
      <c r="A3" t="s">
        <v>123</v>
      </c>
      <c r="B3" t="s">
        <v>299</v>
      </c>
      <c r="C3" t="n">
        <v>6.64590925949892</v>
      </c>
      <c r="D3" t="n">
        <v>0.142688791006389</v>
      </c>
      <c r="E3" t="n">
        <v>2169.34736266199</v>
      </c>
      <c r="F3" t="n">
        <v>0</v>
      </c>
      <c r="G3" t="s">
        <v>300</v>
      </c>
      <c r="H3" t="n">
        <v>6.64590925949892</v>
      </c>
      <c r="I3" t="n">
        <v>6.3662392291264</v>
      </c>
      <c r="J3" t="n">
        <v>6.92557928987145</v>
      </c>
      <c r="K3" t="s">
        <v>392</v>
      </c>
      <c r="L3" t="s">
        <v>302</v>
      </c>
      <c r="M3" t="s">
        <v>360</v>
      </c>
      <c r="N3"/>
    </row>
    <row r="4">
      <c r="A4" t="s">
        <v>123</v>
      </c>
      <c r="B4" t="s">
        <v>304</v>
      </c>
      <c r="C4" t="n">
        <v>-0.00331837274564017</v>
      </c>
      <c r="D4" t="n">
        <v>0.056282462183564</v>
      </c>
      <c r="E4" t="n">
        <v>0.00347619522874747</v>
      </c>
      <c r="F4" t="n">
        <v>0.95298455143734</v>
      </c>
      <c r="G4" t="s">
        <v>300</v>
      </c>
      <c r="H4" t="n">
        <v>-0.00331837274564017</v>
      </c>
      <c r="I4" t="n">
        <v>-0.113631998625426</v>
      </c>
      <c r="J4" t="n">
        <v>0.106995253134145</v>
      </c>
      <c r="K4" t="s">
        <v>393</v>
      </c>
      <c r="L4" t="s">
        <v>302</v>
      </c>
      <c r="M4" t="s">
        <v>360</v>
      </c>
      <c r="N4"/>
    </row>
    <row r="5">
      <c r="A5" t="s">
        <v>123</v>
      </c>
      <c r="B5" t="s">
        <v>298</v>
      </c>
      <c r="C5" t="n">
        <v>-0.00350787392387792</v>
      </c>
      <c r="D5" t="n">
        <v>0.00378730478474042</v>
      </c>
      <c r="E5" t="n">
        <v>0.857881769715357</v>
      </c>
      <c r="F5" t="n">
        <v>0.354332142909841</v>
      </c>
      <c r="G5" t="s">
        <v>300</v>
      </c>
      <c r="H5" t="n">
        <v>-0.00350787392387792</v>
      </c>
      <c r="I5" t="n">
        <v>-0.0109309913019691</v>
      </c>
      <c r="J5" t="n">
        <v>0.0039152434542133</v>
      </c>
      <c r="K5" t="s">
        <v>394</v>
      </c>
      <c r="L5" t="s">
        <v>302</v>
      </c>
      <c r="M5" t="s">
        <v>360</v>
      </c>
      <c r="N5"/>
    </row>
    <row r="6">
      <c r="A6" t="s">
        <v>123</v>
      </c>
      <c r="B6" t="s">
        <v>51</v>
      </c>
      <c r="C6" t="n">
        <v>0.00463273656529751</v>
      </c>
      <c r="D6" t="n">
        <v>0.0141943380743347</v>
      </c>
      <c r="E6" t="n">
        <v>0.10652337575749</v>
      </c>
      <c r="F6" t="n">
        <v>0.744137480126677</v>
      </c>
      <c r="G6" t="s">
        <v>300</v>
      </c>
      <c r="H6" t="n">
        <v>0.00463273656529751</v>
      </c>
      <c r="I6" t="n">
        <v>-0.0231881660603985</v>
      </c>
      <c r="J6" t="n">
        <v>0.0324536391909935</v>
      </c>
      <c r="K6" t="s">
        <v>395</v>
      </c>
      <c r="L6" t="s">
        <v>302</v>
      </c>
      <c r="M6" t="s">
        <v>360</v>
      </c>
      <c r="N6"/>
    </row>
    <row r="7">
      <c r="A7" t="s">
        <v>129</v>
      </c>
      <c r="B7" t="s">
        <v>299</v>
      </c>
      <c r="C7" t="n">
        <v>1.65785234067355</v>
      </c>
      <c r="D7" t="n">
        <v>3.23376413634549</v>
      </c>
      <c r="E7" t="n">
        <v>0.262830047232175</v>
      </c>
      <c r="F7" t="n">
        <v>0.608182507035778</v>
      </c>
      <c r="G7" t="s">
        <v>300</v>
      </c>
      <c r="H7" t="n">
        <v>1.65785234067355</v>
      </c>
      <c r="I7" t="n">
        <v>-4.6803253665636</v>
      </c>
      <c r="J7" t="n">
        <v>7.99603004791071</v>
      </c>
      <c r="K7" t="s">
        <v>396</v>
      </c>
      <c r="L7" t="s">
        <v>302</v>
      </c>
      <c r="M7" t="s">
        <v>360</v>
      </c>
      <c r="N7"/>
    </row>
    <row r="8">
      <c r="A8" t="s">
        <v>129</v>
      </c>
      <c r="B8" t="s">
        <v>304</v>
      </c>
      <c r="C8" t="n">
        <v>-2.04030450507417</v>
      </c>
      <c r="D8" t="n">
        <v>1.37636846454541</v>
      </c>
      <c r="E8" t="n">
        <v>2.19745783253638</v>
      </c>
      <c r="F8" t="n">
        <v>0.13823855163397</v>
      </c>
      <c r="G8" t="s">
        <v>300</v>
      </c>
      <c r="H8" t="n">
        <v>-2.04030450507417</v>
      </c>
      <c r="I8" t="n">
        <v>-4.73798669558317</v>
      </c>
      <c r="J8" t="n">
        <v>0.65737768543483</v>
      </c>
      <c r="K8" t="s">
        <v>397</v>
      </c>
      <c r="L8" t="s">
        <v>302</v>
      </c>
      <c r="M8" t="s">
        <v>360</v>
      </c>
      <c r="N8"/>
    </row>
    <row r="9">
      <c r="A9" t="s">
        <v>129</v>
      </c>
      <c r="B9" t="s">
        <v>298</v>
      </c>
      <c r="C9" t="n">
        <v>0.127246524563169</v>
      </c>
      <c r="D9" t="n">
        <v>0.0969915807078582</v>
      </c>
      <c r="E9" t="n">
        <v>1.7211700660986</v>
      </c>
      <c r="F9" t="n">
        <v>0.189542501423112</v>
      </c>
      <c r="G9" t="s">
        <v>300</v>
      </c>
      <c r="H9" t="n">
        <v>0.127246524563169</v>
      </c>
      <c r="I9" t="n">
        <v>-0.0628569736242331</v>
      </c>
      <c r="J9" t="n">
        <v>0.317350022750571</v>
      </c>
      <c r="K9" t="s">
        <v>398</v>
      </c>
      <c r="L9" t="s">
        <v>302</v>
      </c>
      <c r="M9" t="s">
        <v>360</v>
      </c>
      <c r="N9"/>
    </row>
    <row r="10">
      <c r="A10" t="s">
        <v>129</v>
      </c>
      <c r="B10" t="s">
        <v>51</v>
      </c>
      <c r="C10" t="n">
        <v>-14.1586154581477</v>
      </c>
      <c r="D10" t="n">
        <v>0.333727988062742</v>
      </c>
      <c r="E10" t="n">
        <v>1799.93288996535</v>
      </c>
      <c r="F10" t="n">
        <v>0</v>
      </c>
      <c r="G10" t="s">
        <v>300</v>
      </c>
      <c r="H10" t="n">
        <v>-14.1586154581477</v>
      </c>
      <c r="I10" t="n">
        <v>-14.8127223147507</v>
      </c>
      <c r="J10" t="n">
        <v>-13.5045086015447</v>
      </c>
      <c r="K10" t="s">
        <v>399</v>
      </c>
      <c r="L10" t="s">
        <v>302</v>
      </c>
      <c r="M10" t="s">
        <v>360</v>
      </c>
      <c r="N10"/>
    </row>
    <row r="11">
      <c r="A11" t="s">
        <v>334</v>
      </c>
      <c r="B11"/>
      <c r="C11"/>
      <c r="D11"/>
      <c r="E11"/>
      <c r="F11"/>
      <c r="G11"/>
      <c r="H11"/>
      <c r="I11"/>
      <c r="J11"/>
      <c r="K11"/>
      <c r="L11" t="s">
        <v>329</v>
      </c>
      <c r="M11"/>
      <c r="N11"/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284</v>
      </c>
    </row>
    <row r="2">
      <c r="A2" t="s">
        <v>285</v>
      </c>
      <c r="B2" t="s">
        <v>286</v>
      </c>
      <c r="C2" t="s">
        <v>287</v>
      </c>
      <c r="D2" t="s">
        <v>288</v>
      </c>
      <c r="E2" t="s">
        <v>289</v>
      </c>
      <c r="F2" t="s">
        <v>290</v>
      </c>
      <c r="G2" t="s">
        <v>291</v>
      </c>
      <c r="H2" t="s">
        <v>292</v>
      </c>
      <c r="I2" t="s">
        <v>293</v>
      </c>
      <c r="J2" t="s">
        <v>294</v>
      </c>
      <c r="K2" t="s">
        <v>295</v>
      </c>
      <c r="L2" t="s">
        <v>296</v>
      </c>
      <c r="M2" t="s">
        <v>297</v>
      </c>
      <c r="N2" t="s">
        <v>1</v>
      </c>
    </row>
    <row r="3">
      <c r="A3" t="s">
        <v>142</v>
      </c>
      <c r="B3" t="s">
        <v>299</v>
      </c>
      <c r="C3" t="n">
        <v>153.109739941958</v>
      </c>
      <c r="D3" t="n">
        <v>40.1546191220828</v>
      </c>
      <c r="E3" t="n">
        <v>14.5390026587083</v>
      </c>
      <c r="F3" t="n">
        <v>0.000137287659898844</v>
      </c>
      <c r="G3" t="s">
        <v>300</v>
      </c>
      <c r="H3" t="n">
        <v>153.109739941958</v>
      </c>
      <c r="I3" t="n">
        <v>74.4066864626753</v>
      </c>
      <c r="J3" t="n">
        <v>231.81279342124</v>
      </c>
      <c r="K3" t="s">
        <v>400</v>
      </c>
      <c r="L3" t="s">
        <v>302</v>
      </c>
      <c r="M3" t="s">
        <v>360</v>
      </c>
      <c r="N3"/>
    </row>
    <row r="4">
      <c r="A4" t="s">
        <v>142</v>
      </c>
      <c r="B4" t="s">
        <v>304</v>
      </c>
      <c r="C4" t="n">
        <v>-27.4405749651713</v>
      </c>
      <c r="D4" t="n">
        <v>13.2578517416274</v>
      </c>
      <c r="E4" t="n">
        <v>4.28390762672642</v>
      </c>
      <c r="F4" t="n">
        <v>0.0384747984420263</v>
      </c>
      <c r="G4" t="s">
        <v>300</v>
      </c>
      <c r="H4" t="n">
        <v>-27.4405749651713</v>
      </c>
      <c r="I4" t="n">
        <v>-53.425964378761</v>
      </c>
      <c r="J4" t="n">
        <v>-1.45518555158155</v>
      </c>
      <c r="K4" t="s">
        <v>401</v>
      </c>
      <c r="L4" t="s">
        <v>302</v>
      </c>
      <c r="M4" t="s">
        <v>360</v>
      </c>
      <c r="N4"/>
    </row>
    <row r="5">
      <c r="A5" t="s">
        <v>142</v>
      </c>
      <c r="B5" t="s">
        <v>298</v>
      </c>
      <c r="C5" t="n">
        <v>1.03270592721473</v>
      </c>
      <c r="D5" t="n">
        <v>1.15498189120558</v>
      </c>
      <c r="E5" t="n">
        <v>0.799471505246686</v>
      </c>
      <c r="F5" t="n">
        <v>0.371251427743244</v>
      </c>
      <c r="G5" t="s">
        <v>300</v>
      </c>
      <c r="H5" t="n">
        <v>1.03270592721473</v>
      </c>
      <c r="I5" t="n">
        <v>-1.23105857954821</v>
      </c>
      <c r="J5" t="n">
        <v>3.29647043397767</v>
      </c>
      <c r="K5" t="s">
        <v>402</v>
      </c>
      <c r="L5" t="s">
        <v>302</v>
      </c>
      <c r="M5" t="s">
        <v>360</v>
      </c>
      <c r="N5"/>
    </row>
    <row r="6">
      <c r="A6" t="s">
        <v>142</v>
      </c>
      <c r="B6" t="s">
        <v>51</v>
      </c>
      <c r="C6" t="n">
        <v>-0.803701120901628</v>
      </c>
      <c r="D6" t="n">
        <v>3.76340252638318</v>
      </c>
      <c r="E6" t="n">
        <v>0.0456066112673102</v>
      </c>
      <c r="F6" t="n">
        <v>0.83089250004588</v>
      </c>
      <c r="G6" t="s">
        <v>300</v>
      </c>
      <c r="H6" t="n">
        <v>-0.803701120901628</v>
      </c>
      <c r="I6" t="n">
        <v>-8.17997007261267</v>
      </c>
      <c r="J6" t="n">
        <v>6.57256783080941</v>
      </c>
      <c r="K6" t="s">
        <v>403</v>
      </c>
      <c r="L6" t="s">
        <v>302</v>
      </c>
      <c r="M6" t="s">
        <v>360</v>
      </c>
      <c r="N6"/>
    </row>
    <row r="7">
      <c r="A7" t="s">
        <v>150</v>
      </c>
      <c r="B7" t="s">
        <v>299</v>
      </c>
      <c r="C7" t="n">
        <v>0.268998534240846</v>
      </c>
      <c r="D7" t="n">
        <v>0.20314588178124</v>
      </c>
      <c r="E7" t="n">
        <v>1.75341122237986</v>
      </c>
      <c r="F7" t="n">
        <v>0.185448468274851</v>
      </c>
      <c r="G7" t="s">
        <v>300</v>
      </c>
      <c r="H7" t="n">
        <v>0.268998534240846</v>
      </c>
      <c r="I7" t="n">
        <v>-0.129167394050385</v>
      </c>
      <c r="J7" t="n">
        <v>0.667164462532077</v>
      </c>
      <c r="K7" t="s">
        <v>404</v>
      </c>
      <c r="L7" t="s">
        <v>302</v>
      </c>
      <c r="M7" t="s">
        <v>360</v>
      </c>
      <c r="N7"/>
    </row>
    <row r="8">
      <c r="A8" t="s">
        <v>150</v>
      </c>
      <c r="B8" t="s">
        <v>304</v>
      </c>
      <c r="C8" t="n">
        <v>-0.146960469747839</v>
      </c>
      <c r="D8" t="n">
        <v>0.0843866861514488</v>
      </c>
      <c r="E8" t="n">
        <v>3.03286582816784</v>
      </c>
      <c r="F8" t="n">
        <v>0.0815937820759136</v>
      </c>
      <c r="G8" t="s">
        <v>300</v>
      </c>
      <c r="H8" t="n">
        <v>-0.146960469747839</v>
      </c>
      <c r="I8" t="n">
        <v>-0.312358374604679</v>
      </c>
      <c r="J8" t="n">
        <v>0.0184374351090003</v>
      </c>
      <c r="K8" t="s">
        <v>405</v>
      </c>
      <c r="L8" t="s">
        <v>302</v>
      </c>
      <c r="M8" t="s">
        <v>360</v>
      </c>
      <c r="N8"/>
    </row>
    <row r="9">
      <c r="A9" t="s">
        <v>150</v>
      </c>
      <c r="B9" t="s">
        <v>298</v>
      </c>
      <c r="C9" t="n">
        <v>-0.0052931610702363</v>
      </c>
      <c r="D9" t="n">
        <v>0.00548918983227374</v>
      </c>
      <c r="E9" t="n">
        <v>0.929851763371611</v>
      </c>
      <c r="F9" t="n">
        <v>0.334901447235252</v>
      </c>
      <c r="G9" t="s">
        <v>300</v>
      </c>
      <c r="H9" t="n">
        <v>-0.0052931610702363</v>
      </c>
      <c r="I9" t="n">
        <v>-0.0160519731414928</v>
      </c>
      <c r="J9" t="n">
        <v>0.00546565100102022</v>
      </c>
      <c r="K9" t="s">
        <v>406</v>
      </c>
      <c r="L9" t="s">
        <v>302</v>
      </c>
      <c r="M9" t="s">
        <v>360</v>
      </c>
      <c r="N9"/>
    </row>
    <row r="10">
      <c r="A10" t="s">
        <v>150</v>
      </c>
      <c r="B10" t="s">
        <v>51</v>
      </c>
      <c r="C10" t="n">
        <v>0.0214846903648832</v>
      </c>
      <c r="D10" t="n">
        <v>0.0169754941204315</v>
      </c>
      <c r="E10" t="n">
        <v>1.60181866186553</v>
      </c>
      <c r="F10" t="n">
        <v>0.205645670154555</v>
      </c>
      <c r="G10" t="s">
        <v>300</v>
      </c>
      <c r="H10" t="n">
        <v>0.0214846903648832</v>
      </c>
      <c r="I10" t="n">
        <v>-0.0117872781111625</v>
      </c>
      <c r="J10" t="n">
        <v>0.054756658840929</v>
      </c>
      <c r="K10" t="s">
        <v>407</v>
      </c>
      <c r="L10" t="s">
        <v>302</v>
      </c>
      <c r="M10" t="s">
        <v>360</v>
      </c>
      <c r="N10"/>
    </row>
    <row r="11">
      <c r="A11" t="s">
        <v>158</v>
      </c>
      <c r="B11" t="s">
        <v>299</v>
      </c>
      <c r="C11" t="n">
        <v>-0.291019461432749</v>
      </c>
      <c r="D11" t="n">
        <v>0.085070080459306</v>
      </c>
      <c r="E11" t="n">
        <v>11.7028160379211</v>
      </c>
      <c r="F11" t="n">
        <v>0.000624055827752046</v>
      </c>
      <c r="G11" t="s">
        <v>300</v>
      </c>
      <c r="H11" t="n">
        <v>-0.291019461432749</v>
      </c>
      <c r="I11" t="n">
        <v>-0.457756819132988</v>
      </c>
      <c r="J11" t="n">
        <v>-0.124282103732509</v>
      </c>
      <c r="K11" t="s">
        <v>408</v>
      </c>
      <c r="L11" t="s">
        <v>302</v>
      </c>
      <c r="M11" t="s">
        <v>360</v>
      </c>
      <c r="N11"/>
    </row>
    <row r="12">
      <c r="A12" t="s">
        <v>158</v>
      </c>
      <c r="B12" t="s">
        <v>304</v>
      </c>
      <c r="C12" t="n">
        <v>-0.0177821171623765</v>
      </c>
      <c r="D12" t="n">
        <v>0.0363961275721191</v>
      </c>
      <c r="E12" t="n">
        <v>0.238702285665</v>
      </c>
      <c r="F12" t="n">
        <v>0.625144967435044</v>
      </c>
      <c r="G12" t="s">
        <v>300</v>
      </c>
      <c r="H12" t="n">
        <v>-0.0177821171623765</v>
      </c>
      <c r="I12" t="n">
        <v>-0.0891185272037299</v>
      </c>
      <c r="J12" t="n">
        <v>0.0535542928789768</v>
      </c>
      <c r="K12" t="s">
        <v>409</v>
      </c>
      <c r="L12" t="s">
        <v>302</v>
      </c>
      <c r="M12" t="s">
        <v>360</v>
      </c>
      <c r="N12"/>
    </row>
    <row r="13">
      <c r="A13" t="s">
        <v>158</v>
      </c>
      <c r="B13" t="s">
        <v>298</v>
      </c>
      <c r="C13" t="n">
        <v>0.00237689470721064</v>
      </c>
      <c r="D13" t="n">
        <v>0.00222108482493575</v>
      </c>
      <c r="E13" t="n">
        <v>1.1452217758701</v>
      </c>
      <c r="F13" t="n">
        <v>0.284551637736124</v>
      </c>
      <c r="G13" t="s">
        <v>300</v>
      </c>
      <c r="H13" t="n">
        <v>0.00237689470721064</v>
      </c>
      <c r="I13" t="n">
        <v>-0.00197643154966343</v>
      </c>
      <c r="J13" t="n">
        <v>0.00673022096408471</v>
      </c>
      <c r="K13" t="s">
        <v>410</v>
      </c>
      <c r="L13" t="s">
        <v>302</v>
      </c>
      <c r="M13" t="s">
        <v>360</v>
      </c>
      <c r="N13"/>
    </row>
    <row r="14">
      <c r="A14" t="s">
        <v>158</v>
      </c>
      <c r="B14" t="s">
        <v>51</v>
      </c>
      <c r="C14" t="n">
        <v>-0.00239580364164569</v>
      </c>
      <c r="D14" t="n">
        <v>0.00844066104702069</v>
      </c>
      <c r="E14" t="n">
        <v>0.0805655767116552</v>
      </c>
      <c r="F14" t="n">
        <v>0.776532417042153</v>
      </c>
      <c r="G14" t="s">
        <v>300</v>
      </c>
      <c r="H14" t="n">
        <v>-0.00239580364164569</v>
      </c>
      <c r="I14" t="n">
        <v>-0.0189394992938062</v>
      </c>
      <c r="J14" t="n">
        <v>0.0141478920105149</v>
      </c>
      <c r="K14" t="s">
        <v>411</v>
      </c>
      <c r="L14" t="s">
        <v>302</v>
      </c>
      <c r="M14" t="s">
        <v>360</v>
      </c>
      <c r="N14"/>
    </row>
    <row r="15">
      <c r="A15" t="s">
        <v>166</v>
      </c>
      <c r="B15" t="s">
        <v>299</v>
      </c>
      <c r="C15" t="n">
        <v>-0.0160202547202101</v>
      </c>
      <c r="D15" t="n">
        <v>0.0267330811147473</v>
      </c>
      <c r="E15" t="n">
        <v>0.359121000047594</v>
      </c>
      <c r="F15" t="n">
        <v>0.54899481525024</v>
      </c>
      <c r="G15" t="s">
        <v>300</v>
      </c>
      <c r="H15" t="n">
        <v>-0.0160202547202101</v>
      </c>
      <c r="I15" t="n">
        <v>-0.0684170937051149</v>
      </c>
      <c r="J15" t="n">
        <v>0.0363765842646946</v>
      </c>
      <c r="K15" t="s">
        <v>412</v>
      </c>
      <c r="L15" t="s">
        <v>302</v>
      </c>
      <c r="M15" t="s">
        <v>360</v>
      </c>
      <c r="N15"/>
    </row>
    <row r="16">
      <c r="A16" t="s">
        <v>166</v>
      </c>
      <c r="B16" t="s">
        <v>304</v>
      </c>
      <c r="C16" t="n">
        <v>0.0560848736265573</v>
      </c>
      <c r="D16" t="n">
        <v>0.0107922747103887</v>
      </c>
      <c r="E16" t="n">
        <v>27.0063261530303</v>
      </c>
      <c r="F16" t="n">
        <v>0.000000202790677916731</v>
      </c>
      <c r="G16" t="s">
        <v>300</v>
      </c>
      <c r="H16" t="n">
        <v>0.0560848736265573</v>
      </c>
      <c r="I16" t="n">
        <v>0.0349320151941955</v>
      </c>
      <c r="J16" t="n">
        <v>0.0772377320589192</v>
      </c>
      <c r="K16" t="s">
        <v>413</v>
      </c>
      <c r="L16" t="s">
        <v>302</v>
      </c>
      <c r="M16" t="s">
        <v>360</v>
      </c>
      <c r="N16"/>
    </row>
    <row r="17">
      <c r="A17" t="s">
        <v>166</v>
      </c>
      <c r="B17" t="s">
        <v>298</v>
      </c>
      <c r="C17" t="n">
        <v>0.000270329803061868</v>
      </c>
      <c r="D17" t="n">
        <v>0.000704028350310186</v>
      </c>
      <c r="E17" t="n">
        <v>0.147437364840462</v>
      </c>
      <c r="F17" t="n">
        <v>0.700996432398829</v>
      </c>
      <c r="G17" t="s">
        <v>300</v>
      </c>
      <c r="H17" t="n">
        <v>0.000270329803061868</v>
      </c>
      <c r="I17" t="n">
        <v>-0.0011095657635461</v>
      </c>
      <c r="J17" t="n">
        <v>0.00165022536966983</v>
      </c>
      <c r="K17" t="s">
        <v>414</v>
      </c>
      <c r="L17" t="s">
        <v>302</v>
      </c>
      <c r="M17" t="s">
        <v>360</v>
      </c>
      <c r="N17"/>
    </row>
    <row r="18">
      <c r="A18" t="s">
        <v>166</v>
      </c>
      <c r="B18" t="s">
        <v>51</v>
      </c>
      <c r="C18" t="n">
        <v>-0.00272867090952697</v>
      </c>
      <c r="D18" t="n">
        <v>0.00273524998240834</v>
      </c>
      <c r="E18" t="n">
        <v>0.995195202902564</v>
      </c>
      <c r="F18" t="n">
        <v>0.318475927903865</v>
      </c>
      <c r="G18" t="s">
        <v>300</v>
      </c>
      <c r="H18" t="n">
        <v>-0.00272867090952697</v>
      </c>
      <c r="I18" t="n">
        <v>-0.00808976087504731</v>
      </c>
      <c r="J18" t="n">
        <v>0.00263241905599338</v>
      </c>
      <c r="K18" t="s">
        <v>415</v>
      </c>
      <c r="L18" t="s">
        <v>302</v>
      </c>
      <c r="M18" t="s">
        <v>360</v>
      </c>
      <c r="N18"/>
    </row>
    <row r="19">
      <c r="A19" t="s">
        <v>171</v>
      </c>
      <c r="B19" t="s">
        <v>299</v>
      </c>
      <c r="C19" t="n">
        <v>-0.0126458569519089</v>
      </c>
      <c r="D19" t="n">
        <v>0.017775906196629</v>
      </c>
      <c r="E19" t="n">
        <v>0.50609614587201</v>
      </c>
      <c r="F19" t="n">
        <v>0.476833705613698</v>
      </c>
      <c r="G19" t="s">
        <v>300</v>
      </c>
      <c r="H19" t="n">
        <v>-0.0126458569519089</v>
      </c>
      <c r="I19" t="n">
        <v>-0.0474866330973017</v>
      </c>
      <c r="J19" t="n">
        <v>0.0221949191934839</v>
      </c>
      <c r="K19" t="s">
        <v>416</v>
      </c>
      <c r="L19" t="s">
        <v>302</v>
      </c>
      <c r="M19" t="s">
        <v>360</v>
      </c>
      <c r="N19"/>
    </row>
    <row r="20">
      <c r="A20" t="s">
        <v>171</v>
      </c>
      <c r="B20" t="s">
        <v>304</v>
      </c>
      <c r="C20" t="n">
        <v>0.00799563592594997</v>
      </c>
      <c r="D20" t="n">
        <v>0.00717308189599065</v>
      </c>
      <c r="E20" t="n">
        <v>1.24249440813628</v>
      </c>
      <c r="F20" t="n">
        <v>0.264990861557317</v>
      </c>
      <c r="G20" t="s">
        <v>300</v>
      </c>
      <c r="H20" t="n">
        <v>0.00799563592594997</v>
      </c>
      <c r="I20" t="n">
        <v>-0.00606360459019171</v>
      </c>
      <c r="J20" t="n">
        <v>0.0220548764420916</v>
      </c>
      <c r="K20" t="s">
        <v>417</v>
      </c>
      <c r="L20" t="s">
        <v>302</v>
      </c>
      <c r="M20" t="s">
        <v>360</v>
      </c>
      <c r="N20"/>
    </row>
    <row r="21">
      <c r="A21" t="s">
        <v>171</v>
      </c>
      <c r="B21" t="s">
        <v>298</v>
      </c>
      <c r="C21" t="n">
        <v>-0.000173849825129077</v>
      </c>
      <c r="D21" t="n">
        <v>0.000456340227292968</v>
      </c>
      <c r="E21" t="n">
        <v>0.145134615798208</v>
      </c>
      <c r="F21" t="n">
        <v>0.703228942455591</v>
      </c>
      <c r="G21" t="s">
        <v>300</v>
      </c>
      <c r="H21" t="n">
        <v>-0.000173849825129077</v>
      </c>
      <c r="I21" t="n">
        <v>-0.00106827667062329</v>
      </c>
      <c r="J21" t="n">
        <v>0.000720577020365139</v>
      </c>
      <c r="K21" t="s">
        <v>374</v>
      </c>
      <c r="L21" t="s">
        <v>302</v>
      </c>
      <c r="M21" t="s">
        <v>360</v>
      </c>
      <c r="N21"/>
    </row>
    <row r="22">
      <c r="A22" t="s">
        <v>171</v>
      </c>
      <c r="B22" t="s">
        <v>51</v>
      </c>
      <c r="C22" t="n">
        <v>-0.0014205066209258</v>
      </c>
      <c r="D22" t="n">
        <v>0.00201534812667441</v>
      </c>
      <c r="E22" t="n">
        <v>0.496805474178831</v>
      </c>
      <c r="F22" t="n">
        <v>0.480907142181596</v>
      </c>
      <c r="G22" t="s">
        <v>300</v>
      </c>
      <c r="H22" t="n">
        <v>-0.0014205066209258</v>
      </c>
      <c r="I22" t="n">
        <v>-0.00537058894920763</v>
      </c>
      <c r="J22" t="n">
        <v>0.00252957570735604</v>
      </c>
      <c r="K22" t="s">
        <v>418</v>
      </c>
      <c r="L22" t="s">
        <v>302</v>
      </c>
      <c r="M22" t="s">
        <v>360</v>
      </c>
      <c r="N22"/>
    </row>
    <row r="23">
      <c r="A23" t="s">
        <v>178</v>
      </c>
      <c r="B23"/>
      <c r="C23"/>
      <c r="D23"/>
      <c r="E23"/>
      <c r="F23"/>
      <c r="G23"/>
      <c r="H23"/>
      <c r="I23"/>
      <c r="J23"/>
      <c r="K23"/>
      <c r="L23" t="s">
        <v>320</v>
      </c>
      <c r="M23"/>
      <c r="N23"/>
    </row>
    <row r="24">
      <c r="A24" t="s">
        <v>181</v>
      </c>
      <c r="B24"/>
      <c r="C24"/>
      <c r="D24"/>
      <c r="E24"/>
      <c r="F24"/>
      <c r="G24"/>
      <c r="H24"/>
      <c r="I24"/>
      <c r="J24"/>
      <c r="K24"/>
      <c r="L24" t="s">
        <v>320</v>
      </c>
      <c r="M24"/>
      <c r="N24"/>
    </row>
    <row r="25">
      <c r="A25" t="s">
        <v>345</v>
      </c>
      <c r="B25" t="s">
        <v>299</v>
      </c>
      <c r="C25" t="n">
        <v>-0.70121757129785</v>
      </c>
      <c r="D25" t="n">
        <v>1.0844514804865</v>
      </c>
      <c r="E25" t="n">
        <v>0.418104968508732</v>
      </c>
      <c r="F25" t="n">
        <v>0.517884145859394</v>
      </c>
      <c r="G25" t="s">
        <v>321</v>
      </c>
      <c r="H25" t="n">
        <v>0.49598104371809</v>
      </c>
      <c r="I25" t="n">
        <v>0.0592054030777648</v>
      </c>
      <c r="J25" t="n">
        <v>4.15497881848005</v>
      </c>
      <c r="K25" t="s">
        <v>419</v>
      </c>
      <c r="L25" t="s">
        <v>323</v>
      </c>
      <c r="M25" t="s">
        <v>360</v>
      </c>
      <c r="N25"/>
    </row>
    <row r="26">
      <c r="A26" t="s">
        <v>345</v>
      </c>
      <c r="B26" t="s">
        <v>304</v>
      </c>
      <c r="C26" t="n">
        <v>0.729882837401263</v>
      </c>
      <c r="D26" t="n">
        <v>0.476154579261182</v>
      </c>
      <c r="E26" t="n">
        <v>2.34968893987014</v>
      </c>
      <c r="F26" t="n">
        <v>0.125308009261991</v>
      </c>
      <c r="G26" t="s">
        <v>321</v>
      </c>
      <c r="H26" t="n">
        <v>2.07483750007938</v>
      </c>
      <c r="I26" t="n">
        <v>0.815968002058365</v>
      </c>
      <c r="J26" t="n">
        <v>5.27588170231669</v>
      </c>
      <c r="K26" t="s">
        <v>420</v>
      </c>
      <c r="L26" t="s">
        <v>323</v>
      </c>
      <c r="M26" t="s">
        <v>360</v>
      </c>
      <c r="N26"/>
    </row>
    <row r="27">
      <c r="A27" t="s">
        <v>345</v>
      </c>
      <c r="B27" t="s">
        <v>298</v>
      </c>
      <c r="C27" t="n">
        <v>-0.0194372347979275</v>
      </c>
      <c r="D27" t="n">
        <v>0.0297850904072398</v>
      </c>
      <c r="E27" t="n">
        <v>0.425864183854783</v>
      </c>
      <c r="F27" t="n">
        <v>0.514025339835115</v>
      </c>
      <c r="G27" t="s">
        <v>321</v>
      </c>
      <c r="H27" t="n">
        <v>0.980750450257081</v>
      </c>
      <c r="I27" t="n">
        <v>0.925134624558758</v>
      </c>
      <c r="J27" t="n">
        <v>1.03970970293997</v>
      </c>
      <c r="K27" t="s">
        <v>421</v>
      </c>
      <c r="L27" t="s">
        <v>323</v>
      </c>
      <c r="M27" t="s">
        <v>360</v>
      </c>
      <c r="N27"/>
    </row>
    <row r="28">
      <c r="A28" t="s">
        <v>345</v>
      </c>
      <c r="B28" t="s">
        <v>51</v>
      </c>
      <c r="C28" t="n">
        <v>0.0600323337057128</v>
      </c>
      <c r="D28" t="n">
        <v>0.11555694658363</v>
      </c>
      <c r="E28" t="n">
        <v>0.269884745237723</v>
      </c>
      <c r="F28" t="n">
        <v>0.603409096623769</v>
      </c>
      <c r="G28" t="s">
        <v>321</v>
      </c>
      <c r="H28" t="n">
        <v>1.06187088021083</v>
      </c>
      <c r="I28" t="n">
        <v>0.846657290765326</v>
      </c>
      <c r="J28" t="n">
        <v>1.33179006256531</v>
      </c>
      <c r="K28" t="s">
        <v>422</v>
      </c>
      <c r="L28" t="s">
        <v>323</v>
      </c>
      <c r="M28" t="s">
        <v>360</v>
      </c>
      <c r="N28"/>
    </row>
    <row r="29">
      <c r="A29" t="s">
        <v>348</v>
      </c>
      <c r="B29" t="s">
        <v>299</v>
      </c>
      <c r="C29" t="n">
        <v>-7.73820627213488</v>
      </c>
      <c r="D29" t="n">
        <v>2.42641002008086</v>
      </c>
      <c r="E29" t="n">
        <v>10.1707322853974</v>
      </c>
      <c r="F29" t="n">
        <v>0.00142687592051183</v>
      </c>
      <c r="G29" t="s">
        <v>321</v>
      </c>
      <c r="H29" t="n">
        <v>0.000435852675417564</v>
      </c>
      <c r="I29" t="n">
        <v>0.00000374919311115392</v>
      </c>
      <c r="J29" t="n">
        <v>0.050668917027371</v>
      </c>
      <c r="K29" t="s">
        <v>423</v>
      </c>
      <c r="L29" t="s">
        <v>323</v>
      </c>
      <c r="M29" t="s">
        <v>360</v>
      </c>
      <c r="N29"/>
    </row>
    <row r="30">
      <c r="A30" t="s">
        <v>348</v>
      </c>
      <c r="B30" t="s">
        <v>304</v>
      </c>
      <c r="C30" t="n">
        <v>-0.757896365727209</v>
      </c>
      <c r="D30" t="n">
        <v>0.853451195242126</v>
      </c>
      <c r="E30" t="n">
        <v>0.788609976950514</v>
      </c>
      <c r="F30" t="n">
        <v>0.374520769128298</v>
      </c>
      <c r="G30" t="s">
        <v>321</v>
      </c>
      <c r="H30" t="n">
        <v>0.468651261636758</v>
      </c>
      <c r="I30" t="n">
        <v>0.0879786851187937</v>
      </c>
      <c r="J30" t="n">
        <v>2.49644564177292</v>
      </c>
      <c r="K30" t="s">
        <v>424</v>
      </c>
      <c r="L30" t="s">
        <v>323</v>
      </c>
      <c r="M30" t="s">
        <v>360</v>
      </c>
      <c r="N30"/>
    </row>
    <row r="31">
      <c r="A31" t="s">
        <v>348</v>
      </c>
      <c r="B31" t="s">
        <v>298</v>
      </c>
      <c r="C31" t="n">
        <v>0.147105431428398</v>
      </c>
      <c r="D31" t="n">
        <v>0.0579953425124464</v>
      </c>
      <c r="E31" t="n">
        <v>6.43385369352458</v>
      </c>
      <c r="F31" t="n">
        <v>0.0111965391033992</v>
      </c>
      <c r="G31" t="s">
        <v>321</v>
      </c>
      <c r="H31" t="n">
        <v>1.158476096381</v>
      </c>
      <c r="I31" t="n">
        <v>1.03399977667439</v>
      </c>
      <c r="J31" t="n">
        <v>1.29793728795822</v>
      </c>
      <c r="K31" t="s">
        <v>425</v>
      </c>
      <c r="L31" t="s">
        <v>323</v>
      </c>
      <c r="M31" t="s">
        <v>360</v>
      </c>
      <c r="N31"/>
    </row>
    <row r="32">
      <c r="A32" t="s">
        <v>348</v>
      </c>
      <c r="B32" t="s">
        <v>51</v>
      </c>
      <c r="C32" t="n">
        <v>0.037455032969241</v>
      </c>
      <c r="D32" t="n">
        <v>0.229514116799382</v>
      </c>
      <c r="E32" t="n">
        <v>0.0266318638188371</v>
      </c>
      <c r="F32" t="n">
        <v>0.870366698071015</v>
      </c>
      <c r="G32" t="s">
        <v>321</v>
      </c>
      <c r="H32" t="n">
        <v>1.03816531282065</v>
      </c>
      <c r="I32" t="n">
        <v>0.662064274772053</v>
      </c>
      <c r="J32" t="n">
        <v>1.6279193090657</v>
      </c>
      <c r="K32" t="s">
        <v>426</v>
      </c>
      <c r="L32" t="s">
        <v>323</v>
      </c>
      <c r="M32" t="s">
        <v>360</v>
      </c>
      <c r="N32"/>
    </row>
    <row r="33">
      <c r="A33" t="s">
        <v>351</v>
      </c>
      <c r="B33"/>
      <c r="C33"/>
      <c r="D33"/>
      <c r="E33"/>
      <c r="F33"/>
      <c r="G33"/>
      <c r="H33"/>
      <c r="I33"/>
      <c r="J33"/>
      <c r="K33"/>
      <c r="L33" t="s">
        <v>329</v>
      </c>
      <c r="M33"/>
      <c r="N33"/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427</v>
      </c>
    </row>
    <row r="3">
      <c r="A3" s="1" t="s">
        <v>428</v>
      </c>
    </row>
    <row r="4">
      <c r="A4" t="s">
        <v>285</v>
      </c>
      <c r="B4" t="s">
        <v>429</v>
      </c>
      <c r="C4" t="s">
        <v>140</v>
      </c>
      <c r="D4" t="s">
        <v>430</v>
      </c>
      <c r="E4" t="s">
        <v>431</v>
      </c>
      <c r="F4" t="s">
        <v>1</v>
      </c>
    </row>
    <row r="5">
      <c r="A5" t="s">
        <v>142</v>
      </c>
      <c r="B5" t="s">
        <v>432</v>
      </c>
      <c r="C5" t="s">
        <v>148</v>
      </c>
      <c r="D5" t="s">
        <v>149</v>
      </c>
      <c r="E5" t="s">
        <v>433</v>
      </c>
      <c r="F5" t="s">
        <v>98</v>
      </c>
    </row>
    <row r="6">
      <c r="A6" t="s">
        <v>150</v>
      </c>
      <c r="B6" t="s">
        <v>432</v>
      </c>
      <c r="C6" t="s">
        <v>156</v>
      </c>
      <c r="D6" t="s">
        <v>157</v>
      </c>
      <c r="E6" t="s">
        <v>433</v>
      </c>
      <c r="F6" t="s">
        <v>98</v>
      </c>
    </row>
    <row r="7">
      <c r="A7" t="s">
        <v>158</v>
      </c>
      <c r="B7" t="s">
        <v>432</v>
      </c>
      <c r="C7" t="s">
        <v>164</v>
      </c>
      <c r="D7" t="s">
        <v>165</v>
      </c>
      <c r="E7" t="s">
        <v>433</v>
      </c>
      <c r="F7" t="s">
        <v>98</v>
      </c>
    </row>
    <row r="8">
      <c r="A8" t="s">
        <v>166</v>
      </c>
      <c r="B8" t="s">
        <v>432</v>
      </c>
      <c r="C8" t="s">
        <v>170</v>
      </c>
      <c r="D8" t="s">
        <v>47</v>
      </c>
      <c r="E8" t="s">
        <v>433</v>
      </c>
      <c r="F8" t="s">
        <v>98</v>
      </c>
    </row>
    <row r="9">
      <c r="A9" t="s">
        <v>171</v>
      </c>
      <c r="B9" t="s">
        <v>432</v>
      </c>
      <c r="C9" t="s">
        <v>176</v>
      </c>
      <c r="D9" t="s">
        <v>177</v>
      </c>
      <c r="E9" t="s">
        <v>433</v>
      </c>
      <c r="F9" t="s">
        <v>98</v>
      </c>
    </row>
    <row r="10">
      <c r="A10" t="s">
        <v>178</v>
      </c>
      <c r="B10" t="s">
        <v>98</v>
      </c>
      <c r="C10" t="s">
        <v>98</v>
      </c>
      <c r="D10" t="s">
        <v>98</v>
      </c>
      <c r="E10"/>
      <c r="F10" t="s">
        <v>434</v>
      </c>
    </row>
    <row r="11">
      <c r="A11" t="s">
        <v>181</v>
      </c>
      <c r="B11" t="s">
        <v>98</v>
      </c>
      <c r="C11" t="s">
        <v>98</v>
      </c>
      <c r="D11" t="s">
        <v>98</v>
      </c>
      <c r="E11"/>
      <c r="F11" t="s">
        <v>434</v>
      </c>
    </row>
    <row r="12">
      <c r="A12" t="s">
        <v>345</v>
      </c>
      <c r="B12" t="s">
        <v>432</v>
      </c>
      <c r="C12" t="s">
        <v>191</v>
      </c>
      <c r="D12" t="s">
        <v>192</v>
      </c>
      <c r="E12" t="s">
        <v>435</v>
      </c>
      <c r="F12" t="s">
        <v>436</v>
      </c>
    </row>
    <row r="13">
      <c r="A13" t="s">
        <v>348</v>
      </c>
      <c r="B13" t="s">
        <v>432</v>
      </c>
      <c r="C13" t="s">
        <v>200</v>
      </c>
      <c r="D13" t="s">
        <v>201</v>
      </c>
      <c r="E13" t="s">
        <v>437</v>
      </c>
      <c r="F13" t="s">
        <v>438</v>
      </c>
    </row>
    <row r="14">
      <c r="A14" t="s">
        <v>351</v>
      </c>
      <c r="B14" t="s">
        <v>98</v>
      </c>
      <c r="C14" t="s">
        <v>98</v>
      </c>
      <c r="D14" t="s">
        <v>98</v>
      </c>
      <c r="E14"/>
      <c r="F14" t="s">
        <v>439</v>
      </c>
    </row>
    <row r="16">
      <c r="A16" s="1" t="s">
        <v>440</v>
      </c>
    </row>
    <row r="17">
      <c r="A17" t="s">
        <v>285</v>
      </c>
      <c r="B17" t="s">
        <v>286</v>
      </c>
      <c r="C17" t="s">
        <v>287</v>
      </c>
      <c r="D17" t="s">
        <v>288</v>
      </c>
      <c r="E17" t="s">
        <v>289</v>
      </c>
      <c r="F17" t="s">
        <v>290</v>
      </c>
      <c r="G17" t="s">
        <v>291</v>
      </c>
      <c r="H17" t="s">
        <v>292</v>
      </c>
      <c r="I17" t="s">
        <v>293</v>
      </c>
      <c r="J17" t="s">
        <v>294</v>
      </c>
      <c r="K17" t="s">
        <v>295</v>
      </c>
      <c r="L17" t="s">
        <v>296</v>
      </c>
    </row>
    <row r="18">
      <c r="A18" t="s">
        <v>142</v>
      </c>
      <c r="B18" t="s">
        <v>299</v>
      </c>
      <c r="C18" t="n">
        <v>171.24492464552</v>
      </c>
      <c r="D18" t="n">
        <v>141.064874363793</v>
      </c>
      <c r="E18" t="n">
        <v>1.47366118485517</v>
      </c>
      <c r="F18" t="n">
        <v>0.224768928453538</v>
      </c>
      <c r="G18" t="s">
        <v>300</v>
      </c>
      <c r="H18" t="n">
        <v>171.24492464552</v>
      </c>
      <c r="I18" t="n">
        <v>-105.242229107514</v>
      </c>
      <c r="J18" t="n">
        <v>447.732078398554</v>
      </c>
      <c r="K18" t="s">
        <v>441</v>
      </c>
      <c r="L18" t="s">
        <v>442</v>
      </c>
    </row>
    <row r="19">
      <c r="A19" t="s">
        <v>142</v>
      </c>
      <c r="B19" t="s">
        <v>304</v>
      </c>
      <c r="C19" t="n">
        <v>-29.0355886531577</v>
      </c>
      <c r="D19" t="n">
        <v>14.0479430180037</v>
      </c>
      <c r="E19" t="n">
        <v>4.27204477982356</v>
      </c>
      <c r="F19" t="n">
        <v>0.0387442806632822</v>
      </c>
      <c r="G19" t="s">
        <v>300</v>
      </c>
      <c r="H19" t="n">
        <v>-29.0355886531577</v>
      </c>
      <c r="I19" t="n">
        <v>-56.5695569684449</v>
      </c>
      <c r="J19" t="n">
        <v>-1.5016203378705</v>
      </c>
      <c r="K19" t="s">
        <v>443</v>
      </c>
      <c r="L19" t="s">
        <v>442</v>
      </c>
    </row>
    <row r="20">
      <c r="A20" t="s">
        <v>142</v>
      </c>
      <c r="B20" t="s">
        <v>298</v>
      </c>
      <c r="C20" t="n">
        <v>1.26886226266966</v>
      </c>
      <c r="D20" t="n">
        <v>1.22889245992887</v>
      </c>
      <c r="E20" t="n">
        <v>1.06610800246547</v>
      </c>
      <c r="F20" t="n">
        <v>0.301826213572652</v>
      </c>
      <c r="G20" t="s">
        <v>300</v>
      </c>
      <c r="H20" t="n">
        <v>1.26886226266966</v>
      </c>
      <c r="I20" t="n">
        <v>-1.13976695879092</v>
      </c>
      <c r="J20" t="n">
        <v>3.67749148413024</v>
      </c>
      <c r="K20" t="s">
        <v>444</v>
      </c>
      <c r="L20" t="s">
        <v>442</v>
      </c>
    </row>
    <row r="21">
      <c r="A21" t="s">
        <v>142</v>
      </c>
      <c r="B21" t="s">
        <v>51</v>
      </c>
      <c r="C21" t="n">
        <v>-1.14371532410512</v>
      </c>
      <c r="D21" t="n">
        <v>3.72613295407486</v>
      </c>
      <c r="E21" t="n">
        <v>0.0942148120030016</v>
      </c>
      <c r="F21" t="n">
        <v>0.758885758230752</v>
      </c>
      <c r="G21" t="s">
        <v>300</v>
      </c>
      <c r="H21" t="n">
        <v>-1.14371532410512</v>
      </c>
      <c r="I21" t="n">
        <v>-8.44693591409184</v>
      </c>
      <c r="J21" t="n">
        <v>6.1595052658816</v>
      </c>
      <c r="K21" t="s">
        <v>445</v>
      </c>
      <c r="L21" t="s">
        <v>442</v>
      </c>
    </row>
    <row r="22">
      <c r="A22" t="s">
        <v>142</v>
      </c>
      <c r="B22" t="s">
        <v>81</v>
      </c>
      <c r="C22" t="n">
        <v>-0.0483596864272105</v>
      </c>
      <c r="D22" t="n">
        <v>0.241246297668171</v>
      </c>
      <c r="E22" t="n">
        <v>0.0401833035537582</v>
      </c>
      <c r="F22" t="n">
        <v>0.841122609601844</v>
      </c>
      <c r="G22" t="s">
        <v>300</v>
      </c>
      <c r="H22" t="n">
        <v>-0.0483596864272105</v>
      </c>
      <c r="I22" t="n">
        <v>-0.521202429856826</v>
      </c>
      <c r="J22" t="n">
        <v>0.424483057002405</v>
      </c>
      <c r="K22" t="s">
        <v>446</v>
      </c>
      <c r="L22" t="s">
        <v>442</v>
      </c>
    </row>
    <row r="23">
      <c r="A23" t="s">
        <v>150</v>
      </c>
      <c r="B23" t="s">
        <v>299</v>
      </c>
      <c r="C23" t="n">
        <v>1.0984095106108</v>
      </c>
      <c r="D23" t="n">
        <v>0.703492580679667</v>
      </c>
      <c r="E23" t="n">
        <v>2.43786429148132</v>
      </c>
      <c r="F23" t="n">
        <v>0.118437381084133</v>
      </c>
      <c r="G23" t="s">
        <v>300</v>
      </c>
      <c r="H23" t="n">
        <v>1.0984095106108</v>
      </c>
      <c r="I23" t="n">
        <v>-0.280435947521352</v>
      </c>
      <c r="J23" t="n">
        <v>2.47725496874294</v>
      </c>
      <c r="K23" t="s">
        <v>447</v>
      </c>
      <c r="L23" t="s">
        <v>442</v>
      </c>
    </row>
    <row r="24">
      <c r="A24" t="s">
        <v>150</v>
      </c>
      <c r="B24" t="s">
        <v>304</v>
      </c>
      <c r="C24" t="n">
        <v>-0.16325756351172</v>
      </c>
      <c r="D24" t="n">
        <v>0.0852227422659702</v>
      </c>
      <c r="E24" t="n">
        <v>3.66974267362907</v>
      </c>
      <c r="F24" t="n">
        <v>0.0554087381272539</v>
      </c>
      <c r="G24" t="s">
        <v>300</v>
      </c>
      <c r="H24" t="n">
        <v>-0.16325756351172</v>
      </c>
      <c r="I24" t="n">
        <v>-0.330294138353022</v>
      </c>
      <c r="J24" t="n">
        <v>0.00377901132958139</v>
      </c>
      <c r="K24" t="s">
        <v>448</v>
      </c>
      <c r="L24" t="s">
        <v>442</v>
      </c>
    </row>
    <row r="25">
      <c r="A25" t="s">
        <v>150</v>
      </c>
      <c r="B25" t="s">
        <v>298</v>
      </c>
      <c r="C25" t="n">
        <v>-0.00587941458234686</v>
      </c>
      <c r="D25" t="n">
        <v>0.00591448070931601</v>
      </c>
      <c r="E25" t="n">
        <v>0.988177431760439</v>
      </c>
      <c r="F25" t="n">
        <v>0.320188234424741</v>
      </c>
      <c r="G25" t="s">
        <v>300</v>
      </c>
      <c r="H25" t="n">
        <v>-0.00587941458234686</v>
      </c>
      <c r="I25" t="n">
        <v>-0.0174717967726062</v>
      </c>
      <c r="J25" t="n">
        <v>0.00571296760791252</v>
      </c>
      <c r="K25" t="s">
        <v>449</v>
      </c>
      <c r="L25" t="s">
        <v>442</v>
      </c>
    </row>
    <row r="26">
      <c r="A26" t="s">
        <v>150</v>
      </c>
      <c r="B26" t="s">
        <v>51</v>
      </c>
      <c r="C26" t="n">
        <v>0.0218937390071146</v>
      </c>
      <c r="D26" t="n">
        <v>0.0178319950268025</v>
      </c>
      <c r="E26" t="n">
        <v>1.50743989373805</v>
      </c>
      <c r="F26" t="n">
        <v>0.219530151847179</v>
      </c>
      <c r="G26" t="s">
        <v>300</v>
      </c>
      <c r="H26" t="n">
        <v>0.0218937390071146</v>
      </c>
      <c r="I26" t="n">
        <v>-0.0130569712454182</v>
      </c>
      <c r="J26" t="n">
        <v>0.0568444492596474</v>
      </c>
      <c r="K26" t="s">
        <v>450</v>
      </c>
      <c r="L26" t="s">
        <v>442</v>
      </c>
    </row>
    <row r="27">
      <c r="A27" t="s">
        <v>150</v>
      </c>
      <c r="B27" t="s">
        <v>81</v>
      </c>
      <c r="C27" t="n">
        <v>-0.00148465940574615</v>
      </c>
      <c r="D27" t="n">
        <v>0.00125710779600583</v>
      </c>
      <c r="E27" t="n">
        <v>1.39478936926484</v>
      </c>
      <c r="F27" t="n">
        <v>0.237597952028957</v>
      </c>
      <c r="G27" t="s">
        <v>300</v>
      </c>
      <c r="H27" t="n">
        <v>-0.00148465940574615</v>
      </c>
      <c r="I27" t="n">
        <v>-0.00394859068591758</v>
      </c>
      <c r="J27" t="n">
        <v>0.000979271874425267</v>
      </c>
      <c r="K27" t="s">
        <v>451</v>
      </c>
      <c r="L27" t="s">
        <v>442</v>
      </c>
    </row>
    <row r="28">
      <c r="A28" t="s">
        <v>158</v>
      </c>
      <c r="B28" t="s">
        <v>299</v>
      </c>
      <c r="C28" t="n">
        <v>-0.312316266545553</v>
      </c>
      <c r="D28" t="n">
        <v>0.309270832214227</v>
      </c>
      <c r="E28" t="n">
        <v>1.01979125366709</v>
      </c>
      <c r="F28" t="n">
        <v>0.312568529477876</v>
      </c>
      <c r="G28" t="s">
        <v>300</v>
      </c>
      <c r="H28" t="n">
        <v>-0.312316266545553</v>
      </c>
      <c r="I28" t="n">
        <v>-0.918487097685439</v>
      </c>
      <c r="J28" t="n">
        <v>0.293854564594333</v>
      </c>
      <c r="K28" t="s">
        <v>452</v>
      </c>
      <c r="L28" t="s">
        <v>442</v>
      </c>
    </row>
    <row r="29">
      <c r="A29" t="s">
        <v>158</v>
      </c>
      <c r="B29" t="s">
        <v>304</v>
      </c>
      <c r="C29" t="n">
        <v>-0.0192455369396854</v>
      </c>
      <c r="D29" t="n">
        <v>0.0374107418199361</v>
      </c>
      <c r="E29" t="n">
        <v>0.264647273740034</v>
      </c>
      <c r="F29" t="n">
        <v>0.606945241598709</v>
      </c>
      <c r="G29" t="s">
        <v>300</v>
      </c>
      <c r="H29" t="n">
        <v>-0.0192455369396854</v>
      </c>
      <c r="I29" t="n">
        <v>-0.0925705909067602</v>
      </c>
      <c r="J29" t="n">
        <v>0.0540795170273894</v>
      </c>
      <c r="K29" t="s">
        <v>453</v>
      </c>
      <c r="L29" t="s">
        <v>442</v>
      </c>
    </row>
    <row r="30">
      <c r="A30" t="s">
        <v>158</v>
      </c>
      <c r="B30" t="s">
        <v>298</v>
      </c>
      <c r="C30" t="n">
        <v>0.00220628559896384</v>
      </c>
      <c r="D30" t="n">
        <v>0.00231743156843601</v>
      </c>
      <c r="E30" t="n">
        <v>0.906378558223537</v>
      </c>
      <c r="F30" t="n">
        <v>0.34107712320766</v>
      </c>
      <c r="G30" t="s">
        <v>300</v>
      </c>
      <c r="H30" t="n">
        <v>0.00220628559896384</v>
      </c>
      <c r="I30" t="n">
        <v>-0.00233588027517074</v>
      </c>
      <c r="J30" t="n">
        <v>0.00674845147309843</v>
      </c>
      <c r="K30" t="s">
        <v>410</v>
      </c>
      <c r="L30" t="s">
        <v>442</v>
      </c>
    </row>
    <row r="31">
      <c r="A31" t="s">
        <v>158</v>
      </c>
      <c r="B31" t="s">
        <v>51</v>
      </c>
      <c r="C31" t="n">
        <v>-0.00367003699477081</v>
      </c>
      <c r="D31" t="n">
        <v>0.00877478441094644</v>
      </c>
      <c r="E31" t="n">
        <v>0.174931481445645</v>
      </c>
      <c r="F31" t="n">
        <v>0.675765724102281</v>
      </c>
      <c r="G31" t="s">
        <v>300</v>
      </c>
      <c r="H31" t="n">
        <v>-0.00367003699477081</v>
      </c>
      <c r="I31" t="n">
        <v>-0.0208686144402258</v>
      </c>
      <c r="J31" t="n">
        <v>0.0135285404506842</v>
      </c>
      <c r="K31" t="s">
        <v>454</v>
      </c>
      <c r="L31" t="s">
        <v>442</v>
      </c>
    </row>
    <row r="32">
      <c r="A32" t="s">
        <v>158</v>
      </c>
      <c r="B32" t="s">
        <v>81</v>
      </c>
      <c r="C32" t="n">
        <v>0.0000461610840337217</v>
      </c>
      <c r="D32" t="n">
        <v>0.000552846190508351</v>
      </c>
      <c r="E32" t="n">
        <v>0.00697177488514566</v>
      </c>
      <c r="F32" t="n">
        <v>0.933456239513582</v>
      </c>
      <c r="G32" t="s">
        <v>300</v>
      </c>
      <c r="H32" t="n">
        <v>0.0000461610840337217</v>
      </c>
      <c r="I32" t="n">
        <v>-0.00103741744936265</v>
      </c>
      <c r="J32" t="n">
        <v>0.00112973961743009</v>
      </c>
      <c r="K32" t="s">
        <v>374</v>
      </c>
      <c r="L32" t="s">
        <v>442</v>
      </c>
    </row>
    <row r="33">
      <c r="A33" t="s">
        <v>166</v>
      </c>
      <c r="B33" t="s">
        <v>299</v>
      </c>
      <c r="C33" t="n">
        <v>-0.179675660139109</v>
      </c>
      <c r="D33" t="n">
        <v>0.0836167888404225</v>
      </c>
      <c r="E33" t="n">
        <v>4.61733652027892</v>
      </c>
      <c r="F33" t="n">
        <v>0.0316503481960848</v>
      </c>
      <c r="G33" t="s">
        <v>300</v>
      </c>
      <c r="H33" t="n">
        <v>-0.179675660139109</v>
      </c>
      <c r="I33" t="n">
        <v>-0.343564566266337</v>
      </c>
      <c r="J33" t="n">
        <v>-0.0157867540118812</v>
      </c>
      <c r="K33" t="s">
        <v>455</v>
      </c>
      <c r="L33" t="s">
        <v>442</v>
      </c>
    </row>
    <row r="34">
      <c r="A34" t="s">
        <v>166</v>
      </c>
      <c r="B34" t="s">
        <v>304</v>
      </c>
      <c r="C34" t="n">
        <v>0.0608287919822508</v>
      </c>
      <c r="D34" t="n">
        <v>0.0114042518275846</v>
      </c>
      <c r="E34" t="n">
        <v>28.4501647679507</v>
      </c>
      <c r="F34" t="n">
        <v>0.0000000961415841382873</v>
      </c>
      <c r="G34" t="s">
        <v>300</v>
      </c>
      <c r="H34" t="n">
        <v>0.0608287919822508</v>
      </c>
      <c r="I34" t="n">
        <v>0.038476458400185</v>
      </c>
      <c r="J34" t="n">
        <v>0.0831811255643166</v>
      </c>
      <c r="K34" t="s">
        <v>456</v>
      </c>
      <c r="L34" t="s">
        <v>442</v>
      </c>
    </row>
    <row r="35">
      <c r="A35" t="s">
        <v>166</v>
      </c>
      <c r="B35" t="s">
        <v>298</v>
      </c>
      <c r="C35" t="n">
        <v>0.0000278397040948402</v>
      </c>
      <c r="D35" t="n">
        <v>0.000721109552807272</v>
      </c>
      <c r="E35" t="n">
        <v>0.00149048198792902</v>
      </c>
      <c r="F35" t="n">
        <v>0.969203911886715</v>
      </c>
      <c r="G35" t="s">
        <v>300</v>
      </c>
      <c r="H35" t="n">
        <v>0.0000278397040948402</v>
      </c>
      <c r="I35" t="n">
        <v>-0.00138553501940741</v>
      </c>
      <c r="J35" t="n">
        <v>0.00144121442759709</v>
      </c>
      <c r="K35" t="s">
        <v>374</v>
      </c>
      <c r="L35" t="s">
        <v>442</v>
      </c>
    </row>
    <row r="36">
      <c r="A36" t="s">
        <v>166</v>
      </c>
      <c r="B36" t="s">
        <v>51</v>
      </c>
      <c r="C36" t="n">
        <v>-0.00353508872686669</v>
      </c>
      <c r="D36" t="n">
        <v>0.00272643625879073</v>
      </c>
      <c r="E36" t="n">
        <v>1.68116345039314</v>
      </c>
      <c r="F36" t="n">
        <v>0.19476992904326</v>
      </c>
      <c r="G36" t="s">
        <v>300</v>
      </c>
      <c r="H36" t="n">
        <v>-0.00353508872686669</v>
      </c>
      <c r="I36" t="n">
        <v>-0.00887890379409651</v>
      </c>
      <c r="J36" t="n">
        <v>0.00180872634036314</v>
      </c>
      <c r="K36" t="s">
        <v>457</v>
      </c>
      <c r="L36" t="s">
        <v>442</v>
      </c>
    </row>
    <row r="37">
      <c r="A37" t="s">
        <v>166</v>
      </c>
      <c r="B37" t="s">
        <v>81</v>
      </c>
      <c r="C37" t="n">
        <v>0.000310372796352093</v>
      </c>
      <c r="D37" t="n">
        <v>0.000158284166212462</v>
      </c>
      <c r="E37" t="n">
        <v>3.84496466010168</v>
      </c>
      <c r="F37" t="n">
        <v>0.049895573145145</v>
      </c>
      <c r="G37" t="s">
        <v>300</v>
      </c>
      <c r="H37" t="n">
        <v>0.000310372796352093</v>
      </c>
      <c r="I37" t="n">
        <v>0.000000135830575667554</v>
      </c>
      <c r="J37" t="n">
        <v>0.000620609762128519</v>
      </c>
      <c r="K37" t="s">
        <v>458</v>
      </c>
      <c r="L37" t="s">
        <v>442</v>
      </c>
    </row>
    <row r="38">
      <c r="A38" t="s">
        <v>171</v>
      </c>
      <c r="B38" t="s">
        <v>299</v>
      </c>
      <c r="C38" t="n">
        <v>-0.115192194463822</v>
      </c>
      <c r="D38" t="n">
        <v>0.0602948086167605</v>
      </c>
      <c r="E38" t="n">
        <v>3.64994450832327</v>
      </c>
      <c r="F38" t="n">
        <v>0.0560710796015791</v>
      </c>
      <c r="G38" t="s">
        <v>300</v>
      </c>
      <c r="H38" t="n">
        <v>-0.115192194463822</v>
      </c>
      <c r="I38" t="n">
        <v>-0.233370019352672</v>
      </c>
      <c r="J38" t="n">
        <v>0.00298563042502879</v>
      </c>
      <c r="K38" t="s">
        <v>459</v>
      </c>
      <c r="L38" t="s">
        <v>442</v>
      </c>
    </row>
    <row r="39">
      <c r="A39" t="s">
        <v>171</v>
      </c>
      <c r="B39" t="s">
        <v>304</v>
      </c>
      <c r="C39" t="n">
        <v>0.0119907415440548</v>
      </c>
      <c r="D39" t="n">
        <v>0.00711053585987369</v>
      </c>
      <c r="E39" t="n">
        <v>2.84372386093518</v>
      </c>
      <c r="F39" t="n">
        <v>0.0917314001325945</v>
      </c>
      <c r="G39" t="s">
        <v>300</v>
      </c>
      <c r="H39" t="n">
        <v>0.0119907415440548</v>
      </c>
      <c r="I39" t="n">
        <v>-0.00194590874129763</v>
      </c>
      <c r="J39" t="n">
        <v>0.0259273918294072</v>
      </c>
      <c r="K39" t="s">
        <v>460</v>
      </c>
      <c r="L39" t="s">
        <v>442</v>
      </c>
    </row>
    <row r="40">
      <c r="A40" t="s">
        <v>171</v>
      </c>
      <c r="B40" t="s">
        <v>298</v>
      </c>
      <c r="C40" t="n">
        <v>-0.000312755932218236</v>
      </c>
      <c r="D40" t="n">
        <v>0.000435762533585836</v>
      </c>
      <c r="E40" t="n">
        <v>0.51512346958347</v>
      </c>
      <c r="F40" t="n">
        <v>0.472929316891355</v>
      </c>
      <c r="G40" t="s">
        <v>300</v>
      </c>
      <c r="H40" t="n">
        <v>-0.000312755932218236</v>
      </c>
      <c r="I40" t="n">
        <v>-0.00116685049804647</v>
      </c>
      <c r="J40" t="n">
        <v>0.000541338633610002</v>
      </c>
      <c r="K40" t="s">
        <v>374</v>
      </c>
      <c r="L40" t="s">
        <v>442</v>
      </c>
    </row>
    <row r="41">
      <c r="A41" t="s">
        <v>171</v>
      </c>
      <c r="B41" t="s">
        <v>51</v>
      </c>
      <c r="C41" t="n">
        <v>-0.00119789967132064</v>
      </c>
      <c r="D41" t="n">
        <v>0.00204066534950599</v>
      </c>
      <c r="E41" t="n">
        <v>0.344585747928742</v>
      </c>
      <c r="F41" t="n">
        <v>0.557194125871741</v>
      </c>
      <c r="G41" t="s">
        <v>300</v>
      </c>
      <c r="H41" t="n">
        <v>-0.00119789967132064</v>
      </c>
      <c r="I41" t="n">
        <v>-0.00519760375635238</v>
      </c>
      <c r="J41" t="n">
        <v>0.0028018044137111</v>
      </c>
      <c r="K41" t="s">
        <v>418</v>
      </c>
      <c r="L41" t="s">
        <v>442</v>
      </c>
    </row>
    <row r="42">
      <c r="A42" t="s">
        <v>171</v>
      </c>
      <c r="B42" t="s">
        <v>81</v>
      </c>
      <c r="C42" t="n">
        <v>0.000197062707931957</v>
      </c>
      <c r="D42" t="n">
        <v>0.000109582836590722</v>
      </c>
      <c r="E42" t="n">
        <v>3.23387937458979</v>
      </c>
      <c r="F42" t="n">
        <v>0.0721296345612552</v>
      </c>
      <c r="G42" t="s">
        <v>300</v>
      </c>
      <c r="H42" t="n">
        <v>0.000197062707931957</v>
      </c>
      <c r="I42" t="n">
        <v>-0.0000177196517858582</v>
      </c>
      <c r="J42" t="n">
        <v>0.000411845067649772</v>
      </c>
      <c r="K42" t="s">
        <v>461</v>
      </c>
      <c r="L42" t="s">
        <v>442</v>
      </c>
    </row>
    <row r="43">
      <c r="A43" t="s">
        <v>345</v>
      </c>
      <c r="B43" t="s">
        <v>299</v>
      </c>
      <c r="C43" t="n">
        <v>-0.602402593143615</v>
      </c>
      <c r="D43" t="n">
        <v>4.16989422016877</v>
      </c>
      <c r="E43" t="n">
        <v>0.0208700547840351</v>
      </c>
      <c r="F43" t="n">
        <v>0.88513351501285</v>
      </c>
      <c r="G43" t="s">
        <v>321</v>
      </c>
      <c r="H43" t="n">
        <v>0.547494647747118</v>
      </c>
      <c r="I43" t="n">
        <v>0.0001544878254088</v>
      </c>
      <c r="J43" t="n">
        <v>1940.28486399206</v>
      </c>
      <c r="K43" t="s">
        <v>462</v>
      </c>
      <c r="L43" t="s">
        <v>463</v>
      </c>
    </row>
    <row r="44">
      <c r="A44" t="s">
        <v>345</v>
      </c>
      <c r="B44" t="s">
        <v>304</v>
      </c>
      <c r="C44" t="n">
        <v>0.703029321879655</v>
      </c>
      <c r="D44" t="n">
        <v>0.507945274311129</v>
      </c>
      <c r="E44" t="n">
        <v>1.91563617376624</v>
      </c>
      <c r="F44" t="n">
        <v>0.166338525084255</v>
      </c>
      <c r="G44" t="s">
        <v>321</v>
      </c>
      <c r="H44" t="n">
        <v>2.01986226183862</v>
      </c>
      <c r="I44" t="n">
        <v>0.746362840414917</v>
      </c>
      <c r="J44" t="n">
        <v>5.46630048534002</v>
      </c>
      <c r="K44" t="s">
        <v>464</v>
      </c>
      <c r="L44" t="s">
        <v>463</v>
      </c>
    </row>
    <row r="45">
      <c r="A45" t="s">
        <v>345</v>
      </c>
      <c r="B45" t="s">
        <v>298</v>
      </c>
      <c r="C45" t="n">
        <v>-0.0203071927605761</v>
      </c>
      <c r="D45" t="n">
        <v>0.0305770974779347</v>
      </c>
      <c r="E45" t="n">
        <v>0.441069743438619</v>
      </c>
      <c r="F45" t="n">
        <v>0.506606587194465</v>
      </c>
      <c r="G45" t="s">
        <v>321</v>
      </c>
      <c r="H45" t="n">
        <v>0.97989760961505</v>
      </c>
      <c r="I45" t="n">
        <v>0.922896390446665</v>
      </c>
      <c r="J45" t="n">
        <v>1.04041941789865</v>
      </c>
      <c r="K45" t="s">
        <v>465</v>
      </c>
      <c r="L45" t="s">
        <v>463</v>
      </c>
    </row>
    <row r="46">
      <c r="A46" t="s">
        <v>345</v>
      </c>
      <c r="B46" t="s">
        <v>51</v>
      </c>
      <c r="C46" t="n">
        <v>0.0454093449545759</v>
      </c>
      <c r="D46" t="n">
        <v>0.116861471952564</v>
      </c>
      <c r="E46" t="n">
        <v>0.150989855569876</v>
      </c>
      <c r="F46" t="n">
        <v>0.697591205998471</v>
      </c>
      <c r="G46" t="s">
        <v>321</v>
      </c>
      <c r="H46" t="n">
        <v>1.04645613378541</v>
      </c>
      <c r="I46" t="n">
        <v>0.832236070294377</v>
      </c>
      <c r="J46" t="n">
        <v>1.31581708486844</v>
      </c>
      <c r="K46" t="s">
        <v>466</v>
      </c>
      <c r="L46" t="s">
        <v>463</v>
      </c>
    </row>
    <row r="47">
      <c r="A47" t="s">
        <v>345</v>
      </c>
      <c r="B47" t="s">
        <v>81</v>
      </c>
      <c r="C47" t="n">
        <v>-0.000163574710884298</v>
      </c>
      <c r="D47" t="n">
        <v>0.00721661362186912</v>
      </c>
      <c r="E47" t="n">
        <v>0.000513766065144859</v>
      </c>
      <c r="F47" t="n">
        <v>0.981916371242328</v>
      </c>
      <c r="G47" t="s">
        <v>321</v>
      </c>
      <c r="H47" t="n">
        <v>0.999836438666729</v>
      </c>
      <c r="I47" t="n">
        <v>0.985793737529328</v>
      </c>
      <c r="J47" t="n">
        <v>1.01407917906968</v>
      </c>
      <c r="K47" t="s">
        <v>467</v>
      </c>
      <c r="L47" t="s">
        <v>463</v>
      </c>
    </row>
    <row r="48">
      <c r="A48" t="s">
        <v>348</v>
      </c>
      <c r="B48" t="s">
        <v>299</v>
      </c>
      <c r="C48" t="n">
        <v>-5.75072070505221</v>
      </c>
      <c r="D48" t="n">
        <v>5.81194003170851</v>
      </c>
      <c r="E48" t="n">
        <v>0.979044207836948</v>
      </c>
      <c r="F48" t="n">
        <v>0.322434889814133</v>
      </c>
      <c r="G48" t="s">
        <v>321</v>
      </c>
      <c r="H48" t="n">
        <v>0.00318048777670429</v>
      </c>
      <c r="I48" t="n">
        <v>0.0000000359145558857126</v>
      </c>
      <c r="J48" t="n">
        <v>281.654673106776</v>
      </c>
      <c r="K48" t="s">
        <v>468</v>
      </c>
      <c r="L48" t="s">
        <v>463</v>
      </c>
    </row>
    <row r="49">
      <c r="A49" t="s">
        <v>348</v>
      </c>
      <c r="B49" t="s">
        <v>304</v>
      </c>
      <c r="C49" t="n">
        <v>-0.937575812437532</v>
      </c>
      <c r="D49" t="n">
        <v>0.921781250111385</v>
      </c>
      <c r="E49" t="n">
        <v>1.03456325645885</v>
      </c>
      <c r="F49" t="n">
        <v>0.309089294513482</v>
      </c>
      <c r="G49" t="s">
        <v>321</v>
      </c>
      <c r="H49" t="n">
        <v>0.391575939225043</v>
      </c>
      <c r="I49" t="n">
        <v>0.0642954081847827</v>
      </c>
      <c r="J49" t="n">
        <v>2.38480041590691</v>
      </c>
      <c r="K49" t="s">
        <v>469</v>
      </c>
      <c r="L49" t="s">
        <v>463</v>
      </c>
    </row>
    <row r="50">
      <c r="A50" t="s">
        <v>348</v>
      </c>
      <c r="B50" t="s">
        <v>298</v>
      </c>
      <c r="C50" t="n">
        <v>0.151784566327449</v>
      </c>
      <c r="D50" t="n">
        <v>0.0581046819920042</v>
      </c>
      <c r="E50" t="n">
        <v>6.82390498232243</v>
      </c>
      <c r="F50" t="n">
        <v>0.00899456858384551</v>
      </c>
      <c r="G50" t="s">
        <v>321</v>
      </c>
      <c r="H50" t="n">
        <v>1.16390946413031</v>
      </c>
      <c r="I50" t="n">
        <v>1.03862673099476</v>
      </c>
      <c r="J50" t="n">
        <v>1.30430423198779</v>
      </c>
      <c r="K50" t="s">
        <v>470</v>
      </c>
      <c r="L50" t="s">
        <v>463</v>
      </c>
    </row>
    <row r="51">
      <c r="A51" t="s">
        <v>348</v>
      </c>
      <c r="B51" t="s">
        <v>51</v>
      </c>
      <c r="C51" t="n">
        <v>0.0133380976101721</v>
      </c>
      <c r="D51" t="n">
        <v>0.24044577533329</v>
      </c>
      <c r="E51" t="n">
        <v>0.00307718410839444</v>
      </c>
      <c r="F51" t="n">
        <v>0.955762139617767</v>
      </c>
      <c r="G51" t="s">
        <v>321</v>
      </c>
      <c r="H51" t="n">
        <v>1.01342744684175</v>
      </c>
      <c r="I51" t="n">
        <v>0.63258819963237</v>
      </c>
      <c r="J51" t="n">
        <v>1.62354465449886</v>
      </c>
      <c r="K51" t="s">
        <v>471</v>
      </c>
      <c r="L51" t="s">
        <v>463</v>
      </c>
    </row>
    <row r="52">
      <c r="A52" t="s">
        <v>348</v>
      </c>
      <c r="B52" t="s">
        <v>81</v>
      </c>
      <c r="C52" t="n">
        <v>-0.00402869121520108</v>
      </c>
      <c r="D52" t="n">
        <v>0.00932991090692824</v>
      </c>
      <c r="E52" t="n">
        <v>0.18645454316247</v>
      </c>
      <c r="F52" t="n">
        <v>0.665883999384623</v>
      </c>
      <c r="G52" t="s">
        <v>321</v>
      </c>
      <c r="H52" t="n">
        <v>0.995979413074373</v>
      </c>
      <c r="I52" t="n">
        <v>0.977931828298811</v>
      </c>
      <c r="J52" t="n">
        <v>1.01436006331197</v>
      </c>
      <c r="K52" t="s">
        <v>472</v>
      </c>
      <c r="L52" t="s">
        <v>463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473</v>
      </c>
    </row>
    <row r="2">
      <c r="A2" t="s">
        <v>474</v>
      </c>
      <c r="B2" t="s">
        <v>5</v>
      </c>
    </row>
    <row r="3">
      <c r="A3" t="s">
        <v>475</v>
      </c>
      <c r="B3" t="s">
        <v>476</v>
      </c>
    </row>
    <row r="4">
      <c r="A4" t="s">
        <v>477</v>
      </c>
      <c r="B4" t="s">
        <v>478</v>
      </c>
    </row>
    <row r="5">
      <c r="A5" t="s">
        <v>479</v>
      </c>
      <c r="B5" t="s">
        <v>480</v>
      </c>
    </row>
    <row r="6">
      <c r="A6" t="s">
        <v>481</v>
      </c>
      <c r="B6" t="s">
        <v>482</v>
      </c>
    </row>
    <row r="7">
      <c r="A7" t="s">
        <v>483</v>
      </c>
      <c r="B7" t="s">
        <v>484</v>
      </c>
    </row>
    <row r="8">
      <c r="A8" t="s">
        <v>485</v>
      </c>
      <c r="B8" t="s">
        <v>486</v>
      </c>
    </row>
    <row r="9">
      <c r="A9" t="s">
        <v>487</v>
      </c>
      <c r="B9" t="s">
        <v>488</v>
      </c>
    </row>
    <row r="10">
      <c r="A10" t="s">
        <v>489</v>
      </c>
      <c r="B10" t="s">
        <v>490</v>
      </c>
    </row>
    <row r="11">
      <c r="A11" t="s">
        <v>491</v>
      </c>
      <c r="B11" t="s">
        <v>30</v>
      </c>
    </row>
    <row r="12">
      <c r="A12" t="s">
        <v>492</v>
      </c>
      <c r="B12" t="s">
        <v>493</v>
      </c>
    </row>
    <row r="14">
      <c r="A14" s="1" t="s">
        <v>494</v>
      </c>
    </row>
    <row r="15">
      <c r="A15" t="s">
        <v>495</v>
      </c>
    </row>
    <row r="16">
      <c r="A16" t="s">
        <v>298</v>
      </c>
    </row>
    <row r="17">
      <c r="A17" t="s">
        <v>51</v>
      </c>
    </row>
    <row r="18">
      <c r="A18" t="s">
        <v>81</v>
      </c>
    </row>
    <row r="19">
      <c r="A19" t="s">
        <v>70</v>
      </c>
    </row>
    <row r="21">
      <c r="A21" s="1" t="s">
        <v>496</v>
      </c>
    </row>
    <row r="22">
      <c r="A22" t="s">
        <v>497</v>
      </c>
      <c r="B22" t="s">
        <v>498</v>
      </c>
      <c r="C22" t="s">
        <v>499</v>
      </c>
      <c r="D22" t="s">
        <v>500</v>
      </c>
      <c r="E22" t="s">
        <v>501</v>
      </c>
    </row>
    <row r="23">
      <c r="A23" t="s">
        <v>502</v>
      </c>
      <c r="B23" t="s">
        <v>477</v>
      </c>
      <c r="C23" t="n">
        <v>1.02213850198157</v>
      </c>
      <c r="D23" t="n">
        <v>0.0418825241620959</v>
      </c>
      <c r="E23" t="s">
        <v>503</v>
      </c>
    </row>
    <row r="24">
      <c r="A24" t="s">
        <v>298</v>
      </c>
      <c r="B24" t="s">
        <v>504</v>
      </c>
      <c r="C24" t="n">
        <v>1.05666878285174</v>
      </c>
      <c r="D24" t="n">
        <v>-0.00417582217891387</v>
      </c>
      <c r="E24" t="s">
        <v>503</v>
      </c>
    </row>
    <row r="25">
      <c r="A25" t="s">
        <v>51</v>
      </c>
      <c r="B25" t="s">
        <v>504</v>
      </c>
      <c r="C25" t="n">
        <v>-0.190759870598295</v>
      </c>
      <c r="D25" t="n">
        <v>-0.0209283980094525</v>
      </c>
      <c r="E25" t="s">
        <v>503</v>
      </c>
    </row>
    <row r="26">
      <c r="A26" t="s">
        <v>81</v>
      </c>
      <c r="B26" t="s">
        <v>504</v>
      </c>
      <c r="C26" t="n">
        <v>-0.553228920931666</v>
      </c>
      <c r="D26" t="n">
        <v>-0.0801431619943048</v>
      </c>
      <c r="E26" t="s">
        <v>503</v>
      </c>
    </row>
    <row r="27">
      <c r="A27" t="s">
        <v>70</v>
      </c>
      <c r="B27" t="s">
        <v>504</v>
      </c>
      <c r="C27" t="n">
        <v>0.122113783450055</v>
      </c>
      <c r="D27" t="n">
        <v>-0.00775372554656371</v>
      </c>
      <c r="E27" t="s">
        <v>503</v>
      </c>
    </row>
    <row r="29">
      <c r="A29" s="1" t="s">
        <v>505</v>
      </c>
    </row>
    <row r="30">
      <c r="A30" t="s">
        <v>493</v>
      </c>
      <c r="B30" t="s">
        <v>29</v>
      </c>
      <c r="C30" t="s">
        <v>506</v>
      </c>
      <c r="D30" t="s">
        <v>507</v>
      </c>
    </row>
    <row r="31">
      <c r="A31" t="s">
        <v>508</v>
      </c>
      <c r="B31" t="s">
        <v>30</v>
      </c>
      <c r="C31" t="n">
        <v>0.257808494823925</v>
      </c>
      <c r="D31" t="n">
        <v>0.791666666666667</v>
      </c>
    </row>
    <row r="32">
      <c r="A32" t="s">
        <v>509</v>
      </c>
      <c r="B32" t="s">
        <v>30</v>
      </c>
      <c r="C32" t="n">
        <v>0.219574782091189</v>
      </c>
      <c r="D32" t="n">
        <v>0.791666666666667</v>
      </c>
    </row>
    <row r="33">
      <c r="A33" t="s">
        <v>510</v>
      </c>
      <c r="B33" t="s">
        <v>31</v>
      </c>
      <c r="C33" t="n">
        <v>0.284792069177147</v>
      </c>
      <c r="D33" t="n">
        <v>1</v>
      </c>
    </row>
    <row r="34">
      <c r="A34" t="s">
        <v>510</v>
      </c>
      <c r="B34" t="s">
        <v>31</v>
      </c>
      <c r="C34" t="n">
        <v>0.465819588227057</v>
      </c>
      <c r="D34" t="n">
        <v>1</v>
      </c>
    </row>
    <row r="35">
      <c r="A35" t="s">
        <v>511</v>
      </c>
      <c r="B35" t="s">
        <v>31</v>
      </c>
      <c r="C35" t="n">
        <v>0.431040407916021</v>
      </c>
      <c r="D35" t="n">
        <v>1</v>
      </c>
    </row>
    <row r="36">
      <c r="A36" t="s">
        <v>512</v>
      </c>
      <c r="B36" t="s">
        <v>30</v>
      </c>
      <c r="C36" t="n">
        <v>0.128805348719217</v>
      </c>
      <c r="D36" t="n">
        <v>0.791666666666667</v>
      </c>
    </row>
    <row r="37">
      <c r="A37" t="s">
        <v>513</v>
      </c>
      <c r="B37" t="s">
        <v>30</v>
      </c>
      <c r="C37" t="n">
        <v>0.67331564235953</v>
      </c>
      <c r="D37" t="n">
        <v>1.58333333333333</v>
      </c>
    </row>
    <row r="38">
      <c r="A38" t="s">
        <v>514</v>
      </c>
      <c r="B38" t="s">
        <v>30</v>
      </c>
      <c r="C38" t="n">
        <v>0.131748678581146</v>
      </c>
      <c r="D38" t="n">
        <v>0.791666666666667</v>
      </c>
    </row>
    <row r="39">
      <c r="A39" t="s">
        <v>514</v>
      </c>
      <c r="B39" t="s">
        <v>30</v>
      </c>
      <c r="C39" t="n">
        <v>0.210071786677654</v>
      </c>
      <c r="D39" t="n">
        <v>0.791666666666667</v>
      </c>
    </row>
    <row r="40">
      <c r="A40" t="s">
        <v>515</v>
      </c>
      <c r="B40" t="s">
        <v>30</v>
      </c>
      <c r="C40" t="n">
        <v>0.583124607304107</v>
      </c>
      <c r="D40" t="n">
        <v>1.58333333333333</v>
      </c>
    </row>
    <row r="41">
      <c r="A41" t="s">
        <v>515</v>
      </c>
      <c r="B41" t="s">
        <v>30</v>
      </c>
      <c r="C41" t="n">
        <v>0.419054863002467</v>
      </c>
      <c r="D41" t="n">
        <v>1.58333333333333</v>
      </c>
    </row>
    <row r="42">
      <c r="A42" t="s">
        <v>516</v>
      </c>
      <c r="B42" t="s">
        <v>30</v>
      </c>
      <c r="C42" t="n">
        <v>0.264638267327165</v>
      </c>
      <c r="D42" t="n">
        <v>0.791666666666667</v>
      </c>
    </row>
    <row r="43">
      <c r="A43" t="s">
        <v>516</v>
      </c>
      <c r="B43" t="s">
        <v>30</v>
      </c>
      <c r="C43" t="n">
        <v>0.130215584293128</v>
      </c>
      <c r="D43" t="n">
        <v>0.791666666666667</v>
      </c>
    </row>
    <row r="44">
      <c r="A44" t="s">
        <v>517</v>
      </c>
      <c r="B44" t="s">
        <v>31</v>
      </c>
      <c r="C44" t="n">
        <v>0.724228716129257</v>
      </c>
      <c r="D44" t="n">
        <v>1</v>
      </c>
    </row>
    <row r="45">
      <c r="A45" t="s">
        <v>517</v>
      </c>
      <c r="B45" t="s">
        <v>31</v>
      </c>
      <c r="C45" t="n">
        <v>0.546794417421148</v>
      </c>
      <c r="D45" t="n">
        <v>1</v>
      </c>
    </row>
    <row r="46">
      <c r="A46" t="s">
        <v>518</v>
      </c>
      <c r="B46" t="s">
        <v>30</v>
      </c>
      <c r="C46" t="n">
        <v>0.147559981614813</v>
      </c>
      <c r="D46" t="n">
        <v>0.791666666666667</v>
      </c>
    </row>
    <row r="47">
      <c r="A47" t="s">
        <v>519</v>
      </c>
      <c r="B47" t="s">
        <v>30</v>
      </c>
      <c r="C47" t="n">
        <v>0.549760642584227</v>
      </c>
      <c r="D47" t="n">
        <v>1.58333333333333</v>
      </c>
    </row>
    <row r="48">
      <c r="A48" t="s">
        <v>519</v>
      </c>
      <c r="B48" t="s">
        <v>30</v>
      </c>
      <c r="C48" t="n">
        <v>0.627853775397611</v>
      </c>
      <c r="D48" t="n">
        <v>1.58333333333333</v>
      </c>
    </row>
    <row r="49">
      <c r="A49" t="s">
        <v>520</v>
      </c>
      <c r="B49" t="s">
        <v>30</v>
      </c>
      <c r="C49" t="n">
        <v>0.114905802694224</v>
      </c>
      <c r="D49" t="n">
        <v>0.791666666666667</v>
      </c>
    </row>
    <row r="50">
      <c r="A50" t="s">
        <v>521</v>
      </c>
      <c r="B50" t="s">
        <v>30</v>
      </c>
      <c r="C50" t="n">
        <v>0.313157959500416</v>
      </c>
      <c r="D50" t="n">
        <v>0.791666666666667</v>
      </c>
    </row>
    <row r="51">
      <c r="A51" t="s">
        <v>522</v>
      </c>
      <c r="B51" t="s">
        <v>30</v>
      </c>
      <c r="C51" t="n">
        <v>0.161706418116102</v>
      </c>
      <c r="D51" t="n">
        <v>0.791666666666667</v>
      </c>
    </row>
    <row r="52">
      <c r="A52" t="s">
        <v>523</v>
      </c>
      <c r="B52" t="s">
        <v>30</v>
      </c>
      <c r="C52" t="n">
        <v>0.116522771313943</v>
      </c>
      <c r="D52" t="n">
        <v>0.791666666666667</v>
      </c>
    </row>
    <row r="53">
      <c r="A53" t="s">
        <v>523</v>
      </c>
      <c r="B53" t="s">
        <v>30</v>
      </c>
      <c r="C53" t="n">
        <v>0.293126216311597</v>
      </c>
      <c r="D53" t="n">
        <v>0.791666666666667</v>
      </c>
    </row>
    <row r="54">
      <c r="A54" t="s">
        <v>524</v>
      </c>
      <c r="B54" t="s">
        <v>30</v>
      </c>
      <c r="C54" t="n">
        <v>0.448398618102908</v>
      </c>
      <c r="D54" t="n">
        <v>0.791666666666667</v>
      </c>
    </row>
    <row r="55">
      <c r="A55" t="s">
        <v>525</v>
      </c>
      <c r="B55" t="s">
        <v>30</v>
      </c>
      <c r="C55" t="n">
        <v>0.246287458932978</v>
      </c>
      <c r="D55" t="n">
        <v>0.791666666666667</v>
      </c>
    </row>
    <row r="56">
      <c r="A56" t="s">
        <v>526</v>
      </c>
      <c r="B56" t="s">
        <v>30</v>
      </c>
      <c r="C56" t="n">
        <v>0.193312889855677</v>
      </c>
      <c r="D56" t="n">
        <v>0.791666666666667</v>
      </c>
    </row>
    <row r="57">
      <c r="A57" t="s">
        <v>527</v>
      </c>
      <c r="B57" t="s">
        <v>30</v>
      </c>
      <c r="C57" t="n">
        <v>0.192043909155225</v>
      </c>
      <c r="D57" t="n">
        <v>0.791666666666667</v>
      </c>
    </row>
    <row r="58">
      <c r="A58" t="s">
        <v>527</v>
      </c>
      <c r="B58" t="s">
        <v>30</v>
      </c>
      <c r="C58" t="n">
        <v>0.278902332043725</v>
      </c>
      <c r="D58" t="n">
        <v>0.791666666666667</v>
      </c>
    </row>
    <row r="59">
      <c r="A59" t="s">
        <v>528</v>
      </c>
      <c r="B59" t="s">
        <v>31</v>
      </c>
      <c r="C59" t="n">
        <v>0.259052406201014</v>
      </c>
      <c r="D59" t="n">
        <v>1</v>
      </c>
    </row>
    <row r="60">
      <c r="A60" t="s">
        <v>528</v>
      </c>
      <c r="B60" t="s">
        <v>31</v>
      </c>
      <c r="C60" t="n">
        <v>0.14345986623518</v>
      </c>
      <c r="D60" t="n">
        <v>1</v>
      </c>
    </row>
    <row r="61">
      <c r="A61" t="s">
        <v>529</v>
      </c>
      <c r="B61" t="s">
        <v>30</v>
      </c>
      <c r="C61" t="n">
        <v>0.546214026293161</v>
      </c>
      <c r="D61" t="n">
        <v>1.58333333333333</v>
      </c>
    </row>
    <row r="62">
      <c r="A62" t="s">
        <v>529</v>
      </c>
      <c r="B62" t="s">
        <v>30</v>
      </c>
      <c r="C62" t="n">
        <v>0.469448993962522</v>
      </c>
      <c r="D62" t="n">
        <v>0.791666666666667</v>
      </c>
    </row>
    <row r="63">
      <c r="A63" t="s">
        <v>530</v>
      </c>
      <c r="B63" t="s">
        <v>30</v>
      </c>
      <c r="C63" t="n">
        <v>0.149725244725716</v>
      </c>
      <c r="D63" t="n">
        <v>0.791666666666667</v>
      </c>
    </row>
    <row r="64">
      <c r="A64" t="s">
        <v>531</v>
      </c>
      <c r="B64" t="s">
        <v>31</v>
      </c>
      <c r="C64" t="n">
        <v>0.568140239313003</v>
      </c>
      <c r="D64" t="n">
        <v>1</v>
      </c>
    </row>
    <row r="65">
      <c r="A65" t="s">
        <v>531</v>
      </c>
      <c r="B65" t="s">
        <v>31</v>
      </c>
      <c r="C65" t="n">
        <v>0.580621196219588</v>
      </c>
      <c r="D65" t="n">
        <v>1</v>
      </c>
    </row>
    <row r="66">
      <c r="A66" t="s">
        <v>532</v>
      </c>
      <c r="B66" t="s">
        <v>31</v>
      </c>
      <c r="C66" t="n">
        <v>0.193610611546489</v>
      </c>
      <c r="D66" t="n">
        <v>1</v>
      </c>
    </row>
    <row r="67">
      <c r="A67" t="s">
        <v>532</v>
      </c>
      <c r="B67" t="s">
        <v>31</v>
      </c>
      <c r="C67" t="n">
        <v>0.312803799063996</v>
      </c>
      <c r="D67" t="n">
        <v>1</v>
      </c>
    </row>
    <row r="68">
      <c r="A68" t="s">
        <v>533</v>
      </c>
      <c r="B68" t="s">
        <v>30</v>
      </c>
      <c r="C68" t="n">
        <v>0.229088055108901</v>
      </c>
      <c r="D68" t="n">
        <v>0.791666666666667</v>
      </c>
    </row>
    <row r="69">
      <c r="A69" t="s">
        <v>534</v>
      </c>
      <c r="B69" t="s">
        <v>30</v>
      </c>
      <c r="C69" t="n">
        <v>0.272106816633538</v>
      </c>
      <c r="D69" t="n">
        <v>0.791666666666667</v>
      </c>
    </row>
    <row r="70">
      <c r="A70" t="s">
        <v>535</v>
      </c>
      <c r="B70" t="s">
        <v>31</v>
      </c>
      <c r="C70" t="n">
        <v>0.434232404931221</v>
      </c>
      <c r="D70" t="n">
        <v>1</v>
      </c>
    </row>
    <row r="71">
      <c r="A71" t="s">
        <v>536</v>
      </c>
      <c r="B71" t="s">
        <v>30</v>
      </c>
      <c r="C71" t="n">
        <v>0.537784109779583</v>
      </c>
      <c r="D71" t="n">
        <v>1.58333333333333</v>
      </c>
    </row>
    <row r="72">
      <c r="A72" t="s">
        <v>536</v>
      </c>
      <c r="B72" t="s">
        <v>30</v>
      </c>
      <c r="C72" t="n">
        <v>0.416026220264078</v>
      </c>
      <c r="D72" t="n">
        <v>1.58333333333333</v>
      </c>
    </row>
    <row r="73">
      <c r="A73" t="s">
        <v>537</v>
      </c>
      <c r="B73" t="s">
        <v>31</v>
      </c>
      <c r="C73" t="n">
        <v>0.622368709883536</v>
      </c>
      <c r="D73" t="n">
        <v>1</v>
      </c>
    </row>
    <row r="74">
      <c r="A74" t="s">
        <v>537</v>
      </c>
      <c r="B74" t="s">
        <v>31</v>
      </c>
      <c r="C74" t="n">
        <v>0.651448492103067</v>
      </c>
      <c r="D74" t="n">
        <v>1</v>
      </c>
    </row>
    <row r="75">
      <c r="A75" t="s">
        <v>538</v>
      </c>
      <c r="B75" t="s">
        <v>30</v>
      </c>
      <c r="C75" t="n">
        <v>0.379493671608619</v>
      </c>
      <c r="D75" t="n">
        <v>0.791666666666667</v>
      </c>
    </row>
    <row r="76">
      <c r="A76" t="s">
        <v>539</v>
      </c>
      <c r="B76" t="s">
        <v>31</v>
      </c>
      <c r="C76" t="n">
        <v>0.244029683298217</v>
      </c>
      <c r="D76" t="n">
        <v>1</v>
      </c>
    </row>
    <row r="77">
      <c r="A77" t="s">
        <v>539</v>
      </c>
      <c r="B77" t="s">
        <v>31</v>
      </c>
      <c r="C77" t="n">
        <v>0.59465245610919</v>
      </c>
      <c r="D77" t="n">
        <v>1</v>
      </c>
    </row>
    <row r="78">
      <c r="A78" t="s">
        <v>540</v>
      </c>
      <c r="B78" t="s">
        <v>31</v>
      </c>
      <c r="C78" t="n">
        <v>0.661467628392484</v>
      </c>
      <c r="D78" t="n">
        <v>1</v>
      </c>
    </row>
    <row r="79">
      <c r="A79" t="s">
        <v>541</v>
      </c>
      <c r="B79" t="s">
        <v>30</v>
      </c>
      <c r="C79" t="n">
        <v>0.105976370188276</v>
      </c>
      <c r="D79" t="n">
        <v>0.791666666666667</v>
      </c>
    </row>
    <row r="80">
      <c r="A80" t="s">
        <v>542</v>
      </c>
      <c r="B80" t="s">
        <v>30</v>
      </c>
      <c r="C80" t="n">
        <v>0.585268551666996</v>
      </c>
      <c r="D80" t="n">
        <v>1.58333333333333</v>
      </c>
    </row>
    <row r="81">
      <c r="A81" t="s">
        <v>542</v>
      </c>
      <c r="B81" t="s">
        <v>30</v>
      </c>
      <c r="C81" t="n">
        <v>0.71135722065363</v>
      </c>
      <c r="D81" t="n">
        <v>1.58333333333333</v>
      </c>
    </row>
    <row r="82">
      <c r="A82" t="s">
        <v>543</v>
      </c>
      <c r="B82" t="s">
        <v>31</v>
      </c>
      <c r="C82" t="n">
        <v>0.367672163953255</v>
      </c>
      <c r="D82" t="n">
        <v>1</v>
      </c>
    </row>
    <row r="83">
      <c r="A83" t="s">
        <v>543</v>
      </c>
      <c r="B83" t="s">
        <v>31</v>
      </c>
      <c r="C83" t="n">
        <v>0.452018548432994</v>
      </c>
      <c r="D83" t="n">
        <v>1</v>
      </c>
    </row>
    <row r="84">
      <c r="A84" t="s">
        <v>544</v>
      </c>
      <c r="B84" t="s">
        <v>31</v>
      </c>
      <c r="C84" t="n">
        <v>0.43406812805996</v>
      </c>
      <c r="D84" t="n">
        <v>1</v>
      </c>
    </row>
    <row r="85">
      <c r="A85" t="s">
        <v>544</v>
      </c>
      <c r="B85" t="s">
        <v>31</v>
      </c>
      <c r="C85" t="n">
        <v>0.274225627587566</v>
      </c>
      <c r="D85" t="n">
        <v>1</v>
      </c>
    </row>
    <row r="86">
      <c r="A86" t="s">
        <v>545</v>
      </c>
      <c r="B86" t="s">
        <v>30</v>
      </c>
      <c r="C86" t="n">
        <v>0.284369253915297</v>
      </c>
      <c r="D86" t="n">
        <v>0.791666666666667</v>
      </c>
    </row>
    <row r="87">
      <c r="A87" t="s">
        <v>546</v>
      </c>
      <c r="B87" t="s">
        <v>30</v>
      </c>
      <c r="C87" t="n">
        <v>0.237566229463191</v>
      </c>
      <c r="D87" t="n">
        <v>0.791666666666667</v>
      </c>
    </row>
    <row r="88">
      <c r="A88" t="s">
        <v>547</v>
      </c>
      <c r="B88" t="s">
        <v>31</v>
      </c>
      <c r="C88" t="n">
        <v>0.158585299278743</v>
      </c>
      <c r="D88" t="n">
        <v>1</v>
      </c>
    </row>
    <row r="89">
      <c r="A89" t="s">
        <v>547</v>
      </c>
      <c r="B89" t="s">
        <v>31</v>
      </c>
      <c r="C89" t="n">
        <v>0.109207198142726</v>
      </c>
      <c r="D89" t="n">
        <v>1</v>
      </c>
    </row>
    <row r="90">
      <c r="A90" t="s">
        <v>548</v>
      </c>
      <c r="B90" t="s">
        <v>30</v>
      </c>
      <c r="C90" t="n">
        <v>0.38676310399019</v>
      </c>
      <c r="D90" t="n">
        <v>1.58333333333333</v>
      </c>
    </row>
    <row r="91">
      <c r="A91" t="s">
        <v>549</v>
      </c>
      <c r="B91" t="s">
        <v>30</v>
      </c>
      <c r="C91" t="n">
        <v>0.210084808702463</v>
      </c>
      <c r="D91" t="n">
        <v>0.791666666666667</v>
      </c>
    </row>
    <row r="92">
      <c r="A92" t="s">
        <v>550</v>
      </c>
      <c r="B92" t="s">
        <v>30</v>
      </c>
      <c r="C92" t="n">
        <v>0.162003948585998</v>
      </c>
      <c r="D92" t="n">
        <v>0.791666666666667</v>
      </c>
    </row>
    <row r="93">
      <c r="A93" t="s">
        <v>550</v>
      </c>
      <c r="B93" t="s">
        <v>30</v>
      </c>
      <c r="C93" t="n">
        <v>0.335338884533652</v>
      </c>
      <c r="D93" t="n">
        <v>0.791666666666667</v>
      </c>
    </row>
    <row r="94">
      <c r="A94" t="s">
        <v>551</v>
      </c>
      <c r="B94" t="s">
        <v>30</v>
      </c>
      <c r="C94" t="n">
        <v>0.49494488959343</v>
      </c>
      <c r="D94" t="n">
        <v>0.791666666666667</v>
      </c>
    </row>
    <row r="95">
      <c r="A95" t="s">
        <v>552</v>
      </c>
      <c r="B95" t="s">
        <v>30</v>
      </c>
      <c r="C95" t="n">
        <v>0.348477510071617</v>
      </c>
      <c r="D95" t="n">
        <v>0.791666666666667</v>
      </c>
    </row>
    <row r="96">
      <c r="A96" t="s">
        <v>553</v>
      </c>
      <c r="B96" t="s">
        <v>31</v>
      </c>
      <c r="C96" t="n">
        <v>0.478925911610922</v>
      </c>
      <c r="D96" t="n">
        <v>1</v>
      </c>
    </row>
    <row r="97">
      <c r="A97" t="s">
        <v>554</v>
      </c>
      <c r="B97" t="s">
        <v>30</v>
      </c>
      <c r="C97" t="n">
        <v>0.4217496713308</v>
      </c>
      <c r="D97" t="n">
        <v>1.58333333333333</v>
      </c>
    </row>
    <row r="98">
      <c r="A98" t="s">
        <v>555</v>
      </c>
      <c r="B98" t="s">
        <v>31</v>
      </c>
      <c r="C98" t="n">
        <v>0.224711187115323</v>
      </c>
      <c r="D98" t="n">
        <v>1</v>
      </c>
    </row>
    <row r="99">
      <c r="A99" t="s">
        <v>556</v>
      </c>
      <c r="B99" t="s">
        <v>30</v>
      </c>
      <c r="C99" t="n">
        <v>0.701559079768278</v>
      </c>
      <c r="D99" t="n">
        <v>1.58333333333333</v>
      </c>
    </row>
    <row r="100">
      <c r="A100" t="s">
        <v>557</v>
      </c>
      <c r="B100" t="s">
        <v>31</v>
      </c>
      <c r="C100" t="n">
        <v>0.130585911930598</v>
      </c>
      <c r="D100" t="n">
        <v>1</v>
      </c>
    </row>
    <row r="101">
      <c r="A101" t="s">
        <v>557</v>
      </c>
      <c r="B101" t="s">
        <v>31</v>
      </c>
      <c r="C101" t="n">
        <v>0.120210728563629</v>
      </c>
      <c r="D101" t="n">
        <v>1</v>
      </c>
    </row>
    <row r="102">
      <c r="A102" t="s">
        <v>558</v>
      </c>
      <c r="B102" t="s">
        <v>31</v>
      </c>
      <c r="C102" t="n">
        <v>0.745274753910563</v>
      </c>
      <c r="D102" t="n">
        <v>1</v>
      </c>
    </row>
    <row r="103">
      <c r="A103" t="s">
        <v>559</v>
      </c>
      <c r="B103" t="s">
        <v>31</v>
      </c>
      <c r="C103" t="n">
        <v>0.663934231589766</v>
      </c>
      <c r="D103" t="n">
        <v>1</v>
      </c>
    </row>
    <row r="104">
      <c r="A104" t="s">
        <v>559</v>
      </c>
      <c r="B104" t="s">
        <v>31</v>
      </c>
      <c r="C104" t="n">
        <v>0.295620769566581</v>
      </c>
      <c r="D104" t="n">
        <v>1</v>
      </c>
    </row>
    <row r="105">
      <c r="A105" t="s">
        <v>560</v>
      </c>
      <c r="B105" t="s">
        <v>31</v>
      </c>
      <c r="C105" t="n">
        <v>0.136920490862739</v>
      </c>
      <c r="D105" t="n">
        <v>1</v>
      </c>
    </row>
    <row r="106">
      <c r="A106" t="s">
        <v>561</v>
      </c>
      <c r="B106" t="s">
        <v>31</v>
      </c>
      <c r="C106" t="n">
        <v>0.212167341423979</v>
      </c>
      <c r="D106" t="n">
        <v>1</v>
      </c>
    </row>
    <row r="107">
      <c r="A107" t="s">
        <v>562</v>
      </c>
      <c r="B107" t="s">
        <v>30</v>
      </c>
      <c r="C107" t="n">
        <v>0.311222336566563</v>
      </c>
      <c r="D107" t="n">
        <v>0.791666666666667</v>
      </c>
    </row>
    <row r="108">
      <c r="A108" t="s">
        <v>563</v>
      </c>
      <c r="B108" t="s">
        <v>31</v>
      </c>
      <c r="C108" t="n">
        <v>0.378204644535838</v>
      </c>
      <c r="D108" t="n">
        <v>1</v>
      </c>
    </row>
    <row r="109">
      <c r="A109" t="s">
        <v>564</v>
      </c>
      <c r="B109" t="s">
        <v>30</v>
      </c>
      <c r="C109" t="n">
        <v>0.35994416963444</v>
      </c>
      <c r="D109" t="n">
        <v>0.791666666666667</v>
      </c>
    </row>
    <row r="110">
      <c r="A110" t="s">
        <v>565</v>
      </c>
      <c r="B110" t="s">
        <v>31</v>
      </c>
      <c r="C110" t="n">
        <v>0.350706759248766</v>
      </c>
      <c r="D110" t="n">
        <v>1</v>
      </c>
    </row>
    <row r="111">
      <c r="A111" t="s">
        <v>566</v>
      </c>
      <c r="B111" t="s">
        <v>30</v>
      </c>
      <c r="C111" t="n">
        <v>0.56258489818321</v>
      </c>
      <c r="D111" t="n">
        <v>1.58333333333333</v>
      </c>
    </row>
    <row r="112">
      <c r="A112" t="s">
        <v>567</v>
      </c>
      <c r="B112" t="s">
        <v>31</v>
      </c>
      <c r="C112" t="n">
        <v>0.60260411748588</v>
      </c>
      <c r="D112" t="n">
        <v>1</v>
      </c>
    </row>
    <row r="113">
      <c r="A113" t="s">
        <v>568</v>
      </c>
      <c r="B113" t="s">
        <v>30</v>
      </c>
      <c r="C113" t="n">
        <v>0.121472284542088</v>
      </c>
      <c r="D113" t="n">
        <v>0.791666666666667</v>
      </c>
    </row>
    <row r="114">
      <c r="A114" t="s">
        <v>569</v>
      </c>
      <c r="B114" t="s">
        <v>30</v>
      </c>
      <c r="C114" t="n">
        <v>0.492360866965352</v>
      </c>
      <c r="D114" t="n">
        <v>0.791666666666667</v>
      </c>
    </row>
    <row r="115">
      <c r="A115" t="s">
        <v>570</v>
      </c>
      <c r="B115" t="s">
        <v>30</v>
      </c>
      <c r="C115" t="n">
        <v>0.658718396226705</v>
      </c>
      <c r="D115" t="n">
        <v>1.58333333333333</v>
      </c>
    </row>
    <row r="116">
      <c r="A116" t="s">
        <v>570</v>
      </c>
      <c r="B116" t="s">
        <v>30</v>
      </c>
      <c r="C116" t="n">
        <v>0.328169762718863</v>
      </c>
      <c r="D116" t="n">
        <v>0.791666666666667</v>
      </c>
    </row>
    <row r="117">
      <c r="A117" t="s">
        <v>571</v>
      </c>
      <c r="B117" t="s">
        <v>30</v>
      </c>
      <c r="C117" t="n">
        <v>0.281148400135366</v>
      </c>
      <c r="D117" t="n">
        <v>0.791666666666667</v>
      </c>
    </row>
    <row r="118">
      <c r="A118" t="s">
        <v>572</v>
      </c>
      <c r="B118" t="s">
        <v>30</v>
      </c>
      <c r="C118" t="n">
        <v>0.124448835241599</v>
      </c>
      <c r="D118" t="n">
        <v>0.791666666666667</v>
      </c>
    </row>
    <row r="119">
      <c r="A119" t="s">
        <v>572</v>
      </c>
      <c r="B119" t="s">
        <v>30</v>
      </c>
      <c r="C119" t="n">
        <v>0.260868574373368</v>
      </c>
      <c r="D119" t="n">
        <v>0.791666666666667</v>
      </c>
    </row>
    <row r="120">
      <c r="A120" t="s">
        <v>573</v>
      </c>
      <c r="B120" t="s">
        <v>30</v>
      </c>
      <c r="C120" t="n">
        <v>0.326187032307302</v>
      </c>
      <c r="D120" t="n">
        <v>0.791666666666667</v>
      </c>
    </row>
    <row r="121">
      <c r="A121" t="s">
        <v>574</v>
      </c>
      <c r="B121" t="s">
        <v>30</v>
      </c>
      <c r="C121" t="n">
        <v>0.357120507982143</v>
      </c>
      <c r="D121" t="n">
        <v>0.791666666666667</v>
      </c>
    </row>
    <row r="122">
      <c r="A122" t="s">
        <v>574</v>
      </c>
      <c r="B122" t="s">
        <v>30</v>
      </c>
      <c r="C122" t="n">
        <v>0.32359948143581</v>
      </c>
      <c r="D122" t="n">
        <v>0.791666666666667</v>
      </c>
    </row>
    <row r="123">
      <c r="A123" t="s">
        <v>575</v>
      </c>
      <c r="B123" t="s">
        <v>31</v>
      </c>
      <c r="C123" t="n">
        <v>0.339684773109869</v>
      </c>
      <c r="D123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576</v>
      </c>
    </row>
    <row r="3">
      <c r="A3" s="1" t="s">
        <v>577</v>
      </c>
    </row>
    <row r="4">
      <c r="A4" t="s">
        <v>285</v>
      </c>
      <c r="B4" t="s">
        <v>286</v>
      </c>
      <c r="C4" t="s">
        <v>287</v>
      </c>
      <c r="D4" t="s">
        <v>288</v>
      </c>
      <c r="E4" t="s">
        <v>289</v>
      </c>
      <c r="F4" t="s">
        <v>290</v>
      </c>
      <c r="G4" t="s">
        <v>291</v>
      </c>
      <c r="H4" t="s">
        <v>292</v>
      </c>
      <c r="I4" t="s">
        <v>293</v>
      </c>
      <c r="J4" t="s">
        <v>294</v>
      </c>
      <c r="K4" t="s">
        <v>295</v>
      </c>
      <c r="L4" t="s">
        <v>296</v>
      </c>
      <c r="M4" t="s">
        <v>297</v>
      </c>
      <c r="N4" t="s">
        <v>1</v>
      </c>
    </row>
    <row r="5">
      <c r="A5" t="s">
        <v>298</v>
      </c>
      <c r="B5" t="s">
        <v>299</v>
      </c>
      <c r="C5" t="n">
        <v>34.8055555555556</v>
      </c>
      <c r="D5" t="n">
        <v>0.928977417722474</v>
      </c>
      <c r="E5" t="n">
        <v>1403.74048831775</v>
      </c>
      <c r="F5" t="n">
        <v>0</v>
      </c>
      <c r="G5" t="s">
        <v>300</v>
      </c>
      <c r="H5" t="n">
        <v>34.8055555555556</v>
      </c>
      <c r="I5" t="n">
        <v>32.9847598168195</v>
      </c>
      <c r="J5" t="n">
        <v>36.6263512942916</v>
      </c>
      <c r="K5" t="s">
        <v>578</v>
      </c>
      <c r="L5" t="s">
        <v>579</v>
      </c>
      <c r="M5" t="s">
        <v>303</v>
      </c>
      <c r="N5"/>
    </row>
    <row r="6">
      <c r="A6" t="s">
        <v>298</v>
      </c>
      <c r="B6" t="s">
        <v>304</v>
      </c>
      <c r="C6" t="n">
        <v>-0.0277777777777795</v>
      </c>
      <c r="D6" t="n">
        <v>1.26695251742632</v>
      </c>
      <c r="E6" t="n">
        <v>0.000480700219987174</v>
      </c>
      <c r="F6" t="n">
        <v>0.982507880775202</v>
      </c>
      <c r="G6" t="s">
        <v>300</v>
      </c>
      <c r="H6" t="n">
        <v>-0.0277777777777795</v>
      </c>
      <c r="I6" t="n">
        <v>-2.51100471193337</v>
      </c>
      <c r="J6" t="n">
        <v>2.45544915637781</v>
      </c>
      <c r="K6" t="s">
        <v>580</v>
      </c>
      <c r="L6" t="s">
        <v>579</v>
      </c>
      <c r="M6" t="s">
        <v>303</v>
      </c>
      <c r="N6"/>
    </row>
    <row r="7">
      <c r="A7" t="s">
        <v>51</v>
      </c>
      <c r="B7" t="s">
        <v>299</v>
      </c>
      <c r="C7" t="n">
        <v>-4.55613311816086</v>
      </c>
      <c r="D7" t="n">
        <v>0.294104961890488</v>
      </c>
      <c r="E7" t="n">
        <v>239.987214974533</v>
      </c>
      <c r="F7" t="n">
        <v>0</v>
      </c>
      <c r="G7" t="s">
        <v>300</v>
      </c>
      <c r="H7" t="n">
        <v>-4.55613311816086</v>
      </c>
      <c r="I7" t="n">
        <v>-5.13257884346622</v>
      </c>
      <c r="J7" t="n">
        <v>-3.97968739285551</v>
      </c>
      <c r="K7" t="s">
        <v>581</v>
      </c>
      <c r="L7" t="s">
        <v>579</v>
      </c>
      <c r="M7" t="s">
        <v>303</v>
      </c>
      <c r="N7"/>
    </row>
    <row r="8">
      <c r="A8" t="s">
        <v>51</v>
      </c>
      <c r="B8" t="s">
        <v>304</v>
      </c>
      <c r="C8" t="n">
        <v>-0.0330883403485197</v>
      </c>
      <c r="D8" t="n">
        <v>0.360122099880526</v>
      </c>
      <c r="E8" t="n">
        <v>0.00844209861199443</v>
      </c>
      <c r="F8" t="n">
        <v>0.926792671924206</v>
      </c>
      <c r="G8" t="s">
        <v>300</v>
      </c>
      <c r="H8" t="n">
        <v>-0.0330883403485197</v>
      </c>
      <c r="I8" t="n">
        <v>-0.738927656114352</v>
      </c>
      <c r="J8" t="n">
        <v>0.672750975417312</v>
      </c>
      <c r="K8" t="s">
        <v>582</v>
      </c>
      <c r="L8" t="s">
        <v>579</v>
      </c>
      <c r="M8" t="s">
        <v>303</v>
      </c>
      <c r="N8"/>
    </row>
    <row r="9">
      <c r="A9" t="s">
        <v>58</v>
      </c>
      <c r="B9" t="s">
        <v>299</v>
      </c>
      <c r="C9" t="n">
        <v>-4.20138888888889</v>
      </c>
      <c r="D9" t="n">
        <v>0.302003686404313</v>
      </c>
      <c r="E9" t="n">
        <v>193.535784269927</v>
      </c>
      <c r="F9" t="n">
        <v>0</v>
      </c>
      <c r="G9" t="s">
        <v>300</v>
      </c>
      <c r="H9" t="n">
        <v>-4.20138888888889</v>
      </c>
      <c r="I9" t="n">
        <v>-4.79331611424134</v>
      </c>
      <c r="J9" t="n">
        <v>-3.60946166353644</v>
      </c>
      <c r="K9" t="s">
        <v>583</v>
      </c>
      <c r="L9" t="s">
        <v>579</v>
      </c>
      <c r="M9" t="s">
        <v>303</v>
      </c>
      <c r="N9"/>
    </row>
    <row r="10">
      <c r="A10" t="s">
        <v>58</v>
      </c>
      <c r="B10" t="s">
        <v>304</v>
      </c>
      <c r="C10" t="n">
        <v>-0.0833333333333329</v>
      </c>
      <c r="D10" t="n">
        <v>0.362493551424361</v>
      </c>
      <c r="E10" t="n">
        <v>0.0528490199126824</v>
      </c>
      <c r="F10" t="n">
        <v>0.818177909925208</v>
      </c>
      <c r="G10" t="s">
        <v>300</v>
      </c>
      <c r="H10" t="n">
        <v>-0.0833333333333329</v>
      </c>
      <c r="I10" t="n">
        <v>-0.79382069412508</v>
      </c>
      <c r="J10" t="n">
        <v>0.627154027458414</v>
      </c>
      <c r="K10" t="s">
        <v>584</v>
      </c>
      <c r="L10" t="s">
        <v>579</v>
      </c>
      <c r="M10" t="s">
        <v>303</v>
      </c>
      <c r="N10"/>
    </row>
    <row r="11">
      <c r="A11" t="s">
        <v>64</v>
      </c>
      <c r="B11" t="s">
        <v>299</v>
      </c>
      <c r="C11" t="n">
        <v>-0.6875</v>
      </c>
      <c r="D11" t="n">
        <v>0.0695095181221096</v>
      </c>
      <c r="E11" t="n">
        <v>97.8265751715536</v>
      </c>
      <c r="F11" t="n">
        <v>0</v>
      </c>
      <c r="G11" t="s">
        <v>300</v>
      </c>
      <c r="H11" t="n">
        <v>-0.6875</v>
      </c>
      <c r="I11" t="n">
        <v>-0.823738655519335</v>
      </c>
      <c r="J11" t="n">
        <v>-0.551261344480665</v>
      </c>
      <c r="K11" t="s">
        <v>585</v>
      </c>
      <c r="L11" t="s">
        <v>579</v>
      </c>
      <c r="M11" t="s">
        <v>303</v>
      </c>
      <c r="N11"/>
    </row>
    <row r="12">
      <c r="A12" t="s">
        <v>64</v>
      </c>
      <c r="B12" t="s">
        <v>304</v>
      </c>
      <c r="C12" t="n">
        <v>0.0347222222222222</v>
      </c>
      <c r="D12" t="n">
        <v>0.106238505154315</v>
      </c>
      <c r="E12" t="n">
        <v>0.106819642945453</v>
      </c>
      <c r="F12" t="n">
        <v>0.743794391683142</v>
      </c>
      <c r="G12" t="s">
        <v>300</v>
      </c>
      <c r="H12" t="n">
        <v>0.0347222222222222</v>
      </c>
      <c r="I12" t="n">
        <v>-0.173505247880235</v>
      </c>
      <c r="J12" t="n">
        <v>0.242949692324679</v>
      </c>
      <c r="K12" t="s">
        <v>586</v>
      </c>
      <c r="L12" t="s">
        <v>579</v>
      </c>
      <c r="M12" t="s">
        <v>303</v>
      </c>
      <c r="N12"/>
    </row>
    <row r="13">
      <c r="A13" t="s">
        <v>70</v>
      </c>
      <c r="B13" t="s">
        <v>299</v>
      </c>
      <c r="C13" t="n">
        <v>1.12115593386472</v>
      </c>
      <c r="D13" t="n">
        <v>0.0347277680090394</v>
      </c>
      <c r="E13" t="n">
        <v>1042.2653414852</v>
      </c>
      <c r="F13" t="n">
        <v>0</v>
      </c>
      <c r="G13" t="s">
        <v>300</v>
      </c>
      <c r="H13" t="n">
        <v>1.12115593386472</v>
      </c>
      <c r="I13" t="n">
        <v>1.053089508567</v>
      </c>
      <c r="J13" t="n">
        <v>1.18922235916244</v>
      </c>
      <c r="K13" t="s">
        <v>587</v>
      </c>
      <c r="L13" t="s">
        <v>579</v>
      </c>
      <c r="M13" t="s">
        <v>303</v>
      </c>
      <c r="N13"/>
    </row>
    <row r="14">
      <c r="A14" t="s">
        <v>70</v>
      </c>
      <c r="B14" t="s">
        <v>304</v>
      </c>
      <c r="C14" t="n">
        <v>-0.00168737430581801</v>
      </c>
      <c r="D14" t="n">
        <v>0.0442537008076144</v>
      </c>
      <c r="E14" t="n">
        <v>0.00145386363124946</v>
      </c>
      <c r="F14" t="n">
        <v>0.969584379984933</v>
      </c>
      <c r="G14" t="s">
        <v>300</v>
      </c>
      <c r="H14" t="n">
        <v>-0.00168737430581801</v>
      </c>
      <c r="I14" t="n">
        <v>-0.0884246278887422</v>
      </c>
      <c r="J14" t="n">
        <v>0.0850498792771062</v>
      </c>
      <c r="K14" t="s">
        <v>588</v>
      </c>
      <c r="L14" t="s">
        <v>579</v>
      </c>
      <c r="M14" t="s">
        <v>303</v>
      </c>
      <c r="N14"/>
    </row>
    <row r="15">
      <c r="A15" t="s">
        <v>76</v>
      </c>
      <c r="B15" t="s">
        <v>299</v>
      </c>
      <c r="C15" t="n">
        <v>-0.0124963693471328</v>
      </c>
      <c r="D15" t="n">
        <v>0.00513179848704717</v>
      </c>
      <c r="E15" t="n">
        <v>5.92964259035328</v>
      </c>
      <c r="F15" t="n">
        <v>0.0148882611719238</v>
      </c>
      <c r="G15" t="s">
        <v>300</v>
      </c>
      <c r="H15" t="n">
        <v>-0.0124963693471328</v>
      </c>
      <c r="I15" t="n">
        <v>-0.0225546943817453</v>
      </c>
      <c r="J15" t="n">
        <v>-0.00243804431252036</v>
      </c>
      <c r="K15" t="s">
        <v>589</v>
      </c>
      <c r="L15" t="s">
        <v>579</v>
      </c>
      <c r="M15" t="s">
        <v>303</v>
      </c>
      <c r="N15"/>
    </row>
    <row r="16">
      <c r="A16" t="s">
        <v>76</v>
      </c>
      <c r="B16" t="s">
        <v>304</v>
      </c>
      <c r="C16" t="n">
        <v>0.0101050363645051</v>
      </c>
      <c r="D16" t="n">
        <v>0.00726893556564653</v>
      </c>
      <c r="E16" t="n">
        <v>1.93256505900618</v>
      </c>
      <c r="F16" t="n">
        <v>0.164478087553554</v>
      </c>
      <c r="G16" t="s">
        <v>300</v>
      </c>
      <c r="H16" t="n">
        <v>0.0101050363645051</v>
      </c>
      <c r="I16" t="n">
        <v>-0.00414207734416207</v>
      </c>
      <c r="J16" t="n">
        <v>0.0243521500731723</v>
      </c>
      <c r="K16" t="s">
        <v>590</v>
      </c>
      <c r="L16" t="s">
        <v>579</v>
      </c>
      <c r="M16" t="s">
        <v>303</v>
      </c>
      <c r="N16"/>
    </row>
    <row r="17">
      <c r="A17" t="s">
        <v>81</v>
      </c>
      <c r="B17" t="s">
        <v>299</v>
      </c>
      <c r="C17" t="n">
        <v>538.263888888889</v>
      </c>
      <c r="D17" t="n">
        <v>4.58288910312901</v>
      </c>
      <c r="E17" t="n">
        <v>13794.6851625259</v>
      </c>
      <c r="F17" t="n">
        <v>0</v>
      </c>
      <c r="G17" t="s">
        <v>300</v>
      </c>
      <c r="H17" t="n">
        <v>538.263888888889</v>
      </c>
      <c r="I17" t="n">
        <v>529.281426246756</v>
      </c>
      <c r="J17" t="n">
        <v>547.246351531022</v>
      </c>
      <c r="K17" t="s">
        <v>591</v>
      </c>
      <c r="L17" t="s">
        <v>579</v>
      </c>
      <c r="M17" t="s">
        <v>303</v>
      </c>
      <c r="N17"/>
    </row>
    <row r="18">
      <c r="A18" t="s">
        <v>81</v>
      </c>
      <c r="B18" t="s">
        <v>304</v>
      </c>
      <c r="C18" t="n">
        <v>-2.20833333333332</v>
      </c>
      <c r="D18" t="n">
        <v>6.40635141610648</v>
      </c>
      <c r="E18" t="n">
        <v>0.118824977286594</v>
      </c>
      <c r="F18" t="n">
        <v>0.730312406944132</v>
      </c>
      <c r="G18" t="s">
        <v>300</v>
      </c>
      <c r="H18" t="n">
        <v>-2.20833333333332</v>
      </c>
      <c r="I18" t="n">
        <v>-14.764782108902</v>
      </c>
      <c r="J18" t="n">
        <v>10.3481154422354</v>
      </c>
      <c r="K18" t="s">
        <v>592</v>
      </c>
      <c r="L18" t="s">
        <v>579</v>
      </c>
      <c r="M18" t="s">
        <v>303</v>
      </c>
      <c r="N18"/>
    </row>
    <row r="19">
      <c r="A19" t="s">
        <v>87</v>
      </c>
      <c r="B19" t="s">
        <v>299</v>
      </c>
      <c r="C19" t="n">
        <v>43.8275</v>
      </c>
      <c r="D19" t="n">
        <v>0.210451809954848</v>
      </c>
      <c r="E19" t="n">
        <v>43369.8646190694</v>
      </c>
      <c r="F19" t="n">
        <v>0</v>
      </c>
      <c r="G19" t="s">
        <v>300</v>
      </c>
      <c r="H19" t="n">
        <v>43.8275</v>
      </c>
      <c r="I19" t="n">
        <v>43.4150144524885</v>
      </c>
      <c r="J19" t="n">
        <v>44.2399855475115</v>
      </c>
      <c r="K19" t="s">
        <v>593</v>
      </c>
      <c r="L19" t="s">
        <v>579</v>
      </c>
      <c r="M19" t="s">
        <v>303</v>
      </c>
      <c r="N19"/>
    </row>
    <row r="20">
      <c r="A20" t="s">
        <v>87</v>
      </c>
      <c r="B20" t="s">
        <v>304</v>
      </c>
      <c r="C20" t="n">
        <v>-0.103888888888887</v>
      </c>
      <c r="D20" t="n">
        <v>0.346194161435842</v>
      </c>
      <c r="E20" t="n">
        <v>0.0900531117760225</v>
      </c>
      <c r="F20" t="n">
        <v>0.764109645862898</v>
      </c>
      <c r="G20" t="s">
        <v>300</v>
      </c>
      <c r="H20" t="n">
        <v>-0.103888888888887</v>
      </c>
      <c r="I20" t="n">
        <v>-0.782429445303137</v>
      </c>
      <c r="J20" t="n">
        <v>0.574651667525363</v>
      </c>
      <c r="K20" t="s">
        <v>594</v>
      </c>
      <c r="L20" t="s">
        <v>579</v>
      </c>
      <c r="M20" t="s">
        <v>303</v>
      </c>
      <c r="N20"/>
    </row>
    <row r="21">
      <c r="A21" t="s">
        <v>93</v>
      </c>
      <c r="B21"/>
      <c r="C21"/>
      <c r="D21"/>
      <c r="E21"/>
      <c r="F21"/>
      <c r="G21"/>
      <c r="H21"/>
      <c r="I21"/>
      <c r="J21"/>
      <c r="K21"/>
      <c r="L21" t="s">
        <v>320</v>
      </c>
      <c r="M21"/>
      <c r="N21"/>
    </row>
    <row r="22">
      <c r="A22" t="s">
        <v>23</v>
      </c>
      <c r="B22" t="s">
        <v>299</v>
      </c>
      <c r="C22" t="n">
        <v>0.631271776841857</v>
      </c>
      <c r="D22" t="n">
        <v>0.343015678279428</v>
      </c>
      <c r="E22" t="n">
        <v>3.38691895448469</v>
      </c>
      <c r="F22" t="n">
        <v>0.0657156400886917</v>
      </c>
      <c r="G22" t="s">
        <v>321</v>
      </c>
      <c r="H22" t="n">
        <v>1.88</v>
      </c>
      <c r="I22" t="n">
        <v>0.959791742849407</v>
      </c>
      <c r="J22" t="n">
        <v>3.68246552060049</v>
      </c>
      <c r="K22" t="s">
        <v>595</v>
      </c>
      <c r="L22" t="s">
        <v>596</v>
      </c>
      <c r="M22" t="s">
        <v>303</v>
      </c>
      <c r="N22"/>
    </row>
    <row r="23">
      <c r="A23" t="s">
        <v>23</v>
      </c>
      <c r="B23" t="s">
        <v>304</v>
      </c>
      <c r="C23" t="n">
        <v>-0.742497411952082</v>
      </c>
      <c r="D23" t="n">
        <v>0.549998275873752</v>
      </c>
      <c r="E23" t="n">
        <v>1.82249872128857</v>
      </c>
      <c r="F23" t="n">
        <v>0.177016134788949</v>
      </c>
      <c r="G23" t="s">
        <v>321</v>
      </c>
      <c r="H23" t="n">
        <v>0.475923852183651</v>
      </c>
      <c r="I23" t="n">
        <v>0.161945724689824</v>
      </c>
      <c r="J23" t="n">
        <v>1.39863842352831</v>
      </c>
      <c r="K23" t="s">
        <v>597</v>
      </c>
      <c r="L23" t="s">
        <v>596</v>
      </c>
      <c r="M23" t="s">
        <v>303</v>
      </c>
      <c r="N23"/>
    </row>
    <row r="24">
      <c r="A24" t="s">
        <v>325</v>
      </c>
      <c r="B24" t="s">
        <v>299</v>
      </c>
      <c r="C24" t="n">
        <v>-1.25276296849537</v>
      </c>
      <c r="D24" t="n">
        <v>0.439590486610399</v>
      </c>
      <c r="E24" t="n">
        <v>8.12159342114144</v>
      </c>
      <c r="F24" t="n">
        <v>0.00437410967869345</v>
      </c>
      <c r="G24" t="s">
        <v>321</v>
      </c>
      <c r="H24" t="n">
        <v>0.285714285714286</v>
      </c>
      <c r="I24" t="n">
        <v>0.120710480670271</v>
      </c>
      <c r="J24" t="n">
        <v>0.676268146791738</v>
      </c>
      <c r="K24" t="s">
        <v>598</v>
      </c>
      <c r="L24" t="s">
        <v>596</v>
      </c>
      <c r="M24" t="s">
        <v>303</v>
      </c>
      <c r="N24"/>
    </row>
    <row r="25">
      <c r="A25" t="s">
        <v>325</v>
      </c>
      <c r="B25" t="s">
        <v>304</v>
      </c>
      <c r="C25" t="n">
        <v>0.000000000000000341982422283899</v>
      </c>
      <c r="D25" t="n">
        <v>0.664803945320939</v>
      </c>
      <c r="E25" t="n">
        <v>0.000000000000000000000000000000264618614968288</v>
      </c>
      <c r="F25" t="n">
        <v>1</v>
      </c>
      <c r="G25" t="s">
        <v>321</v>
      </c>
      <c r="H25" t="n">
        <v>1</v>
      </c>
      <c r="I25" t="n">
        <v>0.271711148003838</v>
      </c>
      <c r="J25" t="n">
        <v>3.68037898829928</v>
      </c>
      <c r="K25" t="s">
        <v>599</v>
      </c>
      <c r="L25" t="s">
        <v>596</v>
      </c>
      <c r="M25" t="s">
        <v>303</v>
      </c>
      <c r="N25"/>
    </row>
    <row r="26">
      <c r="A26" t="s">
        <v>328</v>
      </c>
      <c r="B26"/>
      <c r="C26"/>
      <c r="D26"/>
      <c r="E26"/>
      <c r="F26"/>
      <c r="G26"/>
      <c r="H26"/>
      <c r="I26"/>
      <c r="J26"/>
      <c r="K26"/>
      <c r="L26" t="s">
        <v>329</v>
      </c>
      <c r="M26"/>
      <c r="N26"/>
    </row>
    <row r="28">
      <c r="A28" s="1" t="s">
        <v>600</v>
      </c>
    </row>
    <row r="29">
      <c r="A29" t="s">
        <v>285</v>
      </c>
      <c r="B29" t="s">
        <v>286</v>
      </c>
      <c r="C29" t="s">
        <v>287</v>
      </c>
      <c r="D29" t="s">
        <v>288</v>
      </c>
      <c r="E29" t="s">
        <v>289</v>
      </c>
      <c r="F29" t="s">
        <v>290</v>
      </c>
      <c r="G29" t="s">
        <v>291</v>
      </c>
      <c r="H29" t="s">
        <v>292</v>
      </c>
      <c r="I29" t="s">
        <v>293</v>
      </c>
      <c r="J29" t="s">
        <v>294</v>
      </c>
      <c r="K29" t="s">
        <v>295</v>
      </c>
      <c r="L29" t="s">
        <v>296</v>
      </c>
      <c r="M29" t="s">
        <v>297</v>
      </c>
      <c r="N29" t="s">
        <v>1</v>
      </c>
    </row>
    <row r="30">
      <c r="A30" t="s">
        <v>123</v>
      </c>
      <c r="B30" t="s">
        <v>299</v>
      </c>
      <c r="C30" t="n">
        <v>6.54194444444444</v>
      </c>
      <c r="D30" t="n">
        <v>0.0351170326593245</v>
      </c>
      <c r="E30" t="n">
        <v>34703.8837884676</v>
      </c>
      <c r="F30" t="n">
        <v>0</v>
      </c>
      <c r="G30" t="s">
        <v>300</v>
      </c>
      <c r="H30" t="n">
        <v>6.54194444444444</v>
      </c>
      <c r="I30" t="n">
        <v>6.47311506043217</v>
      </c>
      <c r="J30" t="n">
        <v>6.61077382845672</v>
      </c>
      <c r="K30" t="s">
        <v>601</v>
      </c>
      <c r="L30" t="s">
        <v>579</v>
      </c>
      <c r="M30" t="s">
        <v>303</v>
      </c>
      <c r="N30"/>
    </row>
    <row r="31">
      <c r="A31" t="s">
        <v>123</v>
      </c>
      <c r="B31" t="s">
        <v>304</v>
      </c>
      <c r="C31" t="n">
        <v>-0.0397222222222222</v>
      </c>
      <c r="D31" t="n">
        <v>0.0609903276431196</v>
      </c>
      <c r="E31" t="n">
        <v>0.42417507037159</v>
      </c>
      <c r="F31" t="n">
        <v>0.514861083032178</v>
      </c>
      <c r="G31" t="s">
        <v>300</v>
      </c>
      <c r="H31" t="n">
        <v>-0.0397222222222222</v>
      </c>
      <c r="I31" t="n">
        <v>-0.159263264402737</v>
      </c>
      <c r="J31" t="n">
        <v>0.0798188199582923</v>
      </c>
      <c r="K31" t="s">
        <v>602</v>
      </c>
      <c r="L31" t="s">
        <v>579</v>
      </c>
      <c r="M31" t="s">
        <v>303</v>
      </c>
      <c r="N31"/>
    </row>
    <row r="32">
      <c r="A32" t="s">
        <v>129</v>
      </c>
      <c r="B32" t="s">
        <v>299</v>
      </c>
      <c r="C32" t="n">
        <v>70.4166666666667</v>
      </c>
      <c r="D32" t="n">
        <v>4.10297579388744</v>
      </c>
      <c r="E32" t="n">
        <v>294.545923312342</v>
      </c>
      <c r="F32" t="n">
        <v>0</v>
      </c>
      <c r="G32" t="s">
        <v>300</v>
      </c>
      <c r="H32" t="n">
        <v>70.4166666666667</v>
      </c>
      <c r="I32" t="n">
        <v>62.3748341106473</v>
      </c>
      <c r="J32" t="n">
        <v>78.4584992226861</v>
      </c>
      <c r="K32" t="s">
        <v>603</v>
      </c>
      <c r="L32" t="s">
        <v>579</v>
      </c>
      <c r="M32" t="s">
        <v>303</v>
      </c>
      <c r="N32"/>
    </row>
    <row r="33">
      <c r="A33" t="s">
        <v>129</v>
      </c>
      <c r="B33" t="s">
        <v>304</v>
      </c>
      <c r="C33" t="n">
        <v>-1.91666666666666</v>
      </c>
      <c r="D33" t="n">
        <v>5.28335931712658</v>
      </c>
      <c r="E33" t="n">
        <v>0.131605149997091</v>
      </c>
      <c r="F33" t="n">
        <v>0.716773535546417</v>
      </c>
      <c r="G33" t="s">
        <v>300</v>
      </c>
      <c r="H33" t="n">
        <v>-1.91666666666666</v>
      </c>
      <c r="I33" t="n">
        <v>-12.2720509282348</v>
      </c>
      <c r="J33" t="n">
        <v>8.43871759490144</v>
      </c>
      <c r="K33" t="s">
        <v>604</v>
      </c>
      <c r="L33" t="s">
        <v>579</v>
      </c>
      <c r="M33" t="s">
        <v>303</v>
      </c>
      <c r="N33"/>
    </row>
    <row r="34">
      <c r="A34" t="s">
        <v>334</v>
      </c>
      <c r="B34"/>
      <c r="C34"/>
      <c r="D34"/>
      <c r="E34"/>
      <c r="F34"/>
      <c r="G34"/>
      <c r="H34"/>
      <c r="I34"/>
      <c r="J34"/>
      <c r="K34"/>
      <c r="L34" t="s">
        <v>329</v>
      </c>
      <c r="M34"/>
      <c r="N34"/>
    </row>
    <row r="36">
      <c r="A36" s="1" t="s">
        <v>605</v>
      </c>
    </row>
    <row r="37">
      <c r="A37" t="s">
        <v>285</v>
      </c>
      <c r="B37" t="s">
        <v>286</v>
      </c>
      <c r="C37" t="s">
        <v>287</v>
      </c>
      <c r="D37" t="s">
        <v>288</v>
      </c>
      <c r="E37" t="s">
        <v>289</v>
      </c>
      <c r="F37" t="s">
        <v>290</v>
      </c>
      <c r="G37" t="s">
        <v>291</v>
      </c>
      <c r="H37" t="s">
        <v>292</v>
      </c>
      <c r="I37" t="s">
        <v>293</v>
      </c>
      <c r="J37" t="s">
        <v>294</v>
      </c>
      <c r="K37" t="s">
        <v>295</v>
      </c>
      <c r="L37" t="s">
        <v>296</v>
      </c>
      <c r="M37" t="s">
        <v>297</v>
      </c>
      <c r="N37" t="s">
        <v>1</v>
      </c>
    </row>
    <row r="38">
      <c r="A38" t="s">
        <v>142</v>
      </c>
      <c r="B38" t="s">
        <v>299</v>
      </c>
      <c r="C38" t="n">
        <v>185.958333333333</v>
      </c>
      <c r="D38" t="n">
        <v>10.8719909526705</v>
      </c>
      <c r="E38" t="n">
        <v>292.558772818799</v>
      </c>
      <c r="F38" t="n">
        <v>0</v>
      </c>
      <c r="G38" t="s">
        <v>300</v>
      </c>
      <c r="H38" t="n">
        <v>185.958333333333</v>
      </c>
      <c r="I38" t="n">
        <v>164.649231066099</v>
      </c>
      <c r="J38" t="n">
        <v>207.267435600567</v>
      </c>
      <c r="K38" t="s">
        <v>606</v>
      </c>
      <c r="L38" t="s">
        <v>579</v>
      </c>
      <c r="M38" t="s">
        <v>303</v>
      </c>
      <c r="N38"/>
    </row>
    <row r="39">
      <c r="A39" t="s">
        <v>142</v>
      </c>
      <c r="B39" t="s">
        <v>304</v>
      </c>
      <c r="C39" t="n">
        <v>-28.3194444444444</v>
      </c>
      <c r="D39" t="n">
        <v>15.131203171498</v>
      </c>
      <c r="E39" t="n">
        <v>3.50285800927537</v>
      </c>
      <c r="F39" t="n">
        <v>0.0612630194458433</v>
      </c>
      <c r="G39" t="s">
        <v>300</v>
      </c>
      <c r="H39" t="n">
        <v>-28.3194444444444</v>
      </c>
      <c r="I39" t="n">
        <v>-57.9766026605806</v>
      </c>
      <c r="J39" t="n">
        <v>1.33771377169173</v>
      </c>
      <c r="K39" t="s">
        <v>607</v>
      </c>
      <c r="L39" t="s">
        <v>579</v>
      </c>
      <c r="M39" t="s">
        <v>303</v>
      </c>
      <c r="N39"/>
    </row>
    <row r="40">
      <c r="A40" t="s">
        <v>150</v>
      </c>
      <c r="B40" t="s">
        <v>299</v>
      </c>
      <c r="C40" t="n">
        <v>0.0243055555555556</v>
      </c>
      <c r="D40" t="n">
        <v>0.0414413408637044</v>
      </c>
      <c r="E40" t="n">
        <v>0.343988169719031</v>
      </c>
      <c r="F40" t="n">
        <v>0.557536171166931</v>
      </c>
      <c r="G40" t="s">
        <v>300</v>
      </c>
      <c r="H40" t="n">
        <v>0.0243055555555556</v>
      </c>
      <c r="I40" t="n">
        <v>-0.056919472537305</v>
      </c>
      <c r="J40" t="n">
        <v>0.105530583648416</v>
      </c>
      <c r="K40" t="s">
        <v>608</v>
      </c>
      <c r="L40" t="s">
        <v>579</v>
      </c>
      <c r="M40" t="s">
        <v>303</v>
      </c>
      <c r="N40"/>
    </row>
    <row r="41">
      <c r="A41" t="s">
        <v>150</v>
      </c>
      <c r="B41" t="s">
        <v>304</v>
      </c>
      <c r="C41" t="n">
        <v>-0.184027777777778</v>
      </c>
      <c r="D41" t="n">
        <v>0.0845754229041874</v>
      </c>
      <c r="E41" t="n">
        <v>4.73454673143325</v>
      </c>
      <c r="F41" t="n">
        <v>0.0295626370479264</v>
      </c>
      <c r="G41" t="s">
        <v>300</v>
      </c>
      <c r="H41" t="n">
        <v>-0.184027777777778</v>
      </c>
      <c r="I41" t="n">
        <v>-0.349795606669985</v>
      </c>
      <c r="J41" t="n">
        <v>-0.0182599488855704</v>
      </c>
      <c r="K41" t="s">
        <v>609</v>
      </c>
      <c r="L41" t="s">
        <v>579</v>
      </c>
      <c r="M41" t="s">
        <v>303</v>
      </c>
      <c r="N41"/>
    </row>
    <row r="42">
      <c r="A42" t="s">
        <v>158</v>
      </c>
      <c r="B42" t="s">
        <v>299</v>
      </c>
      <c r="C42" t="n">
        <v>-0.201388888888889</v>
      </c>
      <c r="D42" t="n">
        <v>0.0215782256046374</v>
      </c>
      <c r="E42" t="n">
        <v>87.1042915368017</v>
      </c>
      <c r="F42" t="n">
        <v>0</v>
      </c>
      <c r="G42" t="s">
        <v>300</v>
      </c>
      <c r="H42" t="n">
        <v>-0.201388888888889</v>
      </c>
      <c r="I42" t="n">
        <v>-0.243682211073978</v>
      </c>
      <c r="J42" t="n">
        <v>-0.1590955667038</v>
      </c>
      <c r="K42" t="s">
        <v>610</v>
      </c>
      <c r="L42" t="s">
        <v>579</v>
      </c>
      <c r="M42" t="s">
        <v>303</v>
      </c>
      <c r="N42"/>
    </row>
    <row r="43">
      <c r="A43" t="s">
        <v>158</v>
      </c>
      <c r="B43" t="s">
        <v>304</v>
      </c>
      <c r="C43" t="n">
        <v>-0.0277777777777778</v>
      </c>
      <c r="D43" t="n">
        <v>0.0381871368804377</v>
      </c>
      <c r="E43" t="n">
        <v>0.529128071652759</v>
      </c>
      <c r="F43" t="n">
        <v>0.466973667066702</v>
      </c>
      <c r="G43" t="s">
        <v>300</v>
      </c>
      <c r="H43" t="n">
        <v>-0.0277777777777778</v>
      </c>
      <c r="I43" t="n">
        <v>-0.102624566063436</v>
      </c>
      <c r="J43" t="n">
        <v>0.0470690105078802</v>
      </c>
      <c r="K43" t="s">
        <v>611</v>
      </c>
      <c r="L43" t="s">
        <v>579</v>
      </c>
      <c r="M43" t="s">
        <v>303</v>
      </c>
      <c r="N43"/>
    </row>
    <row r="44">
      <c r="A44" t="s">
        <v>166</v>
      </c>
      <c r="B44" t="s">
        <v>299</v>
      </c>
      <c r="C44" t="n">
        <v>0.00423454675284097</v>
      </c>
      <c r="D44" t="n">
        <v>0.0083740700877432</v>
      </c>
      <c r="E44" t="n">
        <v>0.25570586037845</v>
      </c>
      <c r="F44" t="n">
        <v>0.613085755211328</v>
      </c>
      <c r="G44" t="s">
        <v>300</v>
      </c>
      <c r="H44" t="n">
        <v>0.00423454675284097</v>
      </c>
      <c r="I44" t="n">
        <v>-0.0121786306191357</v>
      </c>
      <c r="J44" t="n">
        <v>0.0206477241248177</v>
      </c>
      <c r="K44" t="s">
        <v>612</v>
      </c>
      <c r="L44" t="s">
        <v>579</v>
      </c>
      <c r="M44" t="s">
        <v>303</v>
      </c>
      <c r="N44"/>
    </row>
    <row r="45">
      <c r="A45" t="s">
        <v>166</v>
      </c>
      <c r="B45" t="s">
        <v>304</v>
      </c>
      <c r="C45" t="n">
        <v>0.0620260991618324</v>
      </c>
      <c r="D45" t="n">
        <v>0.0121625787313496</v>
      </c>
      <c r="E45" t="n">
        <v>26.007440231322</v>
      </c>
      <c r="F45" t="n">
        <v>0.000000340104121199225</v>
      </c>
      <c r="G45" t="s">
        <v>300</v>
      </c>
      <c r="H45" t="n">
        <v>0.0620260991618324</v>
      </c>
      <c r="I45" t="n">
        <v>0.0381874448483873</v>
      </c>
      <c r="J45" t="n">
        <v>0.0858647534752776</v>
      </c>
      <c r="K45" t="s">
        <v>613</v>
      </c>
      <c r="L45" t="s">
        <v>579</v>
      </c>
      <c r="M45" t="s">
        <v>303</v>
      </c>
      <c r="N45"/>
    </row>
    <row r="46">
      <c r="A46" t="s">
        <v>171</v>
      </c>
      <c r="B46" t="s">
        <v>299</v>
      </c>
      <c r="C46" t="n">
        <v>-0.0136121139445266</v>
      </c>
      <c r="D46" t="n">
        <v>0.00553541994734589</v>
      </c>
      <c r="E46" t="n">
        <v>6.04713971534346</v>
      </c>
      <c r="F46" t="n">
        <v>0.0139288425457139</v>
      </c>
      <c r="G46" t="s">
        <v>300</v>
      </c>
      <c r="H46" t="n">
        <v>-0.0136121139445266</v>
      </c>
      <c r="I46" t="n">
        <v>-0.0244615370413245</v>
      </c>
      <c r="J46" t="n">
        <v>-0.00276269084772866</v>
      </c>
      <c r="K46" t="s">
        <v>614</v>
      </c>
      <c r="L46" t="s">
        <v>579</v>
      </c>
      <c r="M46" t="s">
        <v>303</v>
      </c>
      <c r="N46"/>
    </row>
    <row r="47">
      <c r="A47" t="s">
        <v>171</v>
      </c>
      <c r="B47" t="s">
        <v>304</v>
      </c>
      <c r="C47" t="n">
        <v>0.0129355392911922</v>
      </c>
      <c r="D47" t="n">
        <v>0.00813434262524084</v>
      </c>
      <c r="E47" t="n">
        <v>2.52885632716747</v>
      </c>
      <c r="F47" t="n">
        <v>0.111781208331407</v>
      </c>
      <c r="G47" t="s">
        <v>300</v>
      </c>
      <c r="H47" t="n">
        <v>0.0129355392911922</v>
      </c>
      <c r="I47" t="n">
        <v>-0.0030077722542799</v>
      </c>
      <c r="J47" t="n">
        <v>0.0288788508366642</v>
      </c>
      <c r="K47" t="s">
        <v>615</v>
      </c>
      <c r="L47" t="s">
        <v>579</v>
      </c>
      <c r="M47" t="s">
        <v>303</v>
      </c>
      <c r="N47"/>
    </row>
    <row r="48">
      <c r="A48" t="s">
        <v>178</v>
      </c>
      <c r="B48"/>
      <c r="C48"/>
      <c r="D48"/>
      <c r="E48"/>
      <c r="F48"/>
      <c r="G48"/>
      <c r="H48"/>
      <c r="I48"/>
      <c r="J48"/>
      <c r="K48"/>
      <c r="L48" t="s">
        <v>320</v>
      </c>
      <c r="M48"/>
      <c r="N48"/>
    </row>
    <row r="49">
      <c r="A49" t="s">
        <v>181</v>
      </c>
      <c r="B49"/>
      <c r="C49"/>
      <c r="D49"/>
      <c r="E49"/>
      <c r="F49"/>
      <c r="G49"/>
      <c r="H49"/>
      <c r="I49"/>
      <c r="J49"/>
      <c r="K49"/>
      <c r="L49" t="s">
        <v>320</v>
      </c>
      <c r="M49"/>
      <c r="N49"/>
    </row>
    <row r="50">
      <c r="A50" t="s">
        <v>345</v>
      </c>
      <c r="B50" t="s">
        <v>299</v>
      </c>
      <c r="C50" t="n">
        <v>-1.94591014905531</v>
      </c>
      <c r="D50" t="n">
        <v>0.363349941024114</v>
      </c>
      <c r="E50" t="n">
        <v>28.6810719031141</v>
      </c>
      <c r="F50" t="n">
        <v>0.0000000853337331907511</v>
      </c>
      <c r="G50" t="s">
        <v>321</v>
      </c>
      <c r="H50" t="n">
        <v>0.142857142857143</v>
      </c>
      <c r="I50" t="n">
        <v>0.0700829293275319</v>
      </c>
      <c r="J50" t="n">
        <v>0.291200203261036</v>
      </c>
      <c r="K50" t="s">
        <v>616</v>
      </c>
      <c r="L50" t="s">
        <v>596</v>
      </c>
      <c r="M50" t="s">
        <v>303</v>
      </c>
      <c r="N50"/>
    </row>
    <row r="51">
      <c r="A51" t="s">
        <v>345</v>
      </c>
      <c r="B51" t="s">
        <v>304</v>
      </c>
      <c r="C51" t="n">
        <v>1.12492959698548</v>
      </c>
      <c r="D51" t="n">
        <v>0.522274149350936</v>
      </c>
      <c r="E51" t="n">
        <v>4.63931248421367</v>
      </c>
      <c r="F51" t="n">
        <v>0.0312475183521322</v>
      </c>
      <c r="G51" t="s">
        <v>321</v>
      </c>
      <c r="H51" t="n">
        <v>3.08</v>
      </c>
      <c r="I51" t="n">
        <v>1.10657788235871</v>
      </c>
      <c r="J51" t="n">
        <v>8.57273595580945</v>
      </c>
      <c r="K51" t="s">
        <v>617</v>
      </c>
      <c r="L51" t="s">
        <v>596</v>
      </c>
      <c r="M51" t="s">
        <v>303</v>
      </c>
      <c r="N51"/>
    </row>
    <row r="52">
      <c r="A52" t="s">
        <v>348</v>
      </c>
      <c r="B52" t="s">
        <v>299</v>
      </c>
      <c r="C52" t="n">
        <v>-2.22847712084032</v>
      </c>
      <c r="D52" t="n">
        <v>0.505303356118983</v>
      </c>
      <c r="E52" t="n">
        <v>19.4496591056654</v>
      </c>
      <c r="F52" t="n">
        <v>0.0000103286272501446</v>
      </c>
      <c r="G52" t="s">
        <v>321</v>
      </c>
      <c r="H52" t="n">
        <v>0.107692307692308</v>
      </c>
      <c r="I52" t="n">
        <v>0.0400001650417273</v>
      </c>
      <c r="J52" t="n">
        <v>0.289939632098924</v>
      </c>
      <c r="K52" t="s">
        <v>618</v>
      </c>
      <c r="L52" t="s">
        <v>596</v>
      </c>
      <c r="M52" t="s">
        <v>303</v>
      </c>
      <c r="N52"/>
    </row>
    <row r="53">
      <c r="A53" t="s">
        <v>348</v>
      </c>
      <c r="B53" t="s">
        <v>304</v>
      </c>
      <c r="C53" t="n">
        <v>-1.32687094064909</v>
      </c>
      <c r="D53" t="n">
        <v>1.14170694445257</v>
      </c>
      <c r="E53" t="n">
        <v>1.35066635072817</v>
      </c>
      <c r="F53" t="n">
        <v>0.245161658262128</v>
      </c>
      <c r="G53" t="s">
        <v>321</v>
      </c>
      <c r="H53" t="n">
        <v>0.265306122448979</v>
      </c>
      <c r="I53" t="n">
        <v>0.0283078379935663</v>
      </c>
      <c r="J53" t="n">
        <v>2.48649644755316</v>
      </c>
      <c r="K53" t="s">
        <v>619</v>
      </c>
      <c r="L53" t="s">
        <v>596</v>
      </c>
      <c r="M53" t="s">
        <v>303</v>
      </c>
      <c r="N53"/>
    </row>
    <row r="54">
      <c r="A54" t="s">
        <v>351</v>
      </c>
      <c r="B54"/>
      <c r="C54"/>
      <c r="D54"/>
      <c r="E54"/>
      <c r="F54"/>
      <c r="G54"/>
      <c r="H54"/>
      <c r="I54"/>
      <c r="J54"/>
      <c r="K54"/>
      <c r="L54" t="s">
        <v>329</v>
      </c>
      <c r="M54"/>
      <c r="N54"/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576</v>
      </c>
    </row>
    <row r="3">
      <c r="A3" s="1" t="s">
        <v>620</v>
      </c>
    </row>
    <row r="4">
      <c r="A4" t="s">
        <v>285</v>
      </c>
      <c r="B4" t="s">
        <v>286</v>
      </c>
      <c r="C4" t="s">
        <v>287</v>
      </c>
      <c r="D4" t="s">
        <v>288</v>
      </c>
      <c r="E4" t="s">
        <v>289</v>
      </c>
      <c r="F4" t="s">
        <v>290</v>
      </c>
      <c r="G4" t="s">
        <v>291</v>
      </c>
      <c r="H4" t="s">
        <v>292</v>
      </c>
      <c r="I4" t="s">
        <v>293</v>
      </c>
      <c r="J4" t="s">
        <v>294</v>
      </c>
      <c r="K4" t="s">
        <v>295</v>
      </c>
      <c r="L4" t="s">
        <v>296</v>
      </c>
      <c r="M4" t="s">
        <v>297</v>
      </c>
      <c r="N4" t="s">
        <v>1</v>
      </c>
    </row>
    <row r="5">
      <c r="A5" t="s">
        <v>298</v>
      </c>
      <c r="B5" t="s">
        <v>299</v>
      </c>
      <c r="C5" t="n">
        <v>35.9939761622241</v>
      </c>
      <c r="D5" t="n">
        <v>1.39490916171727</v>
      </c>
      <c r="E5" t="n">
        <v>665.836802383631</v>
      </c>
      <c r="F5" t="n">
        <v>0</v>
      </c>
      <c r="G5" t="s">
        <v>300</v>
      </c>
      <c r="H5" t="n">
        <v>35.9939761622241</v>
      </c>
      <c r="I5" t="n">
        <v>33.2599542052583</v>
      </c>
      <c r="J5" t="n">
        <v>38.7279981191899</v>
      </c>
      <c r="K5" t="s">
        <v>621</v>
      </c>
      <c r="L5" t="s">
        <v>622</v>
      </c>
      <c r="M5" t="s">
        <v>51</v>
      </c>
      <c r="N5"/>
    </row>
    <row r="6">
      <c r="A6" t="s">
        <v>298</v>
      </c>
      <c r="B6" t="s">
        <v>304</v>
      </c>
      <c r="C6" t="n">
        <v>-0.0191470234756463</v>
      </c>
      <c r="D6" t="n">
        <v>1.26325726999989</v>
      </c>
      <c r="E6" t="n">
        <v>0.000229730642391405</v>
      </c>
      <c r="F6" t="n">
        <v>0.987907032191613</v>
      </c>
      <c r="G6" t="s">
        <v>300</v>
      </c>
      <c r="H6" t="n">
        <v>-0.0191470234756463</v>
      </c>
      <c r="I6" t="n">
        <v>-2.49513127267542</v>
      </c>
      <c r="J6" t="n">
        <v>2.45683722572413</v>
      </c>
      <c r="K6" t="s">
        <v>623</v>
      </c>
      <c r="L6" t="s">
        <v>622</v>
      </c>
      <c r="M6" t="s">
        <v>51</v>
      </c>
      <c r="N6"/>
    </row>
    <row r="7">
      <c r="A7" t="s">
        <v>298</v>
      </c>
      <c r="B7" t="s">
        <v>51</v>
      </c>
      <c r="C7" t="n">
        <v>0.260839746304048</v>
      </c>
      <c r="D7" t="n">
        <v>0.257854118988502</v>
      </c>
      <c r="E7" t="n">
        <v>1.02329155909785</v>
      </c>
      <c r="F7" t="n">
        <v>0.311739512460154</v>
      </c>
      <c r="G7" t="s">
        <v>300</v>
      </c>
      <c r="H7" t="n">
        <v>0.260839746304048</v>
      </c>
      <c r="I7" t="n">
        <v>-0.244554326913416</v>
      </c>
      <c r="J7" t="n">
        <v>0.766233819521511</v>
      </c>
      <c r="K7" t="s">
        <v>624</v>
      </c>
      <c r="L7" t="s">
        <v>622</v>
      </c>
      <c r="M7" t="s">
        <v>51</v>
      </c>
      <c r="N7"/>
    </row>
    <row r="8">
      <c r="A8" t="s">
        <v>51</v>
      </c>
      <c r="B8" t="s">
        <v>299</v>
      </c>
      <c r="C8" t="n">
        <v>-5.81466377759497</v>
      </c>
      <c r="D8" t="n">
        <v>1.33629858734019</v>
      </c>
      <c r="E8" t="n">
        <v>18.933992310448</v>
      </c>
      <c r="F8" t="n">
        <v>0.0000135319921478194</v>
      </c>
      <c r="G8" t="s">
        <v>300</v>
      </c>
      <c r="H8" t="n">
        <v>-5.81466377759497</v>
      </c>
      <c r="I8" t="n">
        <v>-8.43380900878174</v>
      </c>
      <c r="J8" t="n">
        <v>-3.19551854640821</v>
      </c>
      <c r="K8" t="s">
        <v>625</v>
      </c>
      <c r="L8" t="s">
        <v>622</v>
      </c>
      <c r="M8" t="s">
        <v>298</v>
      </c>
      <c r="N8"/>
    </row>
    <row r="9">
      <c r="A9" t="s">
        <v>51</v>
      </c>
      <c r="B9" t="s">
        <v>304</v>
      </c>
      <c r="C9" t="n">
        <v>-0.0320839264144136</v>
      </c>
      <c r="D9" t="n">
        <v>0.35884414782621</v>
      </c>
      <c r="E9" t="n">
        <v>0.00799398423121295</v>
      </c>
      <c r="F9" t="n">
        <v>0.928756804712033</v>
      </c>
      <c r="G9" t="s">
        <v>300</v>
      </c>
      <c r="H9" t="n">
        <v>-0.0320839264144136</v>
      </c>
      <c r="I9" t="n">
        <v>-0.735418456153784</v>
      </c>
      <c r="J9" t="n">
        <v>0.671250603324957</v>
      </c>
      <c r="K9" t="s">
        <v>626</v>
      </c>
      <c r="L9" t="s">
        <v>622</v>
      </c>
      <c r="M9" t="s">
        <v>298</v>
      </c>
      <c r="N9"/>
    </row>
    <row r="10">
      <c r="A10" t="s">
        <v>51</v>
      </c>
      <c r="B10" t="s">
        <v>298</v>
      </c>
      <c r="C10" t="n">
        <v>0.0361589016277957</v>
      </c>
      <c r="D10" t="n">
        <v>0.0368305955091617</v>
      </c>
      <c r="E10" t="n">
        <v>0.963857825212466</v>
      </c>
      <c r="F10" t="n">
        <v>0.326216811663695</v>
      </c>
      <c r="G10" t="s">
        <v>300</v>
      </c>
      <c r="H10" t="n">
        <v>0.0361589016277957</v>
      </c>
      <c r="I10" t="n">
        <v>-0.0360290655701613</v>
      </c>
      <c r="J10" t="n">
        <v>0.108346868825753</v>
      </c>
      <c r="K10" t="s">
        <v>627</v>
      </c>
      <c r="L10" t="s">
        <v>622</v>
      </c>
      <c r="M10" t="s">
        <v>298</v>
      </c>
      <c r="N10"/>
    </row>
    <row r="11">
      <c r="A11" t="s">
        <v>58</v>
      </c>
      <c r="B11" t="s">
        <v>299</v>
      </c>
      <c r="C11" t="n">
        <v>0.257444407894955</v>
      </c>
      <c r="D11" t="n">
        <v>0.205635375634333</v>
      </c>
      <c r="E11" t="n">
        <v>1.56736905371307</v>
      </c>
      <c r="F11" t="n">
        <v>0.210589502607587</v>
      </c>
      <c r="G11" t="s">
        <v>300</v>
      </c>
      <c r="H11" t="n">
        <v>0.257444407894955</v>
      </c>
      <c r="I11" t="n">
        <v>-0.145600928348338</v>
      </c>
      <c r="J11" t="n">
        <v>0.660489744138247</v>
      </c>
      <c r="K11" t="s">
        <v>628</v>
      </c>
      <c r="L11" t="s">
        <v>579</v>
      </c>
      <c r="M11" t="s">
        <v>360</v>
      </c>
      <c r="N11"/>
    </row>
    <row r="12">
      <c r="A12" t="s">
        <v>58</v>
      </c>
      <c r="B12" t="s">
        <v>304</v>
      </c>
      <c r="C12" t="n">
        <v>-0.0503158904276484</v>
      </c>
      <c r="D12" t="n">
        <v>0.0560559631472017</v>
      </c>
      <c r="E12" t="n">
        <v>0.805687614471816</v>
      </c>
      <c r="F12" t="n">
        <v>0.369398288116906</v>
      </c>
      <c r="G12" t="s">
        <v>300</v>
      </c>
      <c r="H12" t="n">
        <v>-0.0503158904276484</v>
      </c>
      <c r="I12" t="n">
        <v>-0.160185578196164</v>
      </c>
      <c r="J12" t="n">
        <v>0.059553797340867</v>
      </c>
      <c r="K12" t="s">
        <v>629</v>
      </c>
      <c r="L12" t="s">
        <v>579</v>
      </c>
      <c r="M12" t="s">
        <v>360</v>
      </c>
      <c r="N12"/>
    </row>
    <row r="13">
      <c r="A13" t="s">
        <v>58</v>
      </c>
      <c r="B13" t="s">
        <v>298</v>
      </c>
      <c r="C13" t="n">
        <v>0.0022660242272637</v>
      </c>
      <c r="D13" t="n">
        <v>0.00550124993484301</v>
      </c>
      <c r="E13" t="n">
        <v>0.169670502005566</v>
      </c>
      <c r="F13" t="n">
        <v>0.680404809098398</v>
      </c>
      <c r="G13" t="s">
        <v>300</v>
      </c>
      <c r="H13" t="n">
        <v>0.0022660242272637</v>
      </c>
      <c r="I13" t="n">
        <v>-0.0085164256450286</v>
      </c>
      <c r="J13" t="n">
        <v>0.013048474099556</v>
      </c>
      <c r="K13" t="s">
        <v>630</v>
      </c>
      <c r="L13" t="s">
        <v>579</v>
      </c>
      <c r="M13" t="s">
        <v>360</v>
      </c>
      <c r="N13"/>
    </row>
    <row r="14">
      <c r="A14" t="s">
        <v>58</v>
      </c>
      <c r="B14" t="s">
        <v>51</v>
      </c>
      <c r="C14" t="n">
        <v>0.995954993243877</v>
      </c>
      <c r="D14" t="n">
        <v>0.0127560197570378</v>
      </c>
      <c r="E14" t="n">
        <v>6096.05757558843</v>
      </c>
      <c r="F14" t="n">
        <v>0</v>
      </c>
      <c r="G14" t="s">
        <v>300</v>
      </c>
      <c r="H14" t="n">
        <v>0.995954993243877</v>
      </c>
      <c r="I14" t="n">
        <v>0.970953194520083</v>
      </c>
      <c r="J14" t="n">
        <v>1.02095679196767</v>
      </c>
      <c r="K14" t="s">
        <v>631</v>
      </c>
      <c r="L14" t="s">
        <v>579</v>
      </c>
      <c r="M14" t="s">
        <v>360</v>
      </c>
      <c r="N14"/>
    </row>
    <row r="15">
      <c r="A15" t="s">
        <v>64</v>
      </c>
      <c r="B15" t="s">
        <v>299</v>
      </c>
      <c r="C15" t="n">
        <v>-0.51848542915929</v>
      </c>
      <c r="D15" t="n">
        <v>0.403449841102918</v>
      </c>
      <c r="E15" t="n">
        <v>1.65155870192948</v>
      </c>
      <c r="F15" t="n">
        <v>0.198746916145307</v>
      </c>
      <c r="G15" t="s">
        <v>300</v>
      </c>
      <c r="H15" t="n">
        <v>-0.51848542915929</v>
      </c>
      <c r="I15" t="n">
        <v>-1.30924711772101</v>
      </c>
      <c r="J15" t="n">
        <v>0.272276259402428</v>
      </c>
      <c r="K15" t="s">
        <v>632</v>
      </c>
      <c r="L15" t="s">
        <v>579</v>
      </c>
      <c r="M15" t="s">
        <v>360</v>
      </c>
      <c r="N15"/>
    </row>
    <row r="16">
      <c r="A16" t="s">
        <v>64</v>
      </c>
      <c r="B16" t="s">
        <v>304</v>
      </c>
      <c r="C16" t="n">
        <v>0.0349733943039353</v>
      </c>
      <c r="D16" t="n">
        <v>0.105275649940984</v>
      </c>
      <c r="E16" t="n">
        <v>0.110362036539833</v>
      </c>
      <c r="F16" t="n">
        <v>0.739732338277565</v>
      </c>
      <c r="G16" t="s">
        <v>300</v>
      </c>
      <c r="H16" t="n">
        <v>0.0349733943039353</v>
      </c>
      <c r="I16" t="n">
        <v>-0.171366879580392</v>
      </c>
      <c r="J16" t="n">
        <v>0.241313668188263</v>
      </c>
      <c r="K16" t="s">
        <v>633</v>
      </c>
      <c r="L16" t="s">
        <v>579</v>
      </c>
      <c r="M16" t="s">
        <v>360</v>
      </c>
      <c r="N16"/>
    </row>
    <row r="17">
      <c r="A17" t="s">
        <v>64</v>
      </c>
      <c r="B17" t="s">
        <v>298</v>
      </c>
      <c r="C17" t="n">
        <v>-0.00347987633173587</v>
      </c>
      <c r="D17" t="n">
        <v>0.010720389195095</v>
      </c>
      <c r="E17" t="n">
        <v>0.105367461137603</v>
      </c>
      <c r="F17" t="n">
        <v>0.745481144222842</v>
      </c>
      <c r="G17" t="s">
        <v>300</v>
      </c>
      <c r="H17" t="n">
        <v>-0.00347987633173587</v>
      </c>
      <c r="I17" t="n">
        <v>-0.0244918391541222</v>
      </c>
      <c r="J17" t="n">
        <v>0.0175320864906504</v>
      </c>
      <c r="K17" t="s">
        <v>634</v>
      </c>
      <c r="L17" t="s">
        <v>579</v>
      </c>
      <c r="M17" t="s">
        <v>360</v>
      </c>
      <c r="N17"/>
    </row>
    <row r="18">
      <c r="A18" t="s">
        <v>64</v>
      </c>
      <c r="B18" t="s">
        <v>51</v>
      </c>
      <c r="C18" t="n">
        <v>0.0105123227543772</v>
      </c>
      <c r="D18" t="n">
        <v>0.0241496729384001</v>
      </c>
      <c r="E18" t="n">
        <v>0.189485012976936</v>
      </c>
      <c r="F18" t="n">
        <v>0.663345582741323</v>
      </c>
      <c r="G18" t="s">
        <v>300</v>
      </c>
      <c r="H18" t="n">
        <v>0.0105123227543772</v>
      </c>
      <c r="I18" t="n">
        <v>-0.0368210362048869</v>
      </c>
      <c r="J18" t="n">
        <v>0.0578456817136413</v>
      </c>
      <c r="K18" t="s">
        <v>635</v>
      </c>
      <c r="L18" t="s">
        <v>579</v>
      </c>
      <c r="M18" t="s">
        <v>360</v>
      </c>
      <c r="N18"/>
    </row>
    <row r="19">
      <c r="A19" t="s">
        <v>70</v>
      </c>
      <c r="B19" t="s">
        <v>299</v>
      </c>
      <c r="C19" t="n">
        <v>0.682613281194425</v>
      </c>
      <c r="D19" t="n">
        <v>0.0805114414624164</v>
      </c>
      <c r="E19" t="n">
        <v>71.8843356171509</v>
      </c>
      <c r="F19" t="n">
        <v>0</v>
      </c>
      <c r="G19" t="s">
        <v>300</v>
      </c>
      <c r="H19" t="n">
        <v>0.682613281194425</v>
      </c>
      <c r="I19" t="n">
        <v>0.524810855928089</v>
      </c>
      <c r="J19" t="n">
        <v>0.840415706460762</v>
      </c>
      <c r="K19" t="s">
        <v>636</v>
      </c>
      <c r="L19" t="s">
        <v>579</v>
      </c>
      <c r="M19" t="s">
        <v>360</v>
      </c>
      <c r="N19"/>
    </row>
    <row r="20">
      <c r="A20" t="s">
        <v>70</v>
      </c>
      <c r="B20" t="s">
        <v>304</v>
      </c>
      <c r="C20" t="n">
        <v>-0.00536120436314074</v>
      </c>
      <c r="D20" t="n">
        <v>0.0230451275862875</v>
      </c>
      <c r="E20" t="n">
        <v>0.0541210845478802</v>
      </c>
      <c r="F20" t="n">
        <v>0.816041439627076</v>
      </c>
      <c r="G20" t="s">
        <v>300</v>
      </c>
      <c r="H20" t="n">
        <v>-0.00536120436314074</v>
      </c>
      <c r="I20" t="n">
        <v>-0.0505296544322643</v>
      </c>
      <c r="J20" t="n">
        <v>0.0398072457059828</v>
      </c>
      <c r="K20" t="s">
        <v>637</v>
      </c>
      <c r="L20" t="s">
        <v>579</v>
      </c>
      <c r="M20" t="s">
        <v>360</v>
      </c>
      <c r="N20"/>
    </row>
    <row r="21">
      <c r="A21" t="s">
        <v>70</v>
      </c>
      <c r="B21" t="s">
        <v>298</v>
      </c>
      <c r="C21" t="n">
        <v>-0.00174290412768755</v>
      </c>
      <c r="D21" t="n">
        <v>0.00205298588238104</v>
      </c>
      <c r="E21" t="n">
        <v>0.720734101336387</v>
      </c>
      <c r="F21" t="n">
        <v>0.395903216148635</v>
      </c>
      <c r="G21" t="s">
        <v>300</v>
      </c>
      <c r="H21" t="n">
        <v>-0.00174290412768755</v>
      </c>
      <c r="I21" t="n">
        <v>-0.00576675645715439</v>
      </c>
      <c r="J21" t="n">
        <v>0.0022809482017793</v>
      </c>
      <c r="K21" t="s">
        <v>638</v>
      </c>
      <c r="L21" t="s">
        <v>579</v>
      </c>
      <c r="M21" t="s">
        <v>360</v>
      </c>
      <c r="N21"/>
    </row>
    <row r="22">
      <c r="A22" t="s">
        <v>70</v>
      </c>
      <c r="B22" t="s">
        <v>51</v>
      </c>
      <c r="C22" t="n">
        <v>-0.109567781749985</v>
      </c>
      <c r="D22" t="n">
        <v>0.00626997825917873</v>
      </c>
      <c r="E22" t="n">
        <v>305.375132637368</v>
      </c>
      <c r="F22" t="n">
        <v>0</v>
      </c>
      <c r="G22" t="s">
        <v>300</v>
      </c>
      <c r="H22" t="n">
        <v>-0.109567781749985</v>
      </c>
      <c r="I22" t="n">
        <v>-0.121856939137976</v>
      </c>
      <c r="J22" t="n">
        <v>-0.0972786243619951</v>
      </c>
      <c r="K22" t="s">
        <v>639</v>
      </c>
      <c r="L22" t="s">
        <v>579</v>
      </c>
      <c r="M22" t="s">
        <v>360</v>
      </c>
      <c r="N22"/>
    </row>
    <row r="23">
      <c r="A23" t="s">
        <v>76</v>
      </c>
      <c r="B23" t="s">
        <v>299</v>
      </c>
      <c r="C23" t="n">
        <v>-0.0143563441210307</v>
      </c>
      <c r="D23" t="n">
        <v>0.0236067651805607</v>
      </c>
      <c r="E23" t="n">
        <v>0.369840748586969</v>
      </c>
      <c r="F23" t="n">
        <v>0.543091086592706</v>
      </c>
      <c r="G23" t="s">
        <v>300</v>
      </c>
      <c r="H23" t="n">
        <v>-0.0143563441210307</v>
      </c>
      <c r="I23" t="n">
        <v>-0.0606256038749297</v>
      </c>
      <c r="J23" t="n">
        <v>0.0319129156328683</v>
      </c>
      <c r="K23" t="s">
        <v>640</v>
      </c>
      <c r="L23" t="s">
        <v>579</v>
      </c>
      <c r="M23" t="s">
        <v>360</v>
      </c>
      <c r="N23"/>
    </row>
    <row r="24">
      <c r="A24" t="s">
        <v>76</v>
      </c>
      <c r="B24" t="s">
        <v>304</v>
      </c>
      <c r="C24" t="n">
        <v>0.00998473326373859</v>
      </c>
      <c r="D24" t="n">
        <v>0.00712383571709171</v>
      </c>
      <c r="E24" t="n">
        <v>1.96446883593552</v>
      </c>
      <c r="F24" t="n">
        <v>0.161036189818037</v>
      </c>
      <c r="G24" t="s">
        <v>300</v>
      </c>
      <c r="H24" t="n">
        <v>0.00998473326373859</v>
      </c>
      <c r="I24" t="n">
        <v>-0.00397798474176116</v>
      </c>
      <c r="J24" t="n">
        <v>0.0239474512692383</v>
      </c>
      <c r="K24" t="s">
        <v>590</v>
      </c>
      <c r="L24" t="s">
        <v>579</v>
      </c>
      <c r="M24" t="s">
        <v>360</v>
      </c>
      <c r="N24"/>
    </row>
    <row r="25">
      <c r="A25" t="s">
        <v>76</v>
      </c>
      <c r="B25" t="s">
        <v>298</v>
      </c>
      <c r="C25" t="n">
        <v>-0.000380665677947068</v>
      </c>
      <c r="D25" t="n">
        <v>0.000621622175283701</v>
      </c>
      <c r="E25" t="n">
        <v>0.375002743339739</v>
      </c>
      <c r="F25" t="n">
        <v>0.540289892967335</v>
      </c>
      <c r="G25" t="s">
        <v>300</v>
      </c>
      <c r="H25" t="n">
        <v>-0.000380665677947068</v>
      </c>
      <c r="I25" t="n">
        <v>-0.00159904514150312</v>
      </c>
      <c r="J25" t="n">
        <v>0.000837713785608987</v>
      </c>
      <c r="K25" t="s">
        <v>641</v>
      </c>
      <c r="L25" t="s">
        <v>579</v>
      </c>
      <c r="M25" t="s">
        <v>360</v>
      </c>
      <c r="N25"/>
    </row>
    <row r="26">
      <c r="A26" t="s">
        <v>76</v>
      </c>
      <c r="B26" t="s">
        <v>51</v>
      </c>
      <c r="C26" t="n">
        <v>-0.00331624532996015</v>
      </c>
      <c r="D26" t="n">
        <v>0.00183829298262874</v>
      </c>
      <c r="E26" t="n">
        <v>3.25434689265969</v>
      </c>
      <c r="F26" t="n">
        <v>0.0712343097081231</v>
      </c>
      <c r="G26" t="s">
        <v>300</v>
      </c>
      <c r="H26" t="n">
        <v>-0.00331624532996015</v>
      </c>
      <c r="I26" t="n">
        <v>-0.00691929957591247</v>
      </c>
      <c r="J26" t="n">
        <v>0.000286808915992177</v>
      </c>
      <c r="K26" t="s">
        <v>642</v>
      </c>
      <c r="L26" t="s">
        <v>579</v>
      </c>
      <c r="M26" t="s">
        <v>360</v>
      </c>
      <c r="N26"/>
    </row>
    <row r="27">
      <c r="A27" t="s">
        <v>81</v>
      </c>
      <c r="B27" t="s">
        <v>299</v>
      </c>
      <c r="C27" t="n">
        <v>464.293162505971</v>
      </c>
      <c r="D27" t="n">
        <v>18.3195090591939</v>
      </c>
      <c r="E27" t="n">
        <v>642.328089061808</v>
      </c>
      <c r="F27" t="n">
        <v>0</v>
      </c>
      <c r="G27" t="s">
        <v>300</v>
      </c>
      <c r="H27" t="n">
        <v>464.293162505971</v>
      </c>
      <c r="I27" t="n">
        <v>428.38692474995</v>
      </c>
      <c r="J27" t="n">
        <v>500.199400261991</v>
      </c>
      <c r="K27" t="s">
        <v>643</v>
      </c>
      <c r="L27" t="s">
        <v>579</v>
      </c>
      <c r="M27" t="s">
        <v>360</v>
      </c>
      <c r="N27"/>
    </row>
    <row r="28">
      <c r="A28" t="s">
        <v>81</v>
      </c>
      <c r="B28" t="s">
        <v>304</v>
      </c>
      <c r="C28" t="n">
        <v>-2.1686556100355</v>
      </c>
      <c r="D28" t="n">
        <v>6.06179374151031</v>
      </c>
      <c r="E28" t="n">
        <v>0.12799083432889</v>
      </c>
      <c r="F28" t="n">
        <v>0.720524374148314</v>
      </c>
      <c r="G28" t="s">
        <v>300</v>
      </c>
      <c r="H28" t="n">
        <v>-2.1686556100355</v>
      </c>
      <c r="I28" t="n">
        <v>-14.0497713433957</v>
      </c>
      <c r="J28" t="n">
        <v>9.71246012332472</v>
      </c>
      <c r="K28" t="s">
        <v>644</v>
      </c>
      <c r="L28" t="s">
        <v>579</v>
      </c>
      <c r="M28" t="s">
        <v>360</v>
      </c>
      <c r="N28"/>
    </row>
    <row r="29">
      <c r="A29" t="s">
        <v>81</v>
      </c>
      <c r="B29" t="s">
        <v>298</v>
      </c>
      <c r="C29" t="n">
        <v>2.05625875607946</v>
      </c>
      <c r="D29" t="n">
        <v>0.519692187584331</v>
      </c>
      <c r="E29" t="n">
        <v>15.655363389288</v>
      </c>
      <c r="F29" t="n">
        <v>0.0000759967480448154</v>
      </c>
      <c r="G29" t="s">
        <v>300</v>
      </c>
      <c r="H29" t="n">
        <v>2.05625875607946</v>
      </c>
      <c r="I29" t="n">
        <v>1.03766206841417</v>
      </c>
      <c r="J29" t="n">
        <v>3.07485544374475</v>
      </c>
      <c r="K29" t="s">
        <v>645</v>
      </c>
      <c r="L29" t="s">
        <v>579</v>
      </c>
      <c r="M29" t="s">
        <v>360</v>
      </c>
      <c r="N29"/>
    </row>
    <row r="30">
      <c r="A30" t="s">
        <v>81</v>
      </c>
      <c r="B30" t="s">
        <v>51</v>
      </c>
      <c r="C30" t="n">
        <v>-0.527091274402088</v>
      </c>
      <c r="D30" t="n">
        <v>1.76057082047573</v>
      </c>
      <c r="E30" t="n">
        <v>0.0896323234719558</v>
      </c>
      <c r="F30" t="n">
        <v>0.764645101510732</v>
      </c>
      <c r="G30" t="s">
        <v>300</v>
      </c>
      <c r="H30" t="n">
        <v>-0.527091274402088</v>
      </c>
      <c r="I30" t="n">
        <v>-3.97781008253452</v>
      </c>
      <c r="J30" t="n">
        <v>2.92362753373034</v>
      </c>
      <c r="K30" t="s">
        <v>646</v>
      </c>
      <c r="L30" t="s">
        <v>579</v>
      </c>
      <c r="M30" t="s">
        <v>360</v>
      </c>
      <c r="N30"/>
    </row>
    <row r="31">
      <c r="A31" t="s">
        <v>87</v>
      </c>
      <c r="B31" t="s">
        <v>299</v>
      </c>
      <c r="C31" t="n">
        <v>41.3890775947698</v>
      </c>
      <c r="D31" t="n">
        <v>1.17568010527553</v>
      </c>
      <c r="E31" t="n">
        <v>1239.34767709882</v>
      </c>
      <c r="F31" t="n">
        <v>0</v>
      </c>
      <c r="G31" t="s">
        <v>300</v>
      </c>
      <c r="H31" t="n">
        <v>41.3890775947698</v>
      </c>
      <c r="I31" t="n">
        <v>39.0847445884298</v>
      </c>
      <c r="J31" t="n">
        <v>43.6934106011099</v>
      </c>
      <c r="K31" t="s">
        <v>647</v>
      </c>
      <c r="L31" t="s">
        <v>579</v>
      </c>
      <c r="M31" t="s">
        <v>360</v>
      </c>
      <c r="N31"/>
    </row>
    <row r="32">
      <c r="A32" t="s">
        <v>87</v>
      </c>
      <c r="B32" t="s">
        <v>304</v>
      </c>
      <c r="C32" t="n">
        <v>-0.104195894829862</v>
      </c>
      <c r="D32" t="n">
        <v>0.331329630235371</v>
      </c>
      <c r="E32" t="n">
        <v>0.0988964416656776</v>
      </c>
      <c r="F32" t="n">
        <v>0.753157987754694</v>
      </c>
      <c r="G32" t="s">
        <v>300</v>
      </c>
      <c r="H32" t="n">
        <v>-0.104195894829862</v>
      </c>
      <c r="I32" t="n">
        <v>-0.753601970091188</v>
      </c>
      <c r="J32" t="n">
        <v>0.545210180431465</v>
      </c>
      <c r="K32" t="s">
        <v>648</v>
      </c>
      <c r="L32" t="s">
        <v>579</v>
      </c>
      <c r="M32" t="s">
        <v>360</v>
      </c>
      <c r="N32"/>
    </row>
    <row r="33">
      <c r="A33" t="s">
        <v>87</v>
      </c>
      <c r="B33" t="s">
        <v>298</v>
      </c>
      <c r="C33" t="n">
        <v>0.0620274730967091</v>
      </c>
      <c r="D33" t="n">
        <v>0.0316543799165652</v>
      </c>
      <c r="E33" t="n">
        <v>3.83972885225092</v>
      </c>
      <c r="F33" t="n">
        <v>0.050051614856563</v>
      </c>
      <c r="G33" t="s">
        <v>300</v>
      </c>
      <c r="H33" t="n">
        <v>0.0620274730967091</v>
      </c>
      <c r="I33" t="n">
        <v>-0.000015111539758618</v>
      </c>
      <c r="J33" t="n">
        <v>0.124070057733177</v>
      </c>
      <c r="K33" t="s">
        <v>649</v>
      </c>
      <c r="L33" t="s">
        <v>579</v>
      </c>
      <c r="M33" t="s">
        <v>360</v>
      </c>
      <c r="N33"/>
    </row>
    <row r="34">
      <c r="A34" t="s">
        <v>87</v>
      </c>
      <c r="B34" t="s">
        <v>51</v>
      </c>
      <c r="C34" t="n">
        <v>-0.0613506535350649</v>
      </c>
      <c r="D34" t="n">
        <v>0.0878144738029896</v>
      </c>
      <c r="E34" t="n">
        <v>0.488097046970524</v>
      </c>
      <c r="F34" t="n">
        <v>0.484777398365745</v>
      </c>
      <c r="G34" t="s">
        <v>300</v>
      </c>
      <c r="H34" t="n">
        <v>-0.0613506535350649</v>
      </c>
      <c r="I34" t="n">
        <v>-0.233467022188924</v>
      </c>
      <c r="J34" t="n">
        <v>0.110765715118795</v>
      </c>
      <c r="K34" t="s">
        <v>650</v>
      </c>
      <c r="L34" t="s">
        <v>579</v>
      </c>
      <c r="M34" t="s">
        <v>360</v>
      </c>
      <c r="N34"/>
    </row>
    <row r="35">
      <c r="A35" t="s">
        <v>93</v>
      </c>
      <c r="B35"/>
      <c r="C35"/>
      <c r="D35"/>
      <c r="E35"/>
      <c r="F35"/>
      <c r="G35"/>
      <c r="H35"/>
      <c r="I35"/>
      <c r="J35"/>
      <c r="K35"/>
      <c r="L35" t="s">
        <v>320</v>
      </c>
      <c r="M35"/>
      <c r="N35"/>
    </row>
    <row r="36">
      <c r="A36" t="s">
        <v>23</v>
      </c>
      <c r="B36" t="s">
        <v>299</v>
      </c>
      <c r="C36" t="n">
        <v>-1.05639159506806</v>
      </c>
      <c r="D36" t="n">
        <v>1.98866985029277</v>
      </c>
      <c r="E36" t="n">
        <v>0.282178873425527</v>
      </c>
      <c r="F36" t="n">
        <v>0.595276649336747</v>
      </c>
      <c r="G36" t="s">
        <v>321</v>
      </c>
      <c r="H36" t="n">
        <v>0.347708221429018</v>
      </c>
      <c r="I36" t="n">
        <v>0.00705383032178394</v>
      </c>
      <c r="J36" t="n">
        <v>17.1397668690668</v>
      </c>
      <c r="K36" t="s">
        <v>651</v>
      </c>
      <c r="L36" t="s">
        <v>596</v>
      </c>
      <c r="M36" t="s">
        <v>360</v>
      </c>
      <c r="N36"/>
    </row>
    <row r="37">
      <c r="A37" t="s">
        <v>23</v>
      </c>
      <c r="B37" t="s">
        <v>304</v>
      </c>
      <c r="C37" t="n">
        <v>-0.758691388396288</v>
      </c>
      <c r="D37" t="n">
        <v>0.558104045142735</v>
      </c>
      <c r="E37" t="n">
        <v>1.84799149688422</v>
      </c>
      <c r="F37" t="n">
        <v>0.174017175971443</v>
      </c>
      <c r="G37" t="s">
        <v>321</v>
      </c>
      <c r="H37" t="n">
        <v>0.468278821328725</v>
      </c>
      <c r="I37" t="n">
        <v>0.156832751757009</v>
      </c>
      <c r="J37" t="n">
        <v>1.39820957069459</v>
      </c>
      <c r="K37" t="s">
        <v>652</v>
      </c>
      <c r="L37" t="s">
        <v>596</v>
      </c>
      <c r="M37" t="s">
        <v>360</v>
      </c>
      <c r="N37"/>
    </row>
    <row r="38">
      <c r="A38" t="s">
        <v>23</v>
      </c>
      <c r="B38" t="s">
        <v>298</v>
      </c>
      <c r="C38" t="n">
        <v>0.058145121676502</v>
      </c>
      <c r="D38" t="n">
        <v>0.052554069336099</v>
      </c>
      <c r="E38" t="n">
        <v>1.22409145971317</v>
      </c>
      <c r="F38" t="n">
        <v>0.268559193387029</v>
      </c>
      <c r="G38" t="s">
        <v>321</v>
      </c>
      <c r="H38" t="n">
        <v>1.05986879448658</v>
      </c>
      <c r="I38" t="n">
        <v>0.956130514101459</v>
      </c>
      <c r="J38" t="n">
        <v>1.17486247427433</v>
      </c>
      <c r="K38" t="s">
        <v>653</v>
      </c>
      <c r="L38" t="s">
        <v>596</v>
      </c>
      <c r="M38" t="s">
        <v>360</v>
      </c>
      <c r="N38"/>
    </row>
    <row r="39">
      <c r="A39" t="s">
        <v>23</v>
      </c>
      <c r="B39" t="s">
        <v>51</v>
      </c>
      <c r="C39" t="n">
        <v>0.0695433085904718</v>
      </c>
      <c r="D39" t="n">
        <v>0.127716966090097</v>
      </c>
      <c r="E39" t="n">
        <v>0.296492362717713</v>
      </c>
      <c r="F39" t="n">
        <v>0.586089796525571</v>
      </c>
      <c r="G39" t="s">
        <v>321</v>
      </c>
      <c r="H39" t="n">
        <v>1.0720184878091</v>
      </c>
      <c r="I39" t="n">
        <v>0.834617331382202</v>
      </c>
      <c r="J39" t="n">
        <v>1.3769467694869</v>
      </c>
      <c r="K39" t="s">
        <v>654</v>
      </c>
      <c r="L39" t="s">
        <v>596</v>
      </c>
      <c r="M39" t="s">
        <v>360</v>
      </c>
      <c r="N39"/>
    </row>
    <row r="40">
      <c r="A40" t="s">
        <v>325</v>
      </c>
      <c r="B40" t="s">
        <v>299</v>
      </c>
      <c r="C40" t="n">
        <v>-3.26605080029013</v>
      </c>
      <c r="D40" t="n">
        <v>2.45713181294919</v>
      </c>
      <c r="E40" t="n">
        <v>1.7668063898796</v>
      </c>
      <c r="F40" t="n">
        <v>0.183777807770638</v>
      </c>
      <c r="G40" t="s">
        <v>321</v>
      </c>
      <c r="H40" t="n">
        <v>0.0381568188139971</v>
      </c>
      <c r="I40" t="n">
        <v>0.000309043302399212</v>
      </c>
      <c r="J40" t="n">
        <v>4.71112886349973</v>
      </c>
      <c r="K40" t="s">
        <v>655</v>
      </c>
      <c r="L40" t="s">
        <v>596</v>
      </c>
      <c r="M40" t="s">
        <v>360</v>
      </c>
      <c r="N40"/>
    </row>
    <row r="41">
      <c r="A41" t="s">
        <v>325</v>
      </c>
      <c r="B41" t="s">
        <v>304</v>
      </c>
      <c r="C41" t="n">
        <v>0.00799103355427466</v>
      </c>
      <c r="D41" t="n">
        <v>0.664730110206941</v>
      </c>
      <c r="E41" t="n">
        <v>0.000144515758189335</v>
      </c>
      <c r="F41" t="n">
        <v>0.990408485138502</v>
      </c>
      <c r="G41" t="s">
        <v>321</v>
      </c>
      <c r="H41" t="n">
        <v>1.00802304707981</v>
      </c>
      <c r="I41" t="n">
        <v>0.273930738854429</v>
      </c>
      <c r="J41" t="n">
        <v>3.70936999510684</v>
      </c>
      <c r="K41" t="s">
        <v>656</v>
      </c>
      <c r="L41" t="s">
        <v>596</v>
      </c>
      <c r="M41" t="s">
        <v>360</v>
      </c>
      <c r="N41"/>
    </row>
    <row r="42">
      <c r="A42" t="s">
        <v>325</v>
      </c>
      <c r="B42" t="s">
        <v>298</v>
      </c>
      <c r="C42" t="n">
        <v>0.0497887555820257</v>
      </c>
      <c r="D42" t="n">
        <v>0.0686735776068651</v>
      </c>
      <c r="E42" t="n">
        <v>0.525633695297531</v>
      </c>
      <c r="F42" t="n">
        <v>0.468448351544326</v>
      </c>
      <c r="G42" t="s">
        <v>321</v>
      </c>
      <c r="H42" t="n">
        <v>1.05104904467955</v>
      </c>
      <c r="I42" t="n">
        <v>0.918685480224115</v>
      </c>
      <c r="J42" t="n">
        <v>1.20248345935794</v>
      </c>
      <c r="K42" t="s">
        <v>657</v>
      </c>
      <c r="L42" t="s">
        <v>596</v>
      </c>
      <c r="M42" t="s">
        <v>360</v>
      </c>
      <c r="N42"/>
    </row>
    <row r="43">
      <c r="A43" t="s">
        <v>325</v>
      </c>
      <c r="B43" t="s">
        <v>51</v>
      </c>
      <c r="C43" t="n">
        <v>-0.0568286593035062</v>
      </c>
      <c r="D43" t="n">
        <v>0.153254778508218</v>
      </c>
      <c r="E43" t="n">
        <v>0.137501289524144</v>
      </c>
      <c r="F43" t="n">
        <v>0.710777813785813</v>
      </c>
      <c r="G43" t="s">
        <v>321</v>
      </c>
      <c r="H43" t="n">
        <v>0.944755930638588</v>
      </c>
      <c r="I43" t="n">
        <v>0.699626942575175</v>
      </c>
      <c r="J43" t="n">
        <v>1.27577100617574</v>
      </c>
      <c r="K43" t="s">
        <v>658</v>
      </c>
      <c r="L43" t="s">
        <v>596</v>
      </c>
      <c r="M43" t="s">
        <v>360</v>
      </c>
      <c r="N43"/>
    </row>
    <row r="44">
      <c r="A44" t="s">
        <v>328</v>
      </c>
      <c r="B44"/>
      <c r="C44"/>
      <c r="D44"/>
      <c r="E44"/>
      <c r="F44"/>
      <c r="G44"/>
      <c r="H44"/>
      <c r="I44"/>
      <c r="J44"/>
      <c r="K44"/>
      <c r="L44" t="s">
        <v>329</v>
      </c>
      <c r="M44"/>
      <c r="N44"/>
    </row>
    <row r="46">
      <c r="A46" s="1" t="s">
        <v>659</v>
      </c>
    </row>
    <row r="47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 t="s">
        <v>291</v>
      </c>
      <c r="H47" t="s">
        <v>292</v>
      </c>
      <c r="I47" t="s">
        <v>293</v>
      </c>
      <c r="J47" t="s">
        <v>294</v>
      </c>
      <c r="K47" t="s">
        <v>295</v>
      </c>
      <c r="L47" t="s">
        <v>296</v>
      </c>
      <c r="M47" t="s">
        <v>297</v>
      </c>
      <c r="N47" t="s">
        <v>1</v>
      </c>
    </row>
    <row r="48">
      <c r="A48" t="s">
        <v>123</v>
      </c>
      <c r="B48" t="s">
        <v>299</v>
      </c>
      <c r="C48" t="n">
        <v>6.63810762714729</v>
      </c>
      <c r="D48" t="n">
        <v>0.24422403530879</v>
      </c>
      <c r="E48" t="n">
        <v>738.774290585898</v>
      </c>
      <c r="F48" t="n">
        <v>0</v>
      </c>
      <c r="G48" t="s">
        <v>300</v>
      </c>
      <c r="H48" t="n">
        <v>6.63810762714729</v>
      </c>
      <c r="I48" t="n">
        <v>6.15942851794206</v>
      </c>
      <c r="J48" t="n">
        <v>7.11678673635252</v>
      </c>
      <c r="K48" t="s">
        <v>660</v>
      </c>
      <c r="L48" t="s">
        <v>579</v>
      </c>
      <c r="M48" t="s">
        <v>360</v>
      </c>
      <c r="N48"/>
    </row>
    <row r="49">
      <c r="A49" t="s">
        <v>123</v>
      </c>
      <c r="B49" t="s">
        <v>304</v>
      </c>
      <c r="C49" t="n">
        <v>-0.0391566179440628</v>
      </c>
      <c r="D49" t="n">
        <v>0.0611866746954619</v>
      </c>
      <c r="E49" t="n">
        <v>0.409540300579649</v>
      </c>
      <c r="F49" t="n">
        <v>0.522202922863152</v>
      </c>
      <c r="G49" t="s">
        <v>300</v>
      </c>
      <c r="H49" t="n">
        <v>-0.0391566179440628</v>
      </c>
      <c r="I49" t="n">
        <v>-0.159082500347168</v>
      </c>
      <c r="J49" t="n">
        <v>0.0807692644590425</v>
      </c>
      <c r="K49" t="s">
        <v>661</v>
      </c>
      <c r="L49" t="s">
        <v>579</v>
      </c>
      <c r="M49" t="s">
        <v>360</v>
      </c>
      <c r="N49"/>
    </row>
    <row r="50">
      <c r="A50" t="s">
        <v>123</v>
      </c>
      <c r="B50" t="s">
        <v>298</v>
      </c>
      <c r="C50" t="n">
        <v>-0.000473246391351638</v>
      </c>
      <c r="D50" t="n">
        <v>0.00623531248511298</v>
      </c>
      <c r="E50" t="n">
        <v>0.00576047340149027</v>
      </c>
      <c r="F50" t="n">
        <v>0.939500421012766</v>
      </c>
      <c r="G50" t="s">
        <v>300</v>
      </c>
      <c r="H50" t="n">
        <v>-0.000473246391351638</v>
      </c>
      <c r="I50" t="n">
        <v>-0.0126944588621731</v>
      </c>
      <c r="J50" t="n">
        <v>0.0117479660794698</v>
      </c>
      <c r="K50" t="s">
        <v>662</v>
      </c>
      <c r="L50" t="s">
        <v>579</v>
      </c>
      <c r="M50" t="s">
        <v>360</v>
      </c>
      <c r="N50"/>
    </row>
    <row r="51">
      <c r="A51" t="s">
        <v>123</v>
      </c>
      <c r="B51" t="s">
        <v>51</v>
      </c>
      <c r="C51" t="n">
        <v>0.0174910559174699</v>
      </c>
      <c r="D51" t="n">
        <v>0.0188868606041118</v>
      </c>
      <c r="E51" t="n">
        <v>0.857654768109842</v>
      </c>
      <c r="F51" t="n">
        <v>0.354395821288213</v>
      </c>
      <c r="G51" t="s">
        <v>300</v>
      </c>
      <c r="H51" t="n">
        <v>0.0174910559174699</v>
      </c>
      <c r="I51" t="n">
        <v>-0.0195271908665892</v>
      </c>
      <c r="J51" t="n">
        <v>0.054509302701529</v>
      </c>
      <c r="K51" t="s">
        <v>663</v>
      </c>
      <c r="L51" t="s">
        <v>579</v>
      </c>
      <c r="M51" t="s">
        <v>360</v>
      </c>
      <c r="N51"/>
    </row>
    <row r="52">
      <c r="A52" t="s">
        <v>129</v>
      </c>
      <c r="B52" t="s">
        <v>299</v>
      </c>
      <c r="C52" t="n">
        <v>0.486525324903489</v>
      </c>
      <c r="D52" t="n">
        <v>5.53513371107347</v>
      </c>
      <c r="E52" t="n">
        <v>0.00772599939295068</v>
      </c>
      <c r="F52" t="n">
        <v>0.929958013023134</v>
      </c>
      <c r="G52" t="s">
        <v>300</v>
      </c>
      <c r="H52" t="n">
        <v>0.486525324903489</v>
      </c>
      <c r="I52" t="n">
        <v>-10.3623367488005</v>
      </c>
      <c r="J52" t="n">
        <v>11.3353873986075</v>
      </c>
      <c r="K52" t="s">
        <v>664</v>
      </c>
      <c r="L52" t="s">
        <v>579</v>
      </c>
      <c r="M52" t="s">
        <v>360</v>
      </c>
      <c r="N52"/>
    </row>
    <row r="53">
      <c r="A53" t="s">
        <v>129</v>
      </c>
      <c r="B53" t="s">
        <v>304</v>
      </c>
      <c r="C53" t="n">
        <v>-2.37789097173634</v>
      </c>
      <c r="D53" t="n">
        <v>1.51740451107163</v>
      </c>
      <c r="E53" t="n">
        <v>2.45573293208119</v>
      </c>
      <c r="F53" t="n">
        <v>0.117096500049859</v>
      </c>
      <c r="G53" t="s">
        <v>300</v>
      </c>
      <c r="H53" t="n">
        <v>-2.37789097173634</v>
      </c>
      <c r="I53" t="n">
        <v>-5.35200381343673</v>
      </c>
      <c r="J53" t="n">
        <v>0.596221869964046</v>
      </c>
      <c r="K53" t="s">
        <v>665</v>
      </c>
      <c r="L53" t="s">
        <v>579</v>
      </c>
      <c r="M53" t="s">
        <v>360</v>
      </c>
      <c r="N53"/>
    </row>
    <row r="54">
      <c r="A54" t="s">
        <v>129</v>
      </c>
      <c r="B54" t="s">
        <v>298</v>
      </c>
      <c r="C54" t="n">
        <v>0.166226026302296</v>
      </c>
      <c r="D54" t="n">
        <v>0.158930828047931</v>
      </c>
      <c r="E54" t="n">
        <v>1.09391040639774</v>
      </c>
      <c r="F54" t="n">
        <v>0.295606410503152</v>
      </c>
      <c r="G54" t="s">
        <v>300</v>
      </c>
      <c r="H54" t="n">
        <v>0.166226026302296</v>
      </c>
      <c r="I54" t="n">
        <v>-0.145278396671649</v>
      </c>
      <c r="J54" t="n">
        <v>0.477730449276242</v>
      </c>
      <c r="K54" t="s">
        <v>666</v>
      </c>
      <c r="L54" t="s">
        <v>579</v>
      </c>
      <c r="M54" t="s">
        <v>360</v>
      </c>
      <c r="N54"/>
    </row>
    <row r="55">
      <c r="A55" t="s">
        <v>129</v>
      </c>
      <c r="B55" t="s">
        <v>51</v>
      </c>
      <c r="C55" t="n">
        <v>-14.0787265176335</v>
      </c>
      <c r="D55" t="n">
        <v>0.412838314557342</v>
      </c>
      <c r="E55" t="n">
        <v>1162.9652897097</v>
      </c>
      <c r="F55" t="n">
        <v>0</v>
      </c>
      <c r="G55" t="s">
        <v>300</v>
      </c>
      <c r="H55" t="n">
        <v>-14.0787265176335</v>
      </c>
      <c r="I55" t="n">
        <v>-14.8878896141659</v>
      </c>
      <c r="J55" t="n">
        <v>-13.2695634211011</v>
      </c>
      <c r="K55" t="s">
        <v>667</v>
      </c>
      <c r="L55" t="s">
        <v>579</v>
      </c>
      <c r="M55" t="s">
        <v>360</v>
      </c>
      <c r="N55"/>
    </row>
    <row r="56">
      <c r="A56" t="s">
        <v>334</v>
      </c>
      <c r="B56"/>
      <c r="C56"/>
      <c r="D56"/>
      <c r="E56"/>
      <c r="F56"/>
      <c r="G56"/>
      <c r="H56"/>
      <c r="I56"/>
      <c r="J56"/>
      <c r="K56"/>
      <c r="L56" t="s">
        <v>329</v>
      </c>
      <c r="M56"/>
      <c r="N56"/>
    </row>
    <row r="58">
      <c r="A58" s="1" t="s">
        <v>668</v>
      </c>
    </row>
    <row r="59">
      <c r="A59" t="s">
        <v>285</v>
      </c>
      <c r="B59" t="s">
        <v>286</v>
      </c>
      <c r="C59" t="s">
        <v>287</v>
      </c>
      <c r="D59" t="s">
        <v>288</v>
      </c>
      <c r="E59" t="s">
        <v>289</v>
      </c>
      <c r="F59" t="s">
        <v>290</v>
      </c>
      <c r="G59" t="s">
        <v>291</v>
      </c>
      <c r="H59" t="s">
        <v>292</v>
      </c>
      <c r="I59" t="s">
        <v>293</v>
      </c>
      <c r="J59" t="s">
        <v>294</v>
      </c>
      <c r="K59" t="s">
        <v>295</v>
      </c>
      <c r="L59" t="s">
        <v>296</v>
      </c>
      <c r="M59" t="s">
        <v>297</v>
      </c>
      <c r="N59" t="s">
        <v>1</v>
      </c>
    </row>
    <row r="60">
      <c r="A60" t="s">
        <v>142</v>
      </c>
      <c r="B60" t="s">
        <v>299</v>
      </c>
      <c r="C60" t="n">
        <v>92.9979471984005</v>
      </c>
      <c r="D60" t="n">
        <v>70.0889547100826</v>
      </c>
      <c r="E60" t="n">
        <v>1.76054673522376</v>
      </c>
      <c r="F60" t="n">
        <v>0.184556335377965</v>
      </c>
      <c r="G60" t="s">
        <v>300</v>
      </c>
      <c r="H60" t="n">
        <v>92.9979471984005</v>
      </c>
      <c r="I60" t="n">
        <v>-44.3764040333613</v>
      </c>
      <c r="J60" t="n">
        <v>230.372298430162</v>
      </c>
      <c r="K60" t="s">
        <v>669</v>
      </c>
      <c r="L60" t="s">
        <v>579</v>
      </c>
      <c r="M60" t="s">
        <v>360</v>
      </c>
      <c r="N60"/>
    </row>
    <row r="61">
      <c r="A61" t="s">
        <v>142</v>
      </c>
      <c r="B61" t="s">
        <v>304</v>
      </c>
      <c r="C61" t="n">
        <v>-28.294242561461</v>
      </c>
      <c r="D61" t="n">
        <v>14.9411973519743</v>
      </c>
      <c r="E61" t="n">
        <v>3.58612431276702</v>
      </c>
      <c r="F61" t="n">
        <v>0.0582639779192683</v>
      </c>
      <c r="G61" t="s">
        <v>300</v>
      </c>
      <c r="H61" t="n">
        <v>-28.294242561461</v>
      </c>
      <c r="I61" t="n">
        <v>-57.5789893713306</v>
      </c>
      <c r="J61" t="n">
        <v>0.990504248408552</v>
      </c>
      <c r="K61" t="s">
        <v>670</v>
      </c>
      <c r="L61" t="s">
        <v>579</v>
      </c>
      <c r="M61" t="s">
        <v>360</v>
      </c>
      <c r="N61"/>
    </row>
    <row r="62">
      <c r="A62" t="s">
        <v>142</v>
      </c>
      <c r="B62" t="s">
        <v>298</v>
      </c>
      <c r="C62" t="n">
        <v>2.49623281998688</v>
      </c>
      <c r="D62" t="n">
        <v>1.94216816896248</v>
      </c>
      <c r="E62" t="n">
        <v>1.65194853759154</v>
      </c>
      <c r="F62" t="n">
        <v>0.198693932082241</v>
      </c>
      <c r="G62" t="s">
        <v>300</v>
      </c>
      <c r="H62" t="n">
        <v>2.49623281998688</v>
      </c>
      <c r="I62" t="n">
        <v>-1.31041679117958</v>
      </c>
      <c r="J62" t="n">
        <v>6.30288243115335</v>
      </c>
      <c r="K62" t="s">
        <v>671</v>
      </c>
      <c r="L62" t="s">
        <v>579</v>
      </c>
      <c r="M62" t="s">
        <v>360</v>
      </c>
      <c r="N62"/>
    </row>
    <row r="63">
      <c r="A63" t="s">
        <v>142</v>
      </c>
      <c r="B63" t="s">
        <v>51</v>
      </c>
      <c r="C63" t="n">
        <v>-1.33394171804434</v>
      </c>
      <c r="D63" t="n">
        <v>4.03769514273621</v>
      </c>
      <c r="E63" t="n">
        <v>0.109145707206871</v>
      </c>
      <c r="F63" t="n">
        <v>0.741118839848961</v>
      </c>
      <c r="G63" t="s">
        <v>300</v>
      </c>
      <c r="H63" t="n">
        <v>-1.33394171804434</v>
      </c>
      <c r="I63" t="n">
        <v>-9.24782419780732</v>
      </c>
      <c r="J63" t="n">
        <v>6.57994076171864</v>
      </c>
      <c r="K63" t="s">
        <v>672</v>
      </c>
      <c r="L63" t="s">
        <v>579</v>
      </c>
      <c r="M63" t="s">
        <v>360</v>
      </c>
      <c r="N63"/>
    </row>
    <row r="64">
      <c r="A64" t="s">
        <v>150</v>
      </c>
      <c r="B64" t="s">
        <v>299</v>
      </c>
      <c r="C64" t="n">
        <v>-0.145068837224799</v>
      </c>
      <c r="D64" t="n">
        <v>0.298057284948546</v>
      </c>
      <c r="E64" t="n">
        <v>0.236891118195728</v>
      </c>
      <c r="F64" t="n">
        <v>0.626460585386321</v>
      </c>
      <c r="G64" t="s">
        <v>300</v>
      </c>
      <c r="H64" t="n">
        <v>-0.145068837224799</v>
      </c>
      <c r="I64" t="n">
        <v>-0.729261115723949</v>
      </c>
      <c r="J64" t="n">
        <v>0.439123441274352</v>
      </c>
      <c r="K64" t="s">
        <v>673</v>
      </c>
      <c r="L64" t="s">
        <v>579</v>
      </c>
      <c r="M64" t="s">
        <v>360</v>
      </c>
      <c r="N64"/>
    </row>
    <row r="65">
      <c r="A65" t="s">
        <v>150</v>
      </c>
      <c r="B65" t="s">
        <v>304</v>
      </c>
      <c r="C65" t="n">
        <v>-0.183609146869966</v>
      </c>
      <c r="D65" t="n">
        <v>0.083267754194781</v>
      </c>
      <c r="E65" t="n">
        <v>4.86222354849855</v>
      </c>
      <c r="F65" t="n">
        <v>0.0274509354079518</v>
      </c>
      <c r="G65" t="s">
        <v>300</v>
      </c>
      <c r="H65" t="n">
        <v>-0.183609146869966</v>
      </c>
      <c r="I65" t="n">
        <v>-0.346813945091737</v>
      </c>
      <c r="J65" t="n">
        <v>-0.0204043486481956</v>
      </c>
      <c r="K65" t="s">
        <v>674</v>
      </c>
      <c r="L65" t="s">
        <v>579</v>
      </c>
      <c r="M65" t="s">
        <v>360</v>
      </c>
      <c r="N65"/>
    </row>
    <row r="66">
      <c r="A66" t="s">
        <v>150</v>
      </c>
      <c r="B66" t="s">
        <v>298</v>
      </c>
      <c r="C66" t="n">
        <v>0.00587666554936911</v>
      </c>
      <c r="D66" t="n">
        <v>0.00785137354577823</v>
      </c>
      <c r="E66" t="n">
        <v>0.560235557271921</v>
      </c>
      <c r="F66" t="n">
        <v>0.454165348540019</v>
      </c>
      <c r="G66" t="s">
        <v>300</v>
      </c>
      <c r="H66" t="n">
        <v>0.00587666554936911</v>
      </c>
      <c r="I66" t="n">
        <v>-0.00951202660035621</v>
      </c>
      <c r="J66" t="n">
        <v>0.0212653576990944</v>
      </c>
      <c r="K66" t="s">
        <v>675</v>
      </c>
      <c r="L66" t="s">
        <v>579</v>
      </c>
      <c r="M66" t="s">
        <v>360</v>
      </c>
      <c r="N66"/>
    </row>
    <row r="67">
      <c r="A67" t="s">
        <v>150</v>
      </c>
      <c r="B67" t="s">
        <v>51</v>
      </c>
      <c r="C67" t="n">
        <v>0.00771843481470244</v>
      </c>
      <c r="D67" t="n">
        <v>0.0222387189981389</v>
      </c>
      <c r="E67" t="n">
        <v>0.120458914958089</v>
      </c>
      <c r="F67" t="n">
        <v>0.72853729133022</v>
      </c>
      <c r="G67" t="s">
        <v>300</v>
      </c>
      <c r="H67" t="n">
        <v>0.00771843481470244</v>
      </c>
      <c r="I67" t="n">
        <v>-0.0358694544216498</v>
      </c>
      <c r="J67" t="n">
        <v>0.0513063240510546</v>
      </c>
      <c r="K67" t="s">
        <v>676</v>
      </c>
      <c r="L67" t="s">
        <v>579</v>
      </c>
      <c r="M67" t="s">
        <v>360</v>
      </c>
      <c r="N67"/>
    </row>
    <row r="68">
      <c r="A68" t="s">
        <v>158</v>
      </c>
      <c r="B68" t="s">
        <v>299</v>
      </c>
      <c r="C68" t="n">
        <v>-0.17769250449853</v>
      </c>
      <c r="D68" t="n">
        <v>0.161400682405503</v>
      </c>
      <c r="E68" t="n">
        <v>1.21206939124468</v>
      </c>
      <c r="F68" t="n">
        <v>0.270922671182848</v>
      </c>
      <c r="G68" t="s">
        <v>300</v>
      </c>
      <c r="H68" t="n">
        <v>-0.17769250449853</v>
      </c>
      <c r="I68" t="n">
        <v>-0.494037842013316</v>
      </c>
      <c r="J68" t="n">
        <v>0.138652833016257</v>
      </c>
      <c r="K68" t="s">
        <v>677</v>
      </c>
      <c r="L68" t="s">
        <v>579</v>
      </c>
      <c r="M68" t="s">
        <v>360</v>
      </c>
      <c r="N68"/>
    </row>
    <row r="69">
      <c r="A69" t="s">
        <v>158</v>
      </c>
      <c r="B69" t="s">
        <v>304</v>
      </c>
      <c r="C69" t="n">
        <v>-0.0275843314264255</v>
      </c>
      <c r="D69" t="n">
        <v>0.0384604912539654</v>
      </c>
      <c r="E69" t="n">
        <v>0.514393260801805</v>
      </c>
      <c r="F69" t="n">
        <v>0.473243206610361</v>
      </c>
      <c r="G69" t="s">
        <v>300</v>
      </c>
      <c r="H69" t="n">
        <v>-0.0275843314264255</v>
      </c>
      <c r="I69" t="n">
        <v>-0.102966894284198</v>
      </c>
      <c r="J69" t="n">
        <v>0.0477982314313466</v>
      </c>
      <c r="K69" t="s">
        <v>678</v>
      </c>
      <c r="L69" t="s">
        <v>579</v>
      </c>
      <c r="M69" t="s">
        <v>360</v>
      </c>
      <c r="N69"/>
    </row>
    <row r="70">
      <c r="A70" t="s">
        <v>158</v>
      </c>
      <c r="B70" t="s">
        <v>298</v>
      </c>
      <c r="C70" t="n">
        <v>0.000076116396333704</v>
      </c>
      <c r="D70" t="n">
        <v>0.00417518989029958</v>
      </c>
      <c r="E70" t="n">
        <v>0.000332356344075059</v>
      </c>
      <c r="F70" t="n">
        <v>0.98545485711893</v>
      </c>
      <c r="G70" t="s">
        <v>300</v>
      </c>
      <c r="H70" t="n">
        <v>0.000076116396333704</v>
      </c>
      <c r="I70" t="n">
        <v>-0.00810725578865347</v>
      </c>
      <c r="J70" t="n">
        <v>0.00825948858132088</v>
      </c>
      <c r="K70" t="s">
        <v>679</v>
      </c>
      <c r="L70" t="s">
        <v>579</v>
      </c>
      <c r="M70" t="s">
        <v>360</v>
      </c>
      <c r="N70"/>
    </row>
    <row r="71">
      <c r="A71" t="s">
        <v>158</v>
      </c>
      <c r="B71" t="s">
        <v>51</v>
      </c>
      <c r="C71" t="n">
        <v>0.00578246007488813</v>
      </c>
      <c r="D71" t="n">
        <v>0.0104056703693463</v>
      </c>
      <c r="E71" t="n">
        <v>0.308805592824124</v>
      </c>
      <c r="F71" t="n">
        <v>0.578414047744986</v>
      </c>
      <c r="G71" t="s">
        <v>300</v>
      </c>
      <c r="H71" t="n">
        <v>0.00578246007488813</v>
      </c>
      <c r="I71" t="n">
        <v>-0.0146126538490307</v>
      </c>
      <c r="J71" t="n">
        <v>0.0261775739988069</v>
      </c>
      <c r="K71" t="s">
        <v>680</v>
      </c>
      <c r="L71" t="s">
        <v>579</v>
      </c>
      <c r="M71" t="s">
        <v>360</v>
      </c>
      <c r="N71"/>
    </row>
    <row r="72">
      <c r="A72" t="s">
        <v>166</v>
      </c>
      <c r="B72" t="s">
        <v>299</v>
      </c>
      <c r="C72" t="n">
        <v>-0.0497013248959411</v>
      </c>
      <c r="D72" t="n">
        <v>0.0401678660354142</v>
      </c>
      <c r="E72" t="n">
        <v>1.53101135594637</v>
      </c>
      <c r="F72" t="n">
        <v>0.215960721693319</v>
      </c>
      <c r="G72" t="s">
        <v>300</v>
      </c>
      <c r="H72" t="n">
        <v>-0.0497013248959411</v>
      </c>
      <c r="I72" t="n">
        <v>-0.128430342325353</v>
      </c>
      <c r="J72" t="n">
        <v>0.0290276925334708</v>
      </c>
      <c r="K72" t="s">
        <v>681</v>
      </c>
      <c r="L72" t="s">
        <v>579</v>
      </c>
      <c r="M72" t="s">
        <v>360</v>
      </c>
      <c r="N72"/>
    </row>
    <row r="73">
      <c r="A73" t="s">
        <v>166</v>
      </c>
      <c r="B73" t="s">
        <v>304</v>
      </c>
      <c r="C73" t="n">
        <v>0.0618667656058125</v>
      </c>
      <c r="D73" t="n">
        <v>0.0120079114222265</v>
      </c>
      <c r="E73" t="n">
        <v>26.5448253427693</v>
      </c>
      <c r="F73" t="n">
        <v>0.000000257493502631156</v>
      </c>
      <c r="G73" t="s">
        <v>300</v>
      </c>
      <c r="H73" t="n">
        <v>0.0618667656058125</v>
      </c>
      <c r="I73" t="n">
        <v>0.0383312592182485</v>
      </c>
      <c r="J73" t="n">
        <v>0.0854022719933765</v>
      </c>
      <c r="K73" t="s">
        <v>682</v>
      </c>
      <c r="L73" t="s">
        <v>579</v>
      </c>
      <c r="M73" t="s">
        <v>360</v>
      </c>
      <c r="N73"/>
    </row>
    <row r="74">
      <c r="A74" t="s">
        <v>166</v>
      </c>
      <c r="B74" t="s">
        <v>298</v>
      </c>
      <c r="C74" t="n">
        <v>0.000828265717311818</v>
      </c>
      <c r="D74" t="n">
        <v>0.00106435177817521</v>
      </c>
      <c r="E74" t="n">
        <v>0.605576469403313</v>
      </c>
      <c r="F74" t="n">
        <v>0.436458225665875</v>
      </c>
      <c r="G74" t="s">
        <v>300</v>
      </c>
      <c r="H74" t="n">
        <v>0.000828265717311818</v>
      </c>
      <c r="I74" t="n">
        <v>-0.0012578637679116</v>
      </c>
      <c r="J74" t="n">
        <v>0.00291439520253523</v>
      </c>
      <c r="K74" t="s">
        <v>683</v>
      </c>
      <c r="L74" t="s">
        <v>579</v>
      </c>
      <c r="M74" t="s">
        <v>360</v>
      </c>
      <c r="N74"/>
    </row>
    <row r="75">
      <c r="A75" t="s">
        <v>166</v>
      </c>
      <c r="B75" t="s">
        <v>51</v>
      </c>
      <c r="C75" t="n">
        <v>-0.00551073082347922</v>
      </c>
      <c r="D75" t="n">
        <v>0.00360916199120509</v>
      </c>
      <c r="E75" t="n">
        <v>2.3313401652044</v>
      </c>
      <c r="F75" t="n">
        <v>0.126792675530353</v>
      </c>
      <c r="G75" t="s">
        <v>300</v>
      </c>
      <c r="H75" t="n">
        <v>-0.00551073082347922</v>
      </c>
      <c r="I75" t="n">
        <v>-0.0125846883262412</v>
      </c>
      <c r="J75" t="n">
        <v>0.00156322667928276</v>
      </c>
      <c r="K75" t="s">
        <v>684</v>
      </c>
      <c r="L75" t="s">
        <v>579</v>
      </c>
      <c r="M75" t="s">
        <v>360</v>
      </c>
      <c r="N75"/>
    </row>
    <row r="76">
      <c r="A76" t="s">
        <v>171</v>
      </c>
      <c r="B76" t="s">
        <v>299</v>
      </c>
      <c r="C76" t="n">
        <v>-0.0120041315327642</v>
      </c>
      <c r="D76" t="n">
        <v>0.0284802068264656</v>
      </c>
      <c r="E76" t="n">
        <v>0.177654091150456</v>
      </c>
      <c r="F76" t="n">
        <v>0.673397077105225</v>
      </c>
      <c r="G76" t="s">
        <v>300</v>
      </c>
      <c r="H76" t="n">
        <v>-0.0120041315327642</v>
      </c>
      <c r="I76" t="n">
        <v>-0.0678253369126368</v>
      </c>
      <c r="J76" t="n">
        <v>0.0438170738471084</v>
      </c>
      <c r="K76" t="s">
        <v>685</v>
      </c>
      <c r="L76" t="s">
        <v>579</v>
      </c>
      <c r="M76" t="s">
        <v>360</v>
      </c>
      <c r="N76"/>
    </row>
    <row r="77">
      <c r="A77" t="s">
        <v>171</v>
      </c>
      <c r="B77" t="s">
        <v>304</v>
      </c>
      <c r="C77" t="n">
        <v>0.0128185335274267</v>
      </c>
      <c r="D77" t="n">
        <v>0.00806385298624073</v>
      </c>
      <c r="E77" t="n">
        <v>2.52691995106462</v>
      </c>
      <c r="F77" t="n">
        <v>0.111918485071526</v>
      </c>
      <c r="G77" t="s">
        <v>300</v>
      </c>
      <c r="H77" t="n">
        <v>0.0128185335274267</v>
      </c>
      <c r="I77" t="n">
        <v>-0.00298661832560515</v>
      </c>
      <c r="J77" t="n">
        <v>0.0286236853804585</v>
      </c>
      <c r="K77" t="s">
        <v>615</v>
      </c>
      <c r="L77" t="s">
        <v>579</v>
      </c>
      <c r="M77" t="s">
        <v>360</v>
      </c>
      <c r="N77"/>
    </row>
    <row r="78">
      <c r="A78" t="s">
        <v>171</v>
      </c>
      <c r="B78" t="s">
        <v>298</v>
      </c>
      <c r="C78" t="n">
        <v>-0.000458685150599787</v>
      </c>
      <c r="D78" t="n">
        <v>0.000703053249900832</v>
      </c>
      <c r="E78" t="n">
        <v>0.425650277533778</v>
      </c>
      <c r="F78" t="n">
        <v>0.514131046084719</v>
      </c>
      <c r="G78" t="s">
        <v>300</v>
      </c>
      <c r="H78" t="n">
        <v>-0.000458685150599787</v>
      </c>
      <c r="I78" t="n">
        <v>-0.00183666952040542</v>
      </c>
      <c r="J78" t="n">
        <v>0.000919299219205843</v>
      </c>
      <c r="K78" t="s">
        <v>641</v>
      </c>
      <c r="L78" t="s">
        <v>579</v>
      </c>
      <c r="M78" t="s">
        <v>360</v>
      </c>
      <c r="N78"/>
    </row>
    <row r="79">
      <c r="A79" t="s">
        <v>171</v>
      </c>
      <c r="B79" t="s">
        <v>51</v>
      </c>
      <c r="C79" t="n">
        <v>-0.0031510951738263</v>
      </c>
      <c r="D79" t="n">
        <v>0.00210817402944073</v>
      </c>
      <c r="E79" t="n">
        <v>2.23413865701121</v>
      </c>
      <c r="F79" t="n">
        <v>0.134991831363855</v>
      </c>
      <c r="G79" t="s">
        <v>300</v>
      </c>
      <c r="H79" t="n">
        <v>-0.0031510951738263</v>
      </c>
      <c r="I79" t="n">
        <v>-0.00728311627153013</v>
      </c>
      <c r="J79" t="n">
        <v>0.000980925923877541</v>
      </c>
      <c r="K79" t="s">
        <v>686</v>
      </c>
      <c r="L79" t="s">
        <v>579</v>
      </c>
      <c r="M79" t="s">
        <v>360</v>
      </c>
      <c r="N79"/>
    </row>
    <row r="80">
      <c r="A80" t="s">
        <v>178</v>
      </c>
      <c r="B80"/>
      <c r="C80"/>
      <c r="D80"/>
      <c r="E80"/>
      <c r="F80"/>
      <c r="G80"/>
      <c r="H80"/>
      <c r="I80"/>
      <c r="J80"/>
      <c r="K80"/>
      <c r="L80" t="s">
        <v>320</v>
      </c>
      <c r="M80"/>
      <c r="N80"/>
    </row>
    <row r="81">
      <c r="A81" t="s">
        <v>181</v>
      </c>
      <c r="B81"/>
      <c r="C81"/>
      <c r="D81"/>
      <c r="E81"/>
      <c r="F81"/>
      <c r="G81"/>
      <c r="H81"/>
      <c r="I81"/>
      <c r="J81"/>
      <c r="K81"/>
      <c r="L81" t="s">
        <v>320</v>
      </c>
      <c r="M81"/>
      <c r="N81"/>
    </row>
    <row r="82">
      <c r="A82" t="s">
        <v>345</v>
      </c>
      <c r="B82" t="s">
        <v>299</v>
      </c>
      <c r="C82" t="n">
        <v>-3.29144522600215</v>
      </c>
      <c r="D82" t="n">
        <v>2.23922965883321</v>
      </c>
      <c r="E82" t="n">
        <v>2.1606080455713</v>
      </c>
      <c r="F82" t="n">
        <v>0.141588652027068</v>
      </c>
      <c r="G82" t="s">
        <v>321</v>
      </c>
      <c r="H82" t="n">
        <v>0.0372000480513039</v>
      </c>
      <c r="I82" t="n">
        <v>0.000461819998094874</v>
      </c>
      <c r="J82" t="n">
        <v>2.99649989330915</v>
      </c>
      <c r="K82" t="s">
        <v>687</v>
      </c>
      <c r="L82" t="s">
        <v>596</v>
      </c>
      <c r="M82" t="s">
        <v>360</v>
      </c>
      <c r="N82"/>
    </row>
    <row r="83">
      <c r="A83" t="s">
        <v>345</v>
      </c>
      <c r="B83" t="s">
        <v>304</v>
      </c>
      <c r="C83" t="n">
        <v>1.16213061736729</v>
      </c>
      <c r="D83" t="n">
        <v>0.518724318288516</v>
      </c>
      <c r="E83" t="n">
        <v>5.01922505424928</v>
      </c>
      <c r="F83" t="n">
        <v>0.0250673853718376</v>
      </c>
      <c r="G83" t="s">
        <v>321</v>
      </c>
      <c r="H83" t="n">
        <v>3.19673704889917</v>
      </c>
      <c r="I83" t="n">
        <v>1.15653787695797</v>
      </c>
      <c r="J83" t="n">
        <v>8.83596461767762</v>
      </c>
      <c r="K83" t="s">
        <v>688</v>
      </c>
      <c r="L83" t="s">
        <v>596</v>
      </c>
      <c r="M83" t="s">
        <v>360</v>
      </c>
      <c r="N83"/>
    </row>
    <row r="84">
      <c r="A84" t="s">
        <v>345</v>
      </c>
      <c r="B84" t="s">
        <v>298</v>
      </c>
      <c r="C84" t="n">
        <v>0.0496001548005284</v>
      </c>
      <c r="D84" t="n">
        <v>0.0585734624057469</v>
      </c>
      <c r="E84" t="n">
        <v>0.717074485620676</v>
      </c>
      <c r="F84" t="n">
        <v>0.397105210725131</v>
      </c>
      <c r="G84" t="s">
        <v>321</v>
      </c>
      <c r="H84" t="n">
        <v>1.0508508347002</v>
      </c>
      <c r="I84" t="n">
        <v>0.936876478961916</v>
      </c>
      <c r="J84" t="n">
        <v>1.17869057617253</v>
      </c>
      <c r="K84" t="s">
        <v>689</v>
      </c>
      <c r="L84" t="s">
        <v>596</v>
      </c>
      <c r="M84" t="s">
        <v>360</v>
      </c>
      <c r="N84"/>
    </row>
    <row r="85">
      <c r="A85" t="s">
        <v>345</v>
      </c>
      <c r="B85" t="s">
        <v>51</v>
      </c>
      <c r="C85" t="n">
        <v>0.0932623792215477</v>
      </c>
      <c r="D85" t="n">
        <v>0.172056199517782</v>
      </c>
      <c r="E85" t="n">
        <v>0.293813894455318</v>
      </c>
      <c r="F85" t="n">
        <v>0.58778679932027</v>
      </c>
      <c r="G85" t="s">
        <v>321</v>
      </c>
      <c r="H85" t="n">
        <v>1.09774972420336</v>
      </c>
      <c r="I85" t="n">
        <v>0.783512885039834</v>
      </c>
      <c r="J85" t="n">
        <v>1.5380148559105</v>
      </c>
      <c r="K85" t="s">
        <v>690</v>
      </c>
      <c r="L85" t="s">
        <v>596</v>
      </c>
      <c r="M85" t="s">
        <v>360</v>
      </c>
      <c r="N85"/>
    </row>
    <row r="86">
      <c r="A86" t="s">
        <v>348</v>
      </c>
      <c r="B86" t="s">
        <v>299</v>
      </c>
      <c r="C86" t="n">
        <v>-7.41641569480159</v>
      </c>
      <c r="D86" t="n">
        <v>2.65744336044081</v>
      </c>
      <c r="E86" t="n">
        <v>7.78861245378876</v>
      </c>
      <c r="F86" t="n">
        <v>0.00525765584240634</v>
      </c>
      <c r="G86" t="s">
        <v>321</v>
      </c>
      <c r="H86" t="n">
        <v>0.000601300532221182</v>
      </c>
      <c r="I86" t="n">
        <v>0.00000328874448584409</v>
      </c>
      <c r="J86" t="n">
        <v>0.109939319276936</v>
      </c>
      <c r="K86" t="s">
        <v>691</v>
      </c>
      <c r="L86" t="s">
        <v>596</v>
      </c>
      <c r="M86" t="s">
        <v>360</v>
      </c>
      <c r="N86"/>
    </row>
    <row r="87">
      <c r="A87" t="s">
        <v>348</v>
      </c>
      <c r="B87" t="s">
        <v>304</v>
      </c>
      <c r="C87" t="n">
        <v>-1.25076342070103</v>
      </c>
      <c r="D87" t="n">
        <v>1.15239964330884</v>
      </c>
      <c r="E87" t="n">
        <v>1.17799680557166</v>
      </c>
      <c r="F87" t="n">
        <v>0.277764183711059</v>
      </c>
      <c r="G87" t="s">
        <v>321</v>
      </c>
      <c r="H87" t="n">
        <v>0.286286156635177</v>
      </c>
      <c r="I87" t="n">
        <v>0.0299128620679156</v>
      </c>
      <c r="J87" t="n">
        <v>2.73995057025489</v>
      </c>
      <c r="K87" t="s">
        <v>692</v>
      </c>
      <c r="L87" t="s">
        <v>596</v>
      </c>
      <c r="M87" t="s">
        <v>360</v>
      </c>
      <c r="N87"/>
    </row>
    <row r="88">
      <c r="A88" t="s">
        <v>348</v>
      </c>
      <c r="B88" t="s">
        <v>298</v>
      </c>
      <c r="C88" t="n">
        <v>0.150027132812911</v>
      </c>
      <c r="D88" t="n">
        <v>0.086666707163895</v>
      </c>
      <c r="E88" t="n">
        <v>2.99664313469771</v>
      </c>
      <c r="F88" t="n">
        <v>0.083437230735251</v>
      </c>
      <c r="G88" t="s">
        <v>321</v>
      </c>
      <c r="H88" t="n">
        <v>1.16186576698709</v>
      </c>
      <c r="I88" t="n">
        <v>0.980355896815517</v>
      </c>
      <c r="J88" t="n">
        <v>1.37698162971374</v>
      </c>
      <c r="K88" t="s">
        <v>693</v>
      </c>
      <c r="L88" t="s">
        <v>596</v>
      </c>
      <c r="M88" t="s">
        <v>360</v>
      </c>
      <c r="N88"/>
    </row>
    <row r="89">
      <c r="A89" t="s">
        <v>348</v>
      </c>
      <c r="B89" t="s">
        <v>51</v>
      </c>
      <c r="C89" t="n">
        <v>0.0658909187381718</v>
      </c>
      <c r="D89" t="n">
        <v>0.37208656898128</v>
      </c>
      <c r="E89" t="n">
        <v>0.0313590674037131</v>
      </c>
      <c r="F89" t="n">
        <v>0.859441690121827</v>
      </c>
      <c r="G89" t="s">
        <v>321</v>
      </c>
      <c r="H89" t="n">
        <v>1.0681102000028</v>
      </c>
      <c r="I89" t="n">
        <v>0.515097664513801</v>
      </c>
      <c r="J89" t="n">
        <v>2.21484094754512</v>
      </c>
      <c r="K89" t="s">
        <v>694</v>
      </c>
      <c r="L89" t="s">
        <v>596</v>
      </c>
      <c r="M89" t="s">
        <v>360</v>
      </c>
      <c r="N89"/>
    </row>
    <row r="90">
      <c r="A90" t="s">
        <v>351</v>
      </c>
      <c r="B90"/>
      <c r="C90"/>
      <c r="D90"/>
      <c r="E90"/>
      <c r="F90"/>
      <c r="G90"/>
      <c r="H90"/>
      <c r="I90"/>
      <c r="J90"/>
      <c r="K90"/>
      <c r="L90" t="s">
        <v>329</v>
      </c>
      <c r="M90"/>
      <c r="N90"/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427</v>
      </c>
    </row>
    <row r="3">
      <c r="A3" s="1" t="s">
        <v>695</v>
      </c>
    </row>
    <row r="4">
      <c r="A4" t="s">
        <v>285</v>
      </c>
      <c r="B4" t="s">
        <v>429</v>
      </c>
      <c r="C4" t="s">
        <v>140</v>
      </c>
      <c r="D4" t="s">
        <v>430</v>
      </c>
      <c r="E4" t="s">
        <v>431</v>
      </c>
      <c r="F4" t="s">
        <v>1</v>
      </c>
    </row>
    <row r="5">
      <c r="A5" t="s">
        <v>142</v>
      </c>
      <c r="B5" t="s">
        <v>432</v>
      </c>
      <c r="C5" t="s">
        <v>696</v>
      </c>
      <c r="D5" t="s">
        <v>697</v>
      </c>
      <c r="E5" t="s">
        <v>698</v>
      </c>
      <c r="F5" t="s">
        <v>98</v>
      </c>
    </row>
    <row r="6">
      <c r="A6" t="s">
        <v>150</v>
      </c>
      <c r="B6" t="s">
        <v>432</v>
      </c>
      <c r="C6" t="s">
        <v>699</v>
      </c>
      <c r="D6" t="s">
        <v>700</v>
      </c>
      <c r="E6" t="s">
        <v>698</v>
      </c>
      <c r="F6" t="s">
        <v>98</v>
      </c>
    </row>
    <row r="7">
      <c r="A7" t="s">
        <v>158</v>
      </c>
      <c r="B7" t="s">
        <v>432</v>
      </c>
      <c r="C7" t="s">
        <v>701</v>
      </c>
      <c r="D7" t="s">
        <v>702</v>
      </c>
      <c r="E7" t="s">
        <v>698</v>
      </c>
      <c r="F7" t="s">
        <v>98</v>
      </c>
    </row>
    <row r="8">
      <c r="A8" t="s">
        <v>166</v>
      </c>
      <c r="B8" t="s">
        <v>432</v>
      </c>
      <c r="C8" t="s">
        <v>703</v>
      </c>
      <c r="D8" t="s">
        <v>47</v>
      </c>
      <c r="E8" t="s">
        <v>698</v>
      </c>
      <c r="F8" t="s">
        <v>98</v>
      </c>
    </row>
    <row r="9">
      <c r="A9" t="s">
        <v>171</v>
      </c>
      <c r="B9" t="s">
        <v>432</v>
      </c>
      <c r="C9" t="s">
        <v>176</v>
      </c>
      <c r="D9" t="s">
        <v>704</v>
      </c>
      <c r="E9" t="s">
        <v>698</v>
      </c>
      <c r="F9" t="s">
        <v>98</v>
      </c>
    </row>
    <row r="10">
      <c r="A10" t="s">
        <v>178</v>
      </c>
      <c r="B10" t="s">
        <v>98</v>
      </c>
      <c r="C10" t="s">
        <v>98</v>
      </c>
      <c r="D10" t="s">
        <v>98</v>
      </c>
      <c r="E10"/>
      <c r="F10" t="s">
        <v>434</v>
      </c>
    </row>
    <row r="11">
      <c r="A11" t="s">
        <v>181</v>
      </c>
      <c r="B11" t="s">
        <v>98</v>
      </c>
      <c r="C11" t="s">
        <v>98</v>
      </c>
      <c r="D11" t="s">
        <v>98</v>
      </c>
      <c r="E11"/>
      <c r="F11" t="s">
        <v>434</v>
      </c>
    </row>
    <row r="12">
      <c r="A12" t="s">
        <v>345</v>
      </c>
      <c r="B12" t="s">
        <v>432</v>
      </c>
      <c r="C12" t="s">
        <v>705</v>
      </c>
      <c r="D12" t="s">
        <v>706</v>
      </c>
      <c r="E12" t="s">
        <v>707</v>
      </c>
      <c r="F12" t="s">
        <v>708</v>
      </c>
    </row>
    <row r="13">
      <c r="A13" t="s">
        <v>348</v>
      </c>
      <c r="B13" t="s">
        <v>432</v>
      </c>
      <c r="C13" t="s">
        <v>709</v>
      </c>
      <c r="D13" t="s">
        <v>710</v>
      </c>
      <c r="E13" t="s">
        <v>711</v>
      </c>
      <c r="F13" t="s">
        <v>712</v>
      </c>
    </row>
    <row r="14">
      <c r="A14" t="s">
        <v>351</v>
      </c>
      <c r="B14" t="s">
        <v>98</v>
      </c>
      <c r="C14" t="s">
        <v>98</v>
      </c>
      <c r="D14" t="s">
        <v>98</v>
      </c>
      <c r="E14"/>
      <c r="F14" t="s">
        <v>439</v>
      </c>
    </row>
    <row r="16">
      <c r="A16" s="1" t="s">
        <v>440</v>
      </c>
    </row>
    <row r="17">
      <c r="A17" t="s">
        <v>285</v>
      </c>
      <c r="B17" t="s">
        <v>286</v>
      </c>
      <c r="C17" t="s">
        <v>287</v>
      </c>
      <c r="D17" t="s">
        <v>288</v>
      </c>
      <c r="E17" t="s">
        <v>289</v>
      </c>
      <c r="F17" t="s">
        <v>290</v>
      </c>
      <c r="G17" t="s">
        <v>291</v>
      </c>
      <c r="H17" t="s">
        <v>292</v>
      </c>
      <c r="I17" t="s">
        <v>293</v>
      </c>
      <c r="J17" t="s">
        <v>294</v>
      </c>
      <c r="K17" t="s">
        <v>295</v>
      </c>
      <c r="L17" t="s">
        <v>296</v>
      </c>
    </row>
    <row r="18">
      <c r="A18" t="s">
        <v>142</v>
      </c>
      <c r="B18" t="s">
        <v>299</v>
      </c>
      <c r="C18" t="n">
        <v>-25.3875278247306</v>
      </c>
      <c r="D18" t="n">
        <v>142.671285234892</v>
      </c>
      <c r="E18" t="n">
        <v>0.0316641385896174</v>
      </c>
      <c r="F18" t="n">
        <v>0.858766797547887</v>
      </c>
      <c r="G18" t="s">
        <v>300</v>
      </c>
      <c r="H18" t="n">
        <v>-25.3875278247306</v>
      </c>
      <c r="I18" t="n">
        <v>-305.023246885119</v>
      </c>
      <c r="J18" t="n">
        <v>254.248191235658</v>
      </c>
      <c r="K18" t="s">
        <v>713</v>
      </c>
      <c r="L18" t="s">
        <v>714</v>
      </c>
    </row>
    <row r="19">
      <c r="A19" t="s">
        <v>142</v>
      </c>
      <c r="B19" t="s">
        <v>304</v>
      </c>
      <c r="C19" t="n">
        <v>-27.7412787332411</v>
      </c>
      <c r="D19" t="n">
        <v>14.8346272855231</v>
      </c>
      <c r="E19" t="n">
        <v>3.49703253932321</v>
      </c>
      <c r="F19" t="n">
        <v>0.0614788968685553</v>
      </c>
      <c r="G19" t="s">
        <v>300</v>
      </c>
      <c r="H19" t="n">
        <v>-27.7412787332411</v>
      </c>
      <c r="I19" t="n">
        <v>-56.8171482128663</v>
      </c>
      <c r="J19" t="n">
        <v>1.33459074638414</v>
      </c>
      <c r="K19" t="s">
        <v>715</v>
      </c>
      <c r="L19" t="s">
        <v>714</v>
      </c>
    </row>
    <row r="20">
      <c r="A20" t="s">
        <v>142</v>
      </c>
      <c r="B20" t="s">
        <v>298</v>
      </c>
      <c r="C20" t="n">
        <v>1.97192794266531</v>
      </c>
      <c r="D20" t="n">
        <v>1.90499265002905</v>
      </c>
      <c r="E20" t="n">
        <v>1.07150813699709</v>
      </c>
      <c r="F20" t="n">
        <v>0.300605041721628</v>
      </c>
      <c r="G20" t="s">
        <v>300</v>
      </c>
      <c r="H20" t="n">
        <v>1.97192794266531</v>
      </c>
      <c r="I20" t="n">
        <v>-1.76185765139163</v>
      </c>
      <c r="J20" t="n">
        <v>5.70571353672224</v>
      </c>
      <c r="K20" t="s">
        <v>716</v>
      </c>
      <c r="L20" t="s">
        <v>714</v>
      </c>
    </row>
    <row r="21">
      <c r="A21" t="s">
        <v>142</v>
      </c>
      <c r="B21" t="s">
        <v>51</v>
      </c>
      <c r="C21" t="n">
        <v>-1.19954397984841</v>
      </c>
      <c r="D21" t="n">
        <v>4.04811326158358</v>
      </c>
      <c r="E21" t="n">
        <v>0.0878065757134075</v>
      </c>
      <c r="F21" t="n">
        <v>0.766984382231529</v>
      </c>
      <c r="G21" t="s">
        <v>300</v>
      </c>
      <c r="H21" t="n">
        <v>-1.19954397984841</v>
      </c>
      <c r="I21" t="n">
        <v>-9.13384597255223</v>
      </c>
      <c r="J21" t="n">
        <v>6.73475801285541</v>
      </c>
      <c r="K21" t="s">
        <v>717</v>
      </c>
      <c r="L21" t="s">
        <v>714</v>
      </c>
    </row>
    <row r="22">
      <c r="A22" t="s">
        <v>142</v>
      </c>
      <c r="B22" t="s">
        <v>81</v>
      </c>
      <c r="C22" t="n">
        <v>0.254980009578773</v>
      </c>
      <c r="D22" t="n">
        <v>0.248711921509784</v>
      </c>
      <c r="E22" t="n">
        <v>1.0510395548479</v>
      </c>
      <c r="F22" t="n">
        <v>0.3052677894978</v>
      </c>
      <c r="G22" t="s">
        <v>300</v>
      </c>
      <c r="H22" t="n">
        <v>0.254980009578773</v>
      </c>
      <c r="I22" t="n">
        <v>-0.232495356580404</v>
      </c>
      <c r="J22" t="n">
        <v>0.74245537573795</v>
      </c>
      <c r="K22" t="s">
        <v>718</v>
      </c>
      <c r="L22" t="s">
        <v>714</v>
      </c>
    </row>
    <row r="23">
      <c r="A23" t="s">
        <v>150</v>
      </c>
      <c r="B23" t="s">
        <v>299</v>
      </c>
      <c r="C23" t="n">
        <v>0.628124061371413</v>
      </c>
      <c r="D23" t="n">
        <v>0.877579736799038</v>
      </c>
      <c r="E23" t="n">
        <v>0.512292132743011</v>
      </c>
      <c r="F23" t="n">
        <v>0.474148289321823</v>
      </c>
      <c r="G23" t="s">
        <v>300</v>
      </c>
      <c r="H23" t="n">
        <v>0.628124061371413</v>
      </c>
      <c r="I23" t="n">
        <v>-1.0919322227547</v>
      </c>
      <c r="J23" t="n">
        <v>2.34818034549753</v>
      </c>
      <c r="K23" t="s">
        <v>719</v>
      </c>
      <c r="L23" t="s">
        <v>714</v>
      </c>
    </row>
    <row r="24">
      <c r="A24" t="s">
        <v>150</v>
      </c>
      <c r="B24" t="s">
        <v>304</v>
      </c>
      <c r="C24" t="n">
        <v>-0.18722063472417</v>
      </c>
      <c r="D24" t="n">
        <v>0.0824174253067237</v>
      </c>
      <c r="E24" t="n">
        <v>5.16023333760836</v>
      </c>
      <c r="F24" t="n">
        <v>0.0231097923411371</v>
      </c>
      <c r="G24" t="s">
        <v>300</v>
      </c>
      <c r="H24" t="n">
        <v>-0.18722063472417</v>
      </c>
      <c r="I24" t="n">
        <v>-0.348758788325349</v>
      </c>
      <c r="J24" t="n">
        <v>-0.0256824811229918</v>
      </c>
      <c r="K24" t="s">
        <v>720</v>
      </c>
      <c r="L24" t="s">
        <v>714</v>
      </c>
    </row>
    <row r="25">
      <c r="A25" t="s">
        <v>150</v>
      </c>
      <c r="B25" t="s">
        <v>298</v>
      </c>
      <c r="C25" t="n">
        <v>0.00930097759242333</v>
      </c>
      <c r="D25" t="n">
        <v>0.00738352332735536</v>
      </c>
      <c r="E25" t="n">
        <v>1.58682814041476</v>
      </c>
      <c r="F25" t="n">
        <v>0.207779890028012</v>
      </c>
      <c r="G25" t="s">
        <v>300</v>
      </c>
      <c r="H25" t="n">
        <v>0.00930097759242333</v>
      </c>
      <c r="I25" t="n">
        <v>-0.00517072812919317</v>
      </c>
      <c r="J25" t="n">
        <v>0.0237726833140398</v>
      </c>
      <c r="K25" t="s">
        <v>721</v>
      </c>
      <c r="L25" t="s">
        <v>714</v>
      </c>
    </row>
    <row r="26">
      <c r="A26" t="s">
        <v>150</v>
      </c>
      <c r="B26" t="s">
        <v>51</v>
      </c>
      <c r="C26" t="n">
        <v>0.00684066347712759</v>
      </c>
      <c r="D26" t="n">
        <v>0.0231657050799101</v>
      </c>
      <c r="E26" t="n">
        <v>0.0871977755293052</v>
      </c>
      <c r="F26" t="n">
        <v>0.767770296649585</v>
      </c>
      <c r="G26" t="s">
        <v>300</v>
      </c>
      <c r="H26" t="n">
        <v>0.00684066347712759</v>
      </c>
      <c r="I26" t="n">
        <v>-0.0385641184794961</v>
      </c>
      <c r="J26" t="n">
        <v>0.0522454454337513</v>
      </c>
      <c r="K26" t="s">
        <v>722</v>
      </c>
      <c r="L26" t="s">
        <v>714</v>
      </c>
    </row>
    <row r="27">
      <c r="A27" t="s">
        <v>150</v>
      </c>
      <c r="B27" t="s">
        <v>81</v>
      </c>
      <c r="C27" t="n">
        <v>-0.00166531183535633</v>
      </c>
      <c r="D27" t="n">
        <v>0.00161013029592381</v>
      </c>
      <c r="E27" t="n">
        <v>1.06971748303389</v>
      </c>
      <c r="F27" t="n">
        <v>0.301009268404815</v>
      </c>
      <c r="G27" t="s">
        <v>300</v>
      </c>
      <c r="H27" t="n">
        <v>-0.00166531183535633</v>
      </c>
      <c r="I27" t="n">
        <v>-0.00482116721536701</v>
      </c>
      <c r="J27" t="n">
        <v>0.00149054354465435</v>
      </c>
      <c r="K27" t="s">
        <v>723</v>
      </c>
      <c r="L27" t="s">
        <v>714</v>
      </c>
    </row>
    <row r="28">
      <c r="A28" t="s">
        <v>158</v>
      </c>
      <c r="B28" t="s">
        <v>299</v>
      </c>
      <c r="C28" t="n">
        <v>-0.0107072362854583</v>
      </c>
      <c r="D28" t="n">
        <v>0.371541707757473</v>
      </c>
      <c r="E28" t="n">
        <v>0.000830499982263241</v>
      </c>
      <c r="F28" t="n">
        <v>0.977009428612584</v>
      </c>
      <c r="G28" t="s">
        <v>300</v>
      </c>
      <c r="H28" t="n">
        <v>-0.0107072362854583</v>
      </c>
      <c r="I28" t="n">
        <v>-0.738928983490106</v>
      </c>
      <c r="J28" t="n">
        <v>0.71751451091919</v>
      </c>
      <c r="K28" t="s">
        <v>724</v>
      </c>
      <c r="L28" t="s">
        <v>714</v>
      </c>
    </row>
    <row r="29">
      <c r="A29" t="s">
        <v>158</v>
      </c>
      <c r="B29" t="s">
        <v>304</v>
      </c>
      <c r="C29" t="n">
        <v>-0.0283642988434536</v>
      </c>
      <c r="D29" t="n">
        <v>0.0380818150044433</v>
      </c>
      <c r="E29" t="n">
        <v>0.554764710239113</v>
      </c>
      <c r="F29" t="n">
        <v>0.456377345175061</v>
      </c>
      <c r="G29" t="s">
        <v>300</v>
      </c>
      <c r="H29" t="n">
        <v>-0.0283642988434536</v>
      </c>
      <c r="I29" t="n">
        <v>-0.103004656252162</v>
      </c>
      <c r="J29" t="n">
        <v>0.0462760585652553</v>
      </c>
      <c r="K29" t="s">
        <v>725</v>
      </c>
      <c r="L29" t="s">
        <v>714</v>
      </c>
    </row>
    <row r="30">
      <c r="A30" t="s">
        <v>158</v>
      </c>
      <c r="B30" t="s">
        <v>298</v>
      </c>
      <c r="C30" t="n">
        <v>0.000815659744433272</v>
      </c>
      <c r="D30" t="n">
        <v>0.00451945299971867</v>
      </c>
      <c r="E30" t="n">
        <v>0.0325721412383345</v>
      </c>
      <c r="F30" t="n">
        <v>0.85677768797875</v>
      </c>
      <c r="G30" t="s">
        <v>300</v>
      </c>
      <c r="H30" t="n">
        <v>0.000815659744433272</v>
      </c>
      <c r="I30" t="n">
        <v>-0.00804246813501531</v>
      </c>
      <c r="J30" t="n">
        <v>0.00967378762388186</v>
      </c>
      <c r="K30" t="s">
        <v>726</v>
      </c>
      <c r="L30" t="s">
        <v>714</v>
      </c>
    </row>
    <row r="31">
      <c r="A31" t="s">
        <v>158</v>
      </c>
      <c r="B31" t="s">
        <v>51</v>
      </c>
      <c r="C31" t="n">
        <v>0.00559288916379881</v>
      </c>
      <c r="D31" t="n">
        <v>0.0105035767597585</v>
      </c>
      <c r="E31" t="n">
        <v>0.283529334500626</v>
      </c>
      <c r="F31" t="n">
        <v>0.594397241599793</v>
      </c>
      <c r="G31" t="s">
        <v>300</v>
      </c>
      <c r="H31" t="n">
        <v>0.00559288916379881</v>
      </c>
      <c r="I31" t="n">
        <v>-0.0149941212853278</v>
      </c>
      <c r="J31" t="n">
        <v>0.0261798996129254</v>
      </c>
      <c r="K31" t="s">
        <v>680</v>
      </c>
      <c r="L31" t="s">
        <v>714</v>
      </c>
    </row>
    <row r="32">
      <c r="A32" t="s">
        <v>158</v>
      </c>
      <c r="B32" t="s">
        <v>81</v>
      </c>
      <c r="C32" t="n">
        <v>-0.000359654807991974</v>
      </c>
      <c r="D32" t="n">
        <v>0.000745044223918124</v>
      </c>
      <c r="E32" t="n">
        <v>0.233027747236569</v>
      </c>
      <c r="F32" t="n">
        <v>0.629287831093799</v>
      </c>
      <c r="G32" t="s">
        <v>300</v>
      </c>
      <c r="H32" t="n">
        <v>-0.000359654807991974</v>
      </c>
      <c r="I32" t="n">
        <v>-0.0018199414868715</v>
      </c>
      <c r="J32" t="n">
        <v>0.00110063187088755</v>
      </c>
      <c r="K32" t="s">
        <v>641</v>
      </c>
      <c r="L32" t="s">
        <v>714</v>
      </c>
    </row>
    <row r="33">
      <c r="A33" t="s">
        <v>166</v>
      </c>
      <c r="B33" t="s">
        <v>299</v>
      </c>
      <c r="C33" t="n">
        <v>-0.334221568312464</v>
      </c>
      <c r="D33" t="n">
        <v>0.112789343021638</v>
      </c>
      <c r="E33" t="n">
        <v>8.78077424670319</v>
      </c>
      <c r="F33" t="n">
        <v>0.00304421959744527</v>
      </c>
      <c r="G33" t="s">
        <v>300</v>
      </c>
      <c r="H33" t="n">
        <v>-0.334221568312464</v>
      </c>
      <c r="I33" t="n">
        <v>-0.555288680634874</v>
      </c>
      <c r="J33" t="n">
        <v>-0.113154455990054</v>
      </c>
      <c r="K33" t="s">
        <v>727</v>
      </c>
      <c r="L33" t="s">
        <v>714</v>
      </c>
    </row>
    <row r="34">
      <c r="A34" t="s">
        <v>166</v>
      </c>
      <c r="B34" t="s">
        <v>304</v>
      </c>
      <c r="C34" t="n">
        <v>0.0631957242721938</v>
      </c>
      <c r="D34" t="n">
        <v>0.0116464866739108</v>
      </c>
      <c r="E34" t="n">
        <v>29.4432348410837</v>
      </c>
      <c r="F34" t="n">
        <v>0.0000000575786800460776</v>
      </c>
      <c r="G34" t="s">
        <v>300</v>
      </c>
      <c r="H34" t="n">
        <v>0.0631957242721938</v>
      </c>
      <c r="I34" t="n">
        <v>0.0403686103913286</v>
      </c>
      <c r="J34" t="n">
        <v>0.086022838153059</v>
      </c>
      <c r="K34" t="s">
        <v>728</v>
      </c>
      <c r="L34" t="s">
        <v>714</v>
      </c>
    </row>
    <row r="35">
      <c r="A35" t="s">
        <v>166</v>
      </c>
      <c r="B35" t="s">
        <v>298</v>
      </c>
      <c r="C35" t="n">
        <v>-0.000431815819640742</v>
      </c>
      <c r="D35" t="n">
        <v>0.00106957312917718</v>
      </c>
      <c r="E35" t="n">
        <v>0.162995693543187</v>
      </c>
      <c r="F35" t="n">
        <v>0.686413297764437</v>
      </c>
      <c r="G35" t="s">
        <v>300</v>
      </c>
      <c r="H35" t="n">
        <v>-0.000431815819640742</v>
      </c>
      <c r="I35" t="n">
        <v>-0.00252817915282802</v>
      </c>
      <c r="J35" t="n">
        <v>0.00166454751354653</v>
      </c>
      <c r="K35" t="s">
        <v>370</v>
      </c>
      <c r="L35" t="s">
        <v>714</v>
      </c>
    </row>
    <row r="36">
      <c r="A36" t="s">
        <v>166</v>
      </c>
      <c r="B36" t="s">
        <v>51</v>
      </c>
      <c r="C36" t="n">
        <v>-0.00518772770862357</v>
      </c>
      <c r="D36" t="n">
        <v>0.00367673752311305</v>
      </c>
      <c r="E36" t="n">
        <v>1.99080668867479</v>
      </c>
      <c r="F36" t="n">
        <v>0.158256558519759</v>
      </c>
      <c r="G36" t="s">
        <v>300</v>
      </c>
      <c r="H36" t="n">
        <v>-0.00518772770862357</v>
      </c>
      <c r="I36" t="n">
        <v>-0.0123941332539251</v>
      </c>
      <c r="J36" t="n">
        <v>0.00201867783667802</v>
      </c>
      <c r="K36" t="s">
        <v>729</v>
      </c>
      <c r="L36" t="s">
        <v>714</v>
      </c>
    </row>
    <row r="37">
      <c r="A37" t="s">
        <v>166</v>
      </c>
      <c r="B37" t="s">
        <v>81</v>
      </c>
      <c r="C37" t="n">
        <v>0.000612803001191869</v>
      </c>
      <c r="D37" t="n">
        <v>0.000236853312638066</v>
      </c>
      <c r="E37" t="n">
        <v>6.69395580671045</v>
      </c>
      <c r="F37" t="n">
        <v>0.00967403114759757</v>
      </c>
      <c r="G37" t="s">
        <v>300</v>
      </c>
      <c r="H37" t="n">
        <v>0.000612803001191869</v>
      </c>
      <c r="I37" t="n">
        <v>0.000148570508421261</v>
      </c>
      <c r="J37" t="n">
        <v>0.00107703549396248</v>
      </c>
      <c r="K37" t="s">
        <v>458</v>
      </c>
      <c r="L37" t="s">
        <v>714</v>
      </c>
    </row>
    <row r="38">
      <c r="A38" t="s">
        <v>171</v>
      </c>
      <c r="B38" t="s">
        <v>299</v>
      </c>
      <c r="C38" t="n">
        <v>-0.183700042956479</v>
      </c>
      <c r="D38" t="n">
        <v>0.0713261287384216</v>
      </c>
      <c r="E38" t="n">
        <v>6.63317124678041</v>
      </c>
      <c r="F38" t="n">
        <v>0.0100096903029113</v>
      </c>
      <c r="G38" t="s">
        <v>300</v>
      </c>
      <c r="H38" t="n">
        <v>-0.183700042956479</v>
      </c>
      <c r="I38" t="n">
        <v>-0.323499255283786</v>
      </c>
      <c r="J38" t="n">
        <v>-0.043900830629173</v>
      </c>
      <c r="K38" t="s">
        <v>730</v>
      </c>
      <c r="L38" t="s">
        <v>714</v>
      </c>
    </row>
    <row r="39">
      <c r="A39" t="s">
        <v>171</v>
      </c>
      <c r="B39" t="s">
        <v>304</v>
      </c>
      <c r="C39" t="n">
        <v>0.0136205037729489</v>
      </c>
      <c r="D39" t="n">
        <v>0.00782533738805287</v>
      </c>
      <c r="E39" t="n">
        <v>3.02956447383832</v>
      </c>
      <c r="F39" t="n">
        <v>0.0817599602238782</v>
      </c>
      <c r="G39" t="s">
        <v>300</v>
      </c>
      <c r="H39" t="n">
        <v>0.0136205037729489</v>
      </c>
      <c r="I39" t="n">
        <v>-0.00171715750763472</v>
      </c>
      <c r="J39" t="n">
        <v>0.0289581650535325</v>
      </c>
      <c r="K39" t="s">
        <v>731</v>
      </c>
      <c r="L39" t="s">
        <v>714</v>
      </c>
    </row>
    <row r="40">
      <c r="A40" t="s">
        <v>171</v>
      </c>
      <c r="B40" t="s">
        <v>298</v>
      </c>
      <c r="C40" t="n">
        <v>-0.00121909096692175</v>
      </c>
      <c r="D40" t="n">
        <v>0.000761606706756321</v>
      </c>
      <c r="E40" t="n">
        <v>2.56218631336077</v>
      </c>
      <c r="F40" t="n">
        <v>0.109447131221403</v>
      </c>
      <c r="G40" t="s">
        <v>300</v>
      </c>
      <c r="H40" t="n">
        <v>-0.00121909096692175</v>
      </c>
      <c r="I40" t="n">
        <v>-0.00271184011216414</v>
      </c>
      <c r="J40" t="n">
        <v>0.000273658178320635</v>
      </c>
      <c r="K40" t="s">
        <v>732</v>
      </c>
      <c r="L40" t="s">
        <v>714</v>
      </c>
    </row>
    <row r="41">
      <c r="A41" t="s">
        <v>171</v>
      </c>
      <c r="B41" t="s">
        <v>51</v>
      </c>
      <c r="C41" t="n">
        <v>-0.00295617648005641</v>
      </c>
      <c r="D41" t="n">
        <v>0.00203705836055817</v>
      </c>
      <c r="E41" t="n">
        <v>2.10597771730567</v>
      </c>
      <c r="F41" t="n">
        <v>0.146724533955296</v>
      </c>
      <c r="G41" t="s">
        <v>300</v>
      </c>
      <c r="H41" t="n">
        <v>-0.00295617648005641</v>
      </c>
      <c r="I41" t="n">
        <v>-0.00694881086675043</v>
      </c>
      <c r="J41" t="n">
        <v>0.00103645790663761</v>
      </c>
      <c r="K41" t="s">
        <v>686</v>
      </c>
      <c r="L41" t="s">
        <v>714</v>
      </c>
    </row>
    <row r="42">
      <c r="A42" t="s">
        <v>171</v>
      </c>
      <c r="B42" t="s">
        <v>81</v>
      </c>
      <c r="C42" t="n">
        <v>0.000369800645990576</v>
      </c>
      <c r="D42" t="n">
        <v>0.000147404750990563</v>
      </c>
      <c r="E42" t="n">
        <v>6.29379173878255</v>
      </c>
      <c r="F42" t="n">
        <v>0.0121161579765021</v>
      </c>
      <c r="G42" t="s">
        <v>300</v>
      </c>
      <c r="H42" t="n">
        <v>0.000369800645990576</v>
      </c>
      <c r="I42" t="n">
        <v>0.0000808873340490712</v>
      </c>
      <c r="J42" t="n">
        <v>0.00065871395793208</v>
      </c>
      <c r="K42" t="s">
        <v>458</v>
      </c>
      <c r="L42" t="s">
        <v>714</v>
      </c>
    </row>
    <row r="43">
      <c r="A43" t="s">
        <v>345</v>
      </c>
      <c r="B43" t="s">
        <v>299</v>
      </c>
      <c r="C43" t="n">
        <v>4.51968276651211</v>
      </c>
      <c r="D43" t="n">
        <v>5.49868526965376</v>
      </c>
      <c r="E43" t="n">
        <v>0.675613285430536</v>
      </c>
      <c r="F43" t="n">
        <v>0.411101378701204</v>
      </c>
      <c r="G43" t="s">
        <v>321</v>
      </c>
      <c r="H43" t="n">
        <v>91.8064692716427</v>
      </c>
      <c r="I43" t="n">
        <v>0.00191556940329761</v>
      </c>
      <c r="J43" t="n">
        <v>4399959.50322433</v>
      </c>
      <c r="K43" t="s">
        <v>733</v>
      </c>
      <c r="L43" t="s">
        <v>734</v>
      </c>
    </row>
    <row r="44">
      <c r="A44" t="s">
        <v>345</v>
      </c>
      <c r="B44" t="s">
        <v>304</v>
      </c>
      <c r="C44" t="n">
        <v>1.15118453360369</v>
      </c>
      <c r="D44" t="n">
        <v>0.538379097968015</v>
      </c>
      <c r="E44" t="n">
        <v>4.57207674088556</v>
      </c>
      <c r="F44" t="n">
        <v>0.0324971472317596</v>
      </c>
      <c r="G44" t="s">
        <v>321</v>
      </c>
      <c r="H44" t="n">
        <v>3.16193611185494</v>
      </c>
      <c r="I44" t="n">
        <v>1.10071668733197</v>
      </c>
      <c r="J44" t="n">
        <v>9.08302753153145</v>
      </c>
      <c r="K44" t="s">
        <v>735</v>
      </c>
      <c r="L44" t="s">
        <v>734</v>
      </c>
    </row>
    <row r="45">
      <c r="A45" t="s">
        <v>345</v>
      </c>
      <c r="B45" t="s">
        <v>298</v>
      </c>
      <c r="C45" t="n">
        <v>0.0839944983704752</v>
      </c>
      <c r="D45" t="n">
        <v>0.0747880990092299</v>
      </c>
      <c r="E45" t="n">
        <v>1.26135314066203</v>
      </c>
      <c r="F45" t="n">
        <v>0.261395114871346</v>
      </c>
      <c r="G45" t="s">
        <v>321</v>
      </c>
      <c r="H45" t="n">
        <v>1.08762291009405</v>
      </c>
      <c r="I45" t="n">
        <v>0.939328354413958</v>
      </c>
      <c r="J45" t="n">
        <v>1.25932916748742</v>
      </c>
      <c r="K45" t="s">
        <v>736</v>
      </c>
      <c r="L45" t="s">
        <v>734</v>
      </c>
    </row>
    <row r="46">
      <c r="A46" t="s">
        <v>345</v>
      </c>
      <c r="B46" t="s">
        <v>51</v>
      </c>
      <c r="C46" t="n">
        <v>0.0811062376060837</v>
      </c>
      <c r="D46" t="n">
        <v>0.164824969083053</v>
      </c>
      <c r="E46" t="n">
        <v>0.242137751555946</v>
      </c>
      <c r="F46" t="n">
        <v>0.622666363592231</v>
      </c>
      <c r="G46" t="s">
        <v>321</v>
      </c>
      <c r="H46" t="n">
        <v>1.08448610365447</v>
      </c>
      <c r="I46" t="n">
        <v>0.785094880364854</v>
      </c>
      <c r="J46" t="n">
        <v>1.49804837406797</v>
      </c>
      <c r="K46" t="s">
        <v>737</v>
      </c>
      <c r="L46" t="s">
        <v>734</v>
      </c>
    </row>
    <row r="47">
      <c r="A47" t="s">
        <v>345</v>
      </c>
      <c r="B47" t="s">
        <v>81</v>
      </c>
      <c r="C47" t="n">
        <v>-0.0169536663331338</v>
      </c>
      <c r="D47" t="n">
        <v>0.0120903900216543</v>
      </c>
      <c r="E47" t="n">
        <v>1.96628579244242</v>
      </c>
      <c r="F47" t="n">
        <v>0.160842656648805</v>
      </c>
      <c r="G47" t="s">
        <v>321</v>
      </c>
      <c r="H47" t="n">
        <v>0.983189238342202</v>
      </c>
      <c r="I47" t="n">
        <v>0.960164331258267</v>
      </c>
      <c r="J47" t="n">
        <v>1.0067662866888</v>
      </c>
      <c r="K47" t="s">
        <v>738</v>
      </c>
      <c r="L47" t="s">
        <v>734</v>
      </c>
    </row>
    <row r="48">
      <c r="A48" t="s">
        <v>348</v>
      </c>
      <c r="B48" t="s">
        <v>299</v>
      </c>
      <c r="C48" t="n">
        <v>-4.50652936776771</v>
      </c>
      <c r="D48" t="n">
        <v>7.49925200605544</v>
      </c>
      <c r="E48" t="n">
        <v>0.361117483482191</v>
      </c>
      <c r="F48" t="n">
        <v>0.547886267898182</v>
      </c>
      <c r="G48" t="s">
        <v>321</v>
      </c>
      <c r="H48" t="n">
        <v>0.0110366981027071</v>
      </c>
      <c r="I48" t="n">
        <v>0.0000000045640141726578</v>
      </c>
      <c r="J48" t="n">
        <v>26688.9410072461</v>
      </c>
      <c r="K48" t="s">
        <v>739</v>
      </c>
      <c r="L48" t="s">
        <v>734</v>
      </c>
    </row>
    <row r="49">
      <c r="A49" t="s">
        <v>348</v>
      </c>
      <c r="B49" t="s">
        <v>304</v>
      </c>
      <c r="C49" t="n">
        <v>-1.2837770731253</v>
      </c>
      <c r="D49" t="n">
        <v>1.12859530533113</v>
      </c>
      <c r="E49" t="n">
        <v>1.29390607525433</v>
      </c>
      <c r="F49" t="n">
        <v>0.255329356684579</v>
      </c>
      <c r="G49" t="s">
        <v>321</v>
      </c>
      <c r="H49" t="n">
        <v>0.276989114022363</v>
      </c>
      <c r="I49" t="n">
        <v>0.0303237552624657</v>
      </c>
      <c r="J49" t="n">
        <v>2.53012757235447</v>
      </c>
      <c r="K49" t="s">
        <v>740</v>
      </c>
      <c r="L49" t="s">
        <v>734</v>
      </c>
    </row>
    <row r="50">
      <c r="A50" t="s">
        <v>348</v>
      </c>
      <c r="B50" t="s">
        <v>298</v>
      </c>
      <c r="C50" t="n">
        <v>0.169784732938911</v>
      </c>
      <c r="D50" t="n">
        <v>0.0866675366638613</v>
      </c>
      <c r="E50" t="n">
        <v>3.83781791651498</v>
      </c>
      <c r="F50" t="n">
        <v>0.0501086944524701</v>
      </c>
      <c r="G50" t="s">
        <v>321</v>
      </c>
      <c r="H50" t="n">
        <v>1.18504972169002</v>
      </c>
      <c r="I50" t="n">
        <v>0.99991636457538</v>
      </c>
      <c r="J50" t="n">
        <v>1.4044603055116</v>
      </c>
      <c r="K50" t="s">
        <v>741</v>
      </c>
      <c r="L50" t="s">
        <v>734</v>
      </c>
    </row>
    <row r="51">
      <c r="A51" t="s">
        <v>348</v>
      </c>
      <c r="B51" t="s">
        <v>51</v>
      </c>
      <c r="C51" t="n">
        <v>0.0473417105091579</v>
      </c>
      <c r="D51" t="n">
        <v>0.387616513335272</v>
      </c>
      <c r="E51" t="n">
        <v>0.0149170638775155</v>
      </c>
      <c r="F51" t="n">
        <v>0.902791760832477</v>
      </c>
      <c r="G51" t="s">
        <v>321</v>
      </c>
      <c r="H51" t="n">
        <v>1.04848022458455</v>
      </c>
      <c r="I51" t="n">
        <v>0.490472211190263</v>
      </c>
      <c r="J51" t="n">
        <v>2.24133142768089</v>
      </c>
      <c r="K51" t="s">
        <v>742</v>
      </c>
      <c r="L51" t="s">
        <v>734</v>
      </c>
    </row>
    <row r="52">
      <c r="A52" t="s">
        <v>348</v>
      </c>
      <c r="B52" t="s">
        <v>81</v>
      </c>
      <c r="C52" t="n">
        <v>-0.00686904142589316</v>
      </c>
      <c r="D52" t="n">
        <v>0.0164836772356998</v>
      </c>
      <c r="E52" t="n">
        <v>0.173653710291489</v>
      </c>
      <c r="F52" t="n">
        <v>0.676884845866053</v>
      </c>
      <c r="G52" t="s">
        <v>321</v>
      </c>
      <c r="H52" t="n">
        <v>0.993154496513965</v>
      </c>
      <c r="I52" t="n">
        <v>0.961580447402613</v>
      </c>
      <c r="J52" t="n">
        <v>1.0257652977556</v>
      </c>
      <c r="K52" t="s">
        <v>743</v>
      </c>
      <c r="L52" t="s">
        <v>734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744</v>
      </c>
    </row>
    <row r="3">
      <c r="A3" s="1" t="s">
        <v>745</v>
      </c>
    </row>
    <row r="4">
      <c r="A4" t="s">
        <v>36</v>
      </c>
      <c r="B4" t="s">
        <v>746</v>
      </c>
      <c r="C4" t="s">
        <v>747</v>
      </c>
      <c r="D4" t="s">
        <v>39</v>
      </c>
      <c r="E4" t="s">
        <v>40</v>
      </c>
      <c r="F4" t="s">
        <v>41</v>
      </c>
      <c r="G4" t="s">
        <v>42</v>
      </c>
      <c r="H4" t="s">
        <v>43</v>
      </c>
    </row>
    <row r="5">
      <c r="A5" t="s">
        <v>44</v>
      </c>
      <c r="B5" t="s">
        <v>748</v>
      </c>
      <c r="C5" t="s">
        <v>749</v>
      </c>
      <c r="D5" t="s">
        <v>750</v>
      </c>
      <c r="E5" t="s">
        <v>751</v>
      </c>
      <c r="F5" t="s">
        <v>55</v>
      </c>
      <c r="G5" t="s">
        <v>752</v>
      </c>
      <c r="H5" t="s">
        <v>753</v>
      </c>
    </row>
    <row r="6">
      <c r="A6" t="s">
        <v>51</v>
      </c>
      <c r="B6" t="s">
        <v>754</v>
      </c>
      <c r="C6" t="s">
        <v>755</v>
      </c>
      <c r="D6" t="s">
        <v>756</v>
      </c>
      <c r="E6" t="s">
        <v>751</v>
      </c>
      <c r="F6" t="s">
        <v>55</v>
      </c>
      <c r="G6" t="s">
        <v>757</v>
      </c>
      <c r="H6" t="s">
        <v>756</v>
      </c>
    </row>
    <row r="7">
      <c r="A7" t="s">
        <v>58</v>
      </c>
      <c r="B7" t="s">
        <v>758</v>
      </c>
      <c r="C7" t="s">
        <v>759</v>
      </c>
      <c r="D7" t="s">
        <v>760</v>
      </c>
      <c r="E7" t="s">
        <v>751</v>
      </c>
      <c r="F7" t="s">
        <v>55</v>
      </c>
      <c r="G7" t="s">
        <v>761</v>
      </c>
      <c r="H7" t="s">
        <v>760</v>
      </c>
    </row>
    <row r="8">
      <c r="A8" t="s">
        <v>64</v>
      </c>
      <c r="B8" t="s">
        <v>762</v>
      </c>
      <c r="C8" t="s">
        <v>763</v>
      </c>
      <c r="D8" t="s">
        <v>764</v>
      </c>
      <c r="E8" t="s">
        <v>751</v>
      </c>
      <c r="F8" t="s">
        <v>55</v>
      </c>
      <c r="G8" t="s">
        <v>765</v>
      </c>
      <c r="H8" t="s">
        <v>764</v>
      </c>
    </row>
    <row r="9">
      <c r="A9" t="s">
        <v>70</v>
      </c>
      <c r="B9" t="s">
        <v>766</v>
      </c>
      <c r="C9" t="s">
        <v>767</v>
      </c>
      <c r="D9" t="s">
        <v>768</v>
      </c>
      <c r="E9" t="s">
        <v>751</v>
      </c>
      <c r="F9" t="s">
        <v>55</v>
      </c>
      <c r="G9" t="s">
        <v>769</v>
      </c>
      <c r="H9" t="s">
        <v>768</v>
      </c>
    </row>
    <row r="10">
      <c r="A10" t="s">
        <v>76</v>
      </c>
      <c r="B10" t="s">
        <v>77</v>
      </c>
      <c r="C10" t="s">
        <v>770</v>
      </c>
      <c r="D10" t="s">
        <v>771</v>
      </c>
      <c r="E10" t="s">
        <v>751</v>
      </c>
      <c r="F10" t="s">
        <v>55</v>
      </c>
      <c r="G10" t="s">
        <v>772</v>
      </c>
      <c r="H10" t="s">
        <v>771</v>
      </c>
    </row>
    <row r="11">
      <c r="A11" t="s">
        <v>81</v>
      </c>
      <c r="B11" t="s">
        <v>773</v>
      </c>
      <c r="C11" t="s">
        <v>774</v>
      </c>
      <c r="D11" t="s">
        <v>775</v>
      </c>
      <c r="E11" t="s">
        <v>751</v>
      </c>
      <c r="F11" t="s">
        <v>55</v>
      </c>
      <c r="G11" t="s">
        <v>776</v>
      </c>
      <c r="H11" t="s">
        <v>775</v>
      </c>
    </row>
    <row r="12">
      <c r="A12" t="s">
        <v>87</v>
      </c>
      <c r="B12" t="s">
        <v>777</v>
      </c>
      <c r="C12" t="s">
        <v>778</v>
      </c>
      <c r="D12" t="s">
        <v>779</v>
      </c>
      <c r="E12" t="s">
        <v>751</v>
      </c>
      <c r="F12" t="s">
        <v>55</v>
      </c>
      <c r="G12" t="s">
        <v>780</v>
      </c>
      <c r="H12" t="s">
        <v>779</v>
      </c>
    </row>
    <row r="13">
      <c r="A13" t="s">
        <v>93</v>
      </c>
      <c r="B13" t="s">
        <v>94</v>
      </c>
      <c r="C13" t="s">
        <v>95</v>
      </c>
      <c r="D13" t="s">
        <v>781</v>
      </c>
      <c r="E13" t="s">
        <v>782</v>
      </c>
      <c r="F13" t="s">
        <v>55</v>
      </c>
      <c r="G13" t="s">
        <v>98</v>
      </c>
      <c r="H13" t="s">
        <v>98</v>
      </c>
    </row>
    <row r="14">
      <c r="A14" t="s">
        <v>99</v>
      </c>
      <c r="B14" t="s">
        <v>783</v>
      </c>
      <c r="C14" t="s">
        <v>784</v>
      </c>
      <c r="D14" t="s">
        <v>785</v>
      </c>
      <c r="E14" t="s">
        <v>751</v>
      </c>
      <c r="F14" t="s">
        <v>55</v>
      </c>
      <c r="G14" t="s">
        <v>786</v>
      </c>
      <c r="H14" t="s">
        <v>787</v>
      </c>
    </row>
    <row r="15">
      <c r="A15" t="s">
        <v>106</v>
      </c>
      <c r="B15" t="s">
        <v>788</v>
      </c>
      <c r="C15" t="s">
        <v>789</v>
      </c>
      <c r="D15" t="s">
        <v>790</v>
      </c>
      <c r="E15" t="s">
        <v>751</v>
      </c>
      <c r="F15" t="s">
        <v>55</v>
      </c>
      <c r="G15" t="s">
        <v>791</v>
      </c>
      <c r="H15" t="s">
        <v>161</v>
      </c>
    </row>
    <row r="16">
      <c r="A16" t="s">
        <v>112</v>
      </c>
      <c r="B16" t="s">
        <v>792</v>
      </c>
      <c r="C16" t="s">
        <v>793</v>
      </c>
      <c r="D16"/>
      <c r="E16" t="s">
        <v>794</v>
      </c>
      <c r="F16" t="s">
        <v>795</v>
      </c>
      <c r="G16" t="s">
        <v>98</v>
      </c>
      <c r="H16" t="s">
        <v>98</v>
      </c>
    </row>
    <row r="17">
      <c r="A17" t="s">
        <v>116</v>
      </c>
      <c r="B17" t="s">
        <v>796</v>
      </c>
      <c r="C17" t="s">
        <v>797</v>
      </c>
      <c r="D17" t="s">
        <v>98</v>
      </c>
      <c r="E17" t="s">
        <v>98</v>
      </c>
      <c r="F17" t="s">
        <v>98</v>
      </c>
      <c r="G17" t="s">
        <v>98</v>
      </c>
      <c r="H17" t="s">
        <v>98</v>
      </c>
    </row>
    <row r="18">
      <c r="A18" t="s">
        <v>119</v>
      </c>
      <c r="B18" t="s">
        <v>798</v>
      </c>
      <c r="C18" t="s">
        <v>799</v>
      </c>
      <c r="D18" t="s">
        <v>98</v>
      </c>
      <c r="E18" t="s">
        <v>98</v>
      </c>
      <c r="F18" t="s">
        <v>98</v>
      </c>
      <c r="G18" t="s">
        <v>98</v>
      </c>
      <c r="H18" t="s">
        <v>98</v>
      </c>
    </row>
    <row r="20">
      <c r="A20" s="1" t="s">
        <v>800</v>
      </c>
    </row>
    <row r="21">
      <c r="A21" t="s">
        <v>36</v>
      </c>
      <c r="B21" t="s">
        <v>746</v>
      </c>
      <c r="C21" t="s">
        <v>747</v>
      </c>
      <c r="D21" t="s">
        <v>39</v>
      </c>
      <c r="E21" t="s">
        <v>40</v>
      </c>
      <c r="F21" t="s">
        <v>41</v>
      </c>
      <c r="G21" t="s">
        <v>42</v>
      </c>
      <c r="H21" t="s">
        <v>43</v>
      </c>
    </row>
    <row r="22">
      <c r="A22" t="s">
        <v>123</v>
      </c>
      <c r="B22" t="s">
        <v>801</v>
      </c>
      <c r="C22" t="s">
        <v>802</v>
      </c>
      <c r="D22" t="s">
        <v>102</v>
      </c>
      <c r="E22" t="s">
        <v>751</v>
      </c>
      <c r="F22" t="s">
        <v>55</v>
      </c>
      <c r="G22" t="s">
        <v>803</v>
      </c>
      <c r="H22" t="s">
        <v>102</v>
      </c>
    </row>
    <row r="23">
      <c r="A23" t="s">
        <v>129</v>
      </c>
      <c r="B23" t="s">
        <v>804</v>
      </c>
      <c r="C23" t="s">
        <v>805</v>
      </c>
      <c r="D23" t="s">
        <v>806</v>
      </c>
      <c r="E23" t="s">
        <v>751</v>
      </c>
      <c r="F23" t="s">
        <v>55</v>
      </c>
      <c r="G23" t="s">
        <v>807</v>
      </c>
      <c r="H23" t="s">
        <v>806</v>
      </c>
    </row>
    <row r="24">
      <c r="A24" t="s">
        <v>135</v>
      </c>
      <c r="B24" t="s">
        <v>808</v>
      </c>
      <c r="C24" t="s">
        <v>809</v>
      </c>
      <c r="D24"/>
      <c r="E24" t="s">
        <v>138</v>
      </c>
      <c r="F24" t="s">
        <v>139</v>
      </c>
      <c r="G24" t="s">
        <v>98</v>
      </c>
      <c r="H24" t="s">
        <v>98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9" t="s">
        <v>744</v>
      </c>
    </row>
    <row r="3">
      <c r="A3" t="s">
        <v>36</v>
      </c>
      <c r="B3" t="s">
        <v>746</v>
      </c>
      <c r="C3" t="s">
        <v>747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140</v>
      </c>
      <c r="J3" t="s">
        <v>141</v>
      </c>
    </row>
    <row r="4">
      <c r="A4" t="s">
        <v>142</v>
      </c>
      <c r="B4" t="s">
        <v>810</v>
      </c>
      <c r="C4" t="s">
        <v>811</v>
      </c>
      <c r="D4" t="s">
        <v>697</v>
      </c>
      <c r="E4" t="s">
        <v>751</v>
      </c>
      <c r="F4" t="s">
        <v>55</v>
      </c>
      <c r="G4" t="s">
        <v>812</v>
      </c>
      <c r="H4" t="s">
        <v>697</v>
      </c>
      <c r="I4" t="s">
        <v>696</v>
      </c>
      <c r="J4" t="s">
        <v>697</v>
      </c>
    </row>
    <row r="5">
      <c r="A5" t="s">
        <v>150</v>
      </c>
      <c r="B5" t="s">
        <v>151</v>
      </c>
      <c r="C5" t="s">
        <v>813</v>
      </c>
      <c r="D5" t="s">
        <v>814</v>
      </c>
      <c r="E5" t="s">
        <v>751</v>
      </c>
      <c r="F5" t="s">
        <v>49</v>
      </c>
      <c r="G5" t="s">
        <v>815</v>
      </c>
      <c r="H5" t="s">
        <v>814</v>
      </c>
      <c r="I5" t="s">
        <v>699</v>
      </c>
      <c r="J5" t="s">
        <v>700</v>
      </c>
    </row>
    <row r="6">
      <c r="A6" t="s">
        <v>158</v>
      </c>
      <c r="B6" t="s">
        <v>816</v>
      </c>
      <c r="C6" t="s">
        <v>817</v>
      </c>
      <c r="D6" t="s">
        <v>818</v>
      </c>
      <c r="E6" t="s">
        <v>751</v>
      </c>
      <c r="F6" t="s">
        <v>55</v>
      </c>
      <c r="G6" t="s">
        <v>819</v>
      </c>
      <c r="H6" t="s">
        <v>818</v>
      </c>
      <c r="I6" t="s">
        <v>701</v>
      </c>
      <c r="J6" t="s">
        <v>702</v>
      </c>
    </row>
    <row r="7">
      <c r="A7" t="s">
        <v>166</v>
      </c>
      <c r="B7" t="s">
        <v>820</v>
      </c>
      <c r="C7" t="s">
        <v>821</v>
      </c>
      <c r="D7" t="s">
        <v>47</v>
      </c>
      <c r="E7" t="s">
        <v>751</v>
      </c>
      <c r="F7" t="s">
        <v>49</v>
      </c>
      <c r="G7" t="s">
        <v>822</v>
      </c>
      <c r="H7" t="s">
        <v>47</v>
      </c>
      <c r="I7" t="s">
        <v>703</v>
      </c>
      <c r="J7" t="s">
        <v>47</v>
      </c>
    </row>
    <row r="8">
      <c r="A8" t="s">
        <v>171</v>
      </c>
      <c r="B8" t="s">
        <v>172</v>
      </c>
      <c r="C8" t="s">
        <v>770</v>
      </c>
      <c r="D8" t="s">
        <v>823</v>
      </c>
      <c r="E8" t="s">
        <v>751</v>
      </c>
      <c r="F8" t="s">
        <v>55</v>
      </c>
      <c r="G8" t="s">
        <v>824</v>
      </c>
      <c r="H8" t="s">
        <v>823</v>
      </c>
      <c r="I8" t="s">
        <v>176</v>
      </c>
      <c r="J8" t="s">
        <v>704</v>
      </c>
    </row>
    <row r="9">
      <c r="A9" t="s">
        <v>178</v>
      </c>
      <c r="B9" t="s">
        <v>179</v>
      </c>
      <c r="C9" t="s">
        <v>179</v>
      </c>
      <c r="D9" t="s">
        <v>825</v>
      </c>
      <c r="E9" t="s">
        <v>782</v>
      </c>
      <c r="F9" t="s">
        <v>55</v>
      </c>
      <c r="G9" t="s">
        <v>98</v>
      </c>
      <c r="H9" t="s">
        <v>98</v>
      </c>
      <c r="I9" t="s">
        <v>98</v>
      </c>
      <c r="J9" t="s">
        <v>98</v>
      </c>
    </row>
    <row r="10">
      <c r="A10" t="s">
        <v>181</v>
      </c>
      <c r="B10" t="s">
        <v>826</v>
      </c>
      <c r="C10" t="s">
        <v>827</v>
      </c>
      <c r="D10" t="s">
        <v>828</v>
      </c>
      <c r="E10" t="s">
        <v>782</v>
      </c>
      <c r="F10" t="s">
        <v>55</v>
      </c>
      <c r="G10" t="s">
        <v>98</v>
      </c>
      <c r="H10" t="s">
        <v>98</v>
      </c>
      <c r="I10" t="s">
        <v>98</v>
      </c>
      <c r="J10" t="s">
        <v>98</v>
      </c>
    </row>
    <row r="11">
      <c r="A11" t="s">
        <v>185</v>
      </c>
      <c r="B11" t="s">
        <v>829</v>
      </c>
      <c r="C11" t="s">
        <v>830</v>
      </c>
      <c r="D11" t="s">
        <v>831</v>
      </c>
      <c r="E11" t="s">
        <v>751</v>
      </c>
      <c r="F11" t="s">
        <v>49</v>
      </c>
      <c r="G11" t="s">
        <v>832</v>
      </c>
      <c r="H11" t="s">
        <v>831</v>
      </c>
      <c r="I11" t="s">
        <v>705</v>
      </c>
      <c r="J11" t="s">
        <v>706</v>
      </c>
    </row>
    <row r="12">
      <c r="A12" t="s">
        <v>193</v>
      </c>
      <c r="B12" t="s">
        <v>833</v>
      </c>
      <c r="C12" t="s">
        <v>834</v>
      </c>
      <c r="D12" t="s">
        <v>835</v>
      </c>
      <c r="E12" t="s">
        <v>751</v>
      </c>
      <c r="F12" t="s">
        <v>55</v>
      </c>
      <c r="G12" t="s">
        <v>836</v>
      </c>
      <c r="H12" t="s">
        <v>835</v>
      </c>
      <c r="I12" t="s">
        <v>709</v>
      </c>
      <c r="J12" t="s">
        <v>710</v>
      </c>
    </row>
    <row r="13">
      <c r="A13" t="s">
        <v>202</v>
      </c>
      <c r="B13" t="s">
        <v>837</v>
      </c>
      <c r="C13" t="s">
        <v>838</v>
      </c>
      <c r="D13"/>
      <c r="E13" t="s">
        <v>794</v>
      </c>
      <c r="F13" t="s">
        <v>795</v>
      </c>
      <c r="G13" t="s">
        <v>98</v>
      </c>
      <c r="H13" t="s">
        <v>98</v>
      </c>
      <c r="I13" t="s">
        <v>98</v>
      </c>
      <c r="J13" t="s">
        <v>98</v>
      </c>
    </row>
    <row r="14">
      <c r="A14" t="s">
        <v>205</v>
      </c>
      <c r="B14" t="s">
        <v>839</v>
      </c>
      <c r="C14" t="s">
        <v>838</v>
      </c>
      <c r="D14" t="s">
        <v>98</v>
      </c>
      <c r="E14" t="s">
        <v>98</v>
      </c>
      <c r="F14" t="s">
        <v>98</v>
      </c>
      <c r="G14" t="s">
        <v>98</v>
      </c>
      <c r="H14" t="s">
        <v>98</v>
      </c>
      <c r="I14" t="s">
        <v>98</v>
      </c>
      <c r="J14" t="s">
        <v>98</v>
      </c>
    </row>
    <row r="15">
      <c r="A15" t="s">
        <v>208</v>
      </c>
      <c r="B15" t="s">
        <v>839</v>
      </c>
      <c r="C15" t="s">
        <v>840</v>
      </c>
      <c r="D15" t="s">
        <v>98</v>
      </c>
      <c r="E15" t="s">
        <v>98</v>
      </c>
      <c r="F15" t="s">
        <v>98</v>
      </c>
      <c r="G15" t="s">
        <v>98</v>
      </c>
      <c r="H15" t="s">
        <v>98</v>
      </c>
      <c r="I15" t="s">
        <v>98</v>
      </c>
      <c r="J15" t="s">
        <v>98</v>
      </c>
    </row>
    <row r="16">
      <c r="A16" t="s">
        <v>211</v>
      </c>
      <c r="B16" t="s">
        <v>841</v>
      </c>
      <c r="C16" t="s">
        <v>842</v>
      </c>
      <c r="D16" t="s">
        <v>98</v>
      </c>
      <c r="E16" t="s">
        <v>98</v>
      </c>
      <c r="F16" t="s">
        <v>98</v>
      </c>
      <c r="G16" t="s">
        <v>98</v>
      </c>
      <c r="H16" t="s">
        <v>98</v>
      </c>
      <c r="I16" t="s">
        <v>98</v>
      </c>
      <c r="J16" t="s">
        <v>98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</cols>
  <sheetData>
    <row r="1">
      <c r="A1" s="9" t="s">
        <v>744</v>
      </c>
    </row>
    <row r="3">
      <c r="A3" s="2" t="s">
        <v>36</v>
      </c>
      <c r="B3" s="2" t="s">
        <v>746</v>
      </c>
      <c r="C3" s="2" t="s">
        <v>747</v>
      </c>
      <c r="D3" s="2" t="s">
        <v>214</v>
      </c>
      <c r="E3" s="2" t="s">
        <v>42</v>
      </c>
      <c r="F3" s="2" t="s">
        <v>43</v>
      </c>
      <c r="G3" s="2" t="s">
        <v>140</v>
      </c>
      <c r="H3" s="2" t="s">
        <v>141</v>
      </c>
    </row>
    <row r="4">
      <c r="A4" s="3" t="s">
        <v>215</v>
      </c>
      <c r="B4" s="3" t="s">
        <v>98</v>
      </c>
      <c r="C4" s="3" t="s">
        <v>98</v>
      </c>
      <c r="D4" s="3" t="s">
        <v>98</v>
      </c>
      <c r="E4" s="3" t="s">
        <v>98</v>
      </c>
      <c r="F4" s="3" t="s">
        <v>98</v>
      </c>
      <c r="G4" s="3" t="s">
        <v>98</v>
      </c>
      <c r="H4" s="3" t="s">
        <v>98</v>
      </c>
    </row>
    <row r="5">
      <c r="A5" t="s">
        <v>216</v>
      </c>
      <c r="B5" t="s">
        <v>748</v>
      </c>
      <c r="C5" t="s">
        <v>749</v>
      </c>
      <c r="D5" t="s">
        <v>750</v>
      </c>
      <c r="E5" t="s">
        <v>752</v>
      </c>
      <c r="F5" t="s">
        <v>753</v>
      </c>
      <c r="G5" t="s">
        <v>98</v>
      </c>
      <c r="H5" t="s">
        <v>98</v>
      </c>
    </row>
    <row r="6">
      <c r="A6" t="s">
        <v>217</v>
      </c>
      <c r="B6" t="s">
        <v>754</v>
      </c>
      <c r="C6" t="s">
        <v>755</v>
      </c>
      <c r="D6" t="s">
        <v>756</v>
      </c>
      <c r="E6" t="s">
        <v>757</v>
      </c>
      <c r="F6" t="s">
        <v>756</v>
      </c>
      <c r="G6" t="s">
        <v>98</v>
      </c>
      <c r="H6" t="s">
        <v>98</v>
      </c>
    </row>
    <row r="7">
      <c r="A7" t="s">
        <v>218</v>
      </c>
      <c r="B7" t="s">
        <v>758</v>
      </c>
      <c r="C7" t="s">
        <v>759</v>
      </c>
      <c r="D7" t="s">
        <v>760</v>
      </c>
      <c r="E7" t="s">
        <v>761</v>
      </c>
      <c r="F7" t="s">
        <v>760</v>
      </c>
      <c r="G7" t="s">
        <v>98</v>
      </c>
      <c r="H7" t="s">
        <v>98</v>
      </c>
    </row>
    <row r="8">
      <c r="A8" t="s">
        <v>219</v>
      </c>
      <c r="B8" t="s">
        <v>762</v>
      </c>
      <c r="C8" t="s">
        <v>763</v>
      </c>
      <c r="D8" t="s">
        <v>764</v>
      </c>
      <c r="E8" t="s">
        <v>765</v>
      </c>
      <c r="F8" t="s">
        <v>764</v>
      </c>
      <c r="G8" t="s">
        <v>98</v>
      </c>
      <c r="H8" t="s">
        <v>98</v>
      </c>
    </row>
    <row r="9">
      <c r="A9" t="s">
        <v>220</v>
      </c>
      <c r="B9" t="s">
        <v>766</v>
      </c>
      <c r="C9" t="s">
        <v>767</v>
      </c>
      <c r="D9" t="s">
        <v>768</v>
      </c>
      <c r="E9" t="s">
        <v>769</v>
      </c>
      <c r="F9" t="s">
        <v>768</v>
      </c>
      <c r="G9" t="s">
        <v>98</v>
      </c>
      <c r="H9" t="s">
        <v>98</v>
      </c>
    </row>
    <row r="10">
      <c r="A10" t="s">
        <v>221</v>
      </c>
      <c r="B10" t="s">
        <v>77</v>
      </c>
      <c r="C10" t="s">
        <v>770</v>
      </c>
      <c r="D10" t="s">
        <v>771</v>
      </c>
      <c r="E10" t="s">
        <v>772</v>
      </c>
      <c r="F10" t="s">
        <v>771</v>
      </c>
      <c r="G10" t="s">
        <v>98</v>
      </c>
      <c r="H10" t="s">
        <v>98</v>
      </c>
    </row>
    <row r="11">
      <c r="A11" t="s">
        <v>222</v>
      </c>
      <c r="B11" t="s">
        <v>773</v>
      </c>
      <c r="C11" t="s">
        <v>774</v>
      </c>
      <c r="D11" t="s">
        <v>775</v>
      </c>
      <c r="E11" t="s">
        <v>776</v>
      </c>
      <c r="F11" t="s">
        <v>775</v>
      </c>
      <c r="G11" t="s">
        <v>98</v>
      </c>
      <c r="H11" t="s">
        <v>98</v>
      </c>
    </row>
    <row r="12">
      <c r="A12" t="s">
        <v>223</v>
      </c>
      <c r="B12" t="s">
        <v>777</v>
      </c>
      <c r="C12" t="s">
        <v>778</v>
      </c>
      <c r="D12" t="s">
        <v>779</v>
      </c>
      <c r="E12" t="s">
        <v>780</v>
      </c>
      <c r="F12" t="s">
        <v>779</v>
      </c>
      <c r="G12" t="s">
        <v>98</v>
      </c>
      <c r="H12" t="s">
        <v>98</v>
      </c>
    </row>
    <row r="13">
      <c r="A13" t="s">
        <v>224</v>
      </c>
      <c r="B13" t="s">
        <v>94</v>
      </c>
      <c r="C13" t="s">
        <v>95</v>
      </c>
      <c r="D13" t="s">
        <v>781</v>
      </c>
      <c r="E13" t="s">
        <v>98</v>
      </c>
      <c r="F13" t="s">
        <v>98</v>
      </c>
      <c r="G13" t="s">
        <v>98</v>
      </c>
      <c r="H13" t="s">
        <v>98</v>
      </c>
    </row>
    <row r="14">
      <c r="A14" t="s">
        <v>99</v>
      </c>
      <c r="B14" t="s">
        <v>783</v>
      </c>
      <c r="C14" t="s">
        <v>784</v>
      </c>
      <c r="D14" t="s">
        <v>785</v>
      </c>
      <c r="E14" t="s">
        <v>786</v>
      </c>
      <c r="F14" t="s">
        <v>787</v>
      </c>
      <c r="G14" t="s">
        <v>98</v>
      </c>
      <c r="H14" t="s">
        <v>98</v>
      </c>
    </row>
    <row r="15">
      <c r="A15" t="s">
        <v>106</v>
      </c>
      <c r="B15" t="s">
        <v>788</v>
      </c>
      <c r="C15" t="s">
        <v>789</v>
      </c>
      <c r="D15" t="s">
        <v>790</v>
      </c>
      <c r="E15" t="s">
        <v>791</v>
      </c>
      <c r="F15" t="s">
        <v>161</v>
      </c>
      <c r="G15" t="s">
        <v>98</v>
      </c>
      <c r="H15" t="s">
        <v>98</v>
      </c>
    </row>
    <row r="16">
      <c r="A16" t="s">
        <v>112</v>
      </c>
      <c r="B16" t="s">
        <v>792</v>
      </c>
      <c r="C16" t="s">
        <v>793</v>
      </c>
      <c r="D16" t="s">
        <v>227</v>
      </c>
      <c r="E16" t="s">
        <v>98</v>
      </c>
      <c r="F16" t="s">
        <v>98</v>
      </c>
      <c r="G16" t="s">
        <v>98</v>
      </c>
      <c r="H16" t="s">
        <v>98</v>
      </c>
    </row>
    <row r="17">
      <c r="A17" t="s">
        <v>116</v>
      </c>
      <c r="B17" t="s">
        <v>796</v>
      </c>
      <c r="C17" t="s">
        <v>797</v>
      </c>
      <c r="D17" t="s">
        <v>98</v>
      </c>
      <c r="E17" t="s">
        <v>98</v>
      </c>
      <c r="F17" t="s">
        <v>98</v>
      </c>
      <c r="G17" t="s">
        <v>98</v>
      </c>
      <c r="H17" t="s">
        <v>98</v>
      </c>
    </row>
    <row r="18">
      <c r="A18" t="s">
        <v>119</v>
      </c>
      <c r="B18" t="s">
        <v>798</v>
      </c>
      <c r="C18" t="s">
        <v>799</v>
      </c>
      <c r="D18" t="s">
        <v>98</v>
      </c>
      <c r="E18" t="s">
        <v>98</v>
      </c>
      <c r="F18" t="s">
        <v>98</v>
      </c>
      <c r="G18" t="s">
        <v>98</v>
      </c>
      <c r="H18" t="s">
        <v>98</v>
      </c>
    </row>
    <row r="19">
      <c r="A19" s="3" t="s">
        <v>122</v>
      </c>
      <c r="B19" s="3" t="s">
        <v>98</v>
      </c>
      <c r="C19" s="3" t="s">
        <v>98</v>
      </c>
      <c r="D19" s="3" t="s">
        <v>98</v>
      </c>
      <c r="E19" s="3" t="s">
        <v>98</v>
      </c>
      <c r="F19" s="3" t="s">
        <v>98</v>
      </c>
      <c r="G19" s="3" t="s">
        <v>98</v>
      </c>
      <c r="H19" s="3" t="s">
        <v>98</v>
      </c>
    </row>
    <row r="20">
      <c r="A20" t="s">
        <v>225</v>
      </c>
      <c r="B20" t="s">
        <v>801</v>
      </c>
      <c r="C20" t="s">
        <v>802</v>
      </c>
      <c r="D20" t="s">
        <v>102</v>
      </c>
      <c r="E20" t="s">
        <v>803</v>
      </c>
      <c r="F20" t="s">
        <v>102</v>
      </c>
      <c r="G20" t="s">
        <v>98</v>
      </c>
      <c r="H20" t="s">
        <v>98</v>
      </c>
    </row>
    <row r="21">
      <c r="A21" t="s">
        <v>226</v>
      </c>
      <c r="B21" t="s">
        <v>804</v>
      </c>
      <c r="C21" t="s">
        <v>805</v>
      </c>
      <c r="D21" t="s">
        <v>806</v>
      </c>
      <c r="E21" t="s">
        <v>807</v>
      </c>
      <c r="F21" t="s">
        <v>806</v>
      </c>
      <c r="G21" t="s">
        <v>98</v>
      </c>
      <c r="H21" t="s">
        <v>98</v>
      </c>
    </row>
    <row r="22">
      <c r="A22" t="s">
        <v>135</v>
      </c>
      <c r="B22" t="s">
        <v>808</v>
      </c>
      <c r="C22" t="s">
        <v>809</v>
      </c>
      <c r="D22" t="s">
        <v>227</v>
      </c>
      <c r="E22" t="s">
        <v>98</v>
      </c>
      <c r="F22" t="s">
        <v>98</v>
      </c>
      <c r="G22" t="s">
        <v>98</v>
      </c>
      <c r="H22" t="s">
        <v>98</v>
      </c>
    </row>
    <row r="23">
      <c r="A23" s="3" t="s">
        <v>228</v>
      </c>
      <c r="B23" s="3" t="s">
        <v>98</v>
      </c>
      <c r="C23" s="3" t="s">
        <v>98</v>
      </c>
      <c r="D23" s="3" t="s">
        <v>98</v>
      </c>
      <c r="E23" s="3" t="s">
        <v>98</v>
      </c>
      <c r="F23" s="3" t="s">
        <v>98</v>
      </c>
      <c r="G23" s="3" t="s">
        <v>98</v>
      </c>
      <c r="H23" s="3" t="s">
        <v>98</v>
      </c>
    </row>
    <row r="24">
      <c r="A24" t="s">
        <v>229</v>
      </c>
      <c r="B24" t="s">
        <v>810</v>
      </c>
      <c r="C24" t="s">
        <v>811</v>
      </c>
      <c r="D24" t="s">
        <v>697</v>
      </c>
      <c r="E24" t="s">
        <v>812</v>
      </c>
      <c r="F24" t="s">
        <v>697</v>
      </c>
      <c r="G24" t="s">
        <v>696</v>
      </c>
      <c r="H24" t="s">
        <v>697</v>
      </c>
    </row>
    <row r="25">
      <c r="A25" t="s">
        <v>230</v>
      </c>
      <c r="B25" t="s">
        <v>151</v>
      </c>
      <c r="C25" t="s">
        <v>813</v>
      </c>
      <c r="D25" t="s">
        <v>814</v>
      </c>
      <c r="E25" t="s">
        <v>815</v>
      </c>
      <c r="F25" t="s">
        <v>814</v>
      </c>
      <c r="G25" t="s">
        <v>699</v>
      </c>
      <c r="H25" t="s">
        <v>700</v>
      </c>
    </row>
    <row r="26">
      <c r="A26" t="s">
        <v>231</v>
      </c>
      <c r="B26" t="s">
        <v>816</v>
      </c>
      <c r="C26" t="s">
        <v>817</v>
      </c>
      <c r="D26" t="s">
        <v>818</v>
      </c>
      <c r="E26" t="s">
        <v>819</v>
      </c>
      <c r="F26" t="s">
        <v>818</v>
      </c>
      <c r="G26" t="s">
        <v>701</v>
      </c>
      <c r="H26" t="s">
        <v>702</v>
      </c>
    </row>
    <row r="27">
      <c r="A27" t="s">
        <v>232</v>
      </c>
      <c r="B27" t="s">
        <v>820</v>
      </c>
      <c r="C27" t="s">
        <v>821</v>
      </c>
      <c r="D27" t="s">
        <v>47</v>
      </c>
      <c r="E27" t="s">
        <v>822</v>
      </c>
      <c r="F27" t="s">
        <v>47</v>
      </c>
      <c r="G27" t="s">
        <v>703</v>
      </c>
      <c r="H27" t="s">
        <v>47</v>
      </c>
    </row>
    <row r="28">
      <c r="A28" t="s">
        <v>233</v>
      </c>
      <c r="B28" t="s">
        <v>172</v>
      </c>
      <c r="C28" t="s">
        <v>770</v>
      </c>
      <c r="D28" t="s">
        <v>823</v>
      </c>
      <c r="E28" t="s">
        <v>824</v>
      </c>
      <c r="F28" t="s">
        <v>823</v>
      </c>
      <c r="G28" t="s">
        <v>176</v>
      </c>
      <c r="H28" t="s">
        <v>704</v>
      </c>
    </row>
    <row r="29">
      <c r="A29" t="s">
        <v>234</v>
      </c>
      <c r="B29" t="s">
        <v>179</v>
      </c>
      <c r="C29" t="s">
        <v>179</v>
      </c>
      <c r="D29" t="s">
        <v>825</v>
      </c>
      <c r="E29" t="s">
        <v>98</v>
      </c>
      <c r="F29" t="s">
        <v>98</v>
      </c>
      <c r="G29" t="s">
        <v>98</v>
      </c>
      <c r="H29" t="s">
        <v>98</v>
      </c>
    </row>
    <row r="30">
      <c r="A30" t="s">
        <v>235</v>
      </c>
      <c r="B30" t="s">
        <v>826</v>
      </c>
      <c r="C30" t="s">
        <v>827</v>
      </c>
      <c r="D30" t="s">
        <v>828</v>
      </c>
      <c r="E30" t="s">
        <v>98</v>
      </c>
      <c r="F30" t="s">
        <v>98</v>
      </c>
      <c r="G30" t="s">
        <v>98</v>
      </c>
      <c r="H30" t="s">
        <v>98</v>
      </c>
    </row>
    <row r="31">
      <c r="A31" t="s">
        <v>236</v>
      </c>
      <c r="B31" t="s">
        <v>829</v>
      </c>
      <c r="C31" t="s">
        <v>830</v>
      </c>
      <c r="D31" t="s">
        <v>831</v>
      </c>
      <c r="E31" t="s">
        <v>832</v>
      </c>
      <c r="F31" t="s">
        <v>831</v>
      </c>
      <c r="G31" t="s">
        <v>705</v>
      </c>
      <c r="H31" t="s">
        <v>706</v>
      </c>
    </row>
    <row r="32">
      <c r="A32" t="s">
        <v>237</v>
      </c>
      <c r="B32" t="s">
        <v>833</v>
      </c>
      <c r="C32" t="s">
        <v>834</v>
      </c>
      <c r="D32" t="s">
        <v>835</v>
      </c>
      <c r="E32" t="s">
        <v>836</v>
      </c>
      <c r="F32" t="s">
        <v>835</v>
      </c>
      <c r="G32" t="s">
        <v>709</v>
      </c>
      <c r="H32" t="s">
        <v>710</v>
      </c>
    </row>
    <row r="33">
      <c r="A33" t="s">
        <v>238</v>
      </c>
      <c r="B33" t="s">
        <v>837</v>
      </c>
      <c r="C33" t="s">
        <v>838</v>
      </c>
      <c r="D33" t="s">
        <v>227</v>
      </c>
      <c r="E33" t="s">
        <v>98</v>
      </c>
      <c r="F33" t="s">
        <v>98</v>
      </c>
      <c r="G33" t="s">
        <v>98</v>
      </c>
      <c r="H33" t="s">
        <v>98</v>
      </c>
    </row>
    <row r="34">
      <c r="A34" t="s">
        <v>239</v>
      </c>
      <c r="B34" t="s">
        <v>839</v>
      </c>
      <c r="C34" t="s">
        <v>838</v>
      </c>
      <c r="D34" t="s">
        <v>98</v>
      </c>
      <c r="E34" t="s">
        <v>98</v>
      </c>
      <c r="F34" t="s">
        <v>98</v>
      </c>
      <c r="G34" t="s">
        <v>98</v>
      </c>
      <c r="H34" t="s">
        <v>98</v>
      </c>
    </row>
    <row r="35">
      <c r="A35" t="s">
        <v>240</v>
      </c>
      <c r="B35" t="s">
        <v>839</v>
      </c>
      <c r="C35" t="s">
        <v>840</v>
      </c>
      <c r="D35" t="s">
        <v>98</v>
      </c>
      <c r="E35" t="s">
        <v>98</v>
      </c>
      <c r="F35" t="s">
        <v>98</v>
      </c>
      <c r="G35" t="s">
        <v>98</v>
      </c>
      <c r="H35" t="s">
        <v>98</v>
      </c>
    </row>
    <row r="36">
      <c r="A36" t="s">
        <v>241</v>
      </c>
      <c r="B36" t="s">
        <v>841</v>
      </c>
      <c r="C36" t="s">
        <v>842</v>
      </c>
      <c r="D36" t="s">
        <v>98</v>
      </c>
      <c r="E36" t="s">
        <v>98</v>
      </c>
      <c r="F36" t="s">
        <v>98</v>
      </c>
      <c r="G36" t="s">
        <v>98</v>
      </c>
      <c r="H36" t="s">
        <v>98</v>
      </c>
    </row>
    <row r="38">
      <c r="A38" t="s">
        <v>242</v>
      </c>
    </row>
    <row r="39">
      <c r="A39" t="s">
        <v>843</v>
      </c>
    </row>
    <row r="40">
      <c r="A40" t="s">
        <v>243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29</v>
      </c>
      <c r="B1" s="4" t="s">
        <v>244</v>
      </c>
      <c r="C1" s="4" t="s">
        <v>245</v>
      </c>
      <c r="D1" s="4" t="s">
        <v>246</v>
      </c>
      <c r="E1" s="5" t="s">
        <v>247</v>
      </c>
      <c r="F1" s="5" t="s">
        <v>248</v>
      </c>
      <c r="G1" s="5" t="s">
        <v>249</v>
      </c>
      <c r="H1" s="5" t="s">
        <v>250</v>
      </c>
      <c r="I1" s="5" t="s">
        <v>76</v>
      </c>
      <c r="J1" s="6" t="s">
        <v>251</v>
      </c>
      <c r="K1" s="6" t="s">
        <v>252</v>
      </c>
      <c r="L1" s="6" t="s">
        <v>253</v>
      </c>
      <c r="M1" s="6" t="s">
        <v>254</v>
      </c>
      <c r="N1" s="7" t="s">
        <v>255</v>
      </c>
      <c r="O1" s="7" t="s">
        <v>256</v>
      </c>
      <c r="P1" s="7" t="s">
        <v>257</v>
      </c>
      <c r="Q1" s="7" t="s">
        <v>258</v>
      </c>
      <c r="R1" s="7" t="s">
        <v>171</v>
      </c>
      <c r="S1" s="7" t="s">
        <v>166</v>
      </c>
      <c r="T1" s="8" t="s">
        <v>259</v>
      </c>
    </row>
    <row r="2">
      <c r="A2" t="s">
        <v>30</v>
      </c>
      <c r="B2" t="n">
        <v>0.97</v>
      </c>
      <c r="C2" t="n">
        <v>0.78</v>
      </c>
      <c r="D2" t="n">
        <v>0.93</v>
      </c>
      <c r="E2" t="n">
        <v>-3.75</v>
      </c>
      <c r="F2" t="n">
        <v>-2.25</v>
      </c>
      <c r="G2" t="n">
        <v>35</v>
      </c>
      <c r="H2" t="n">
        <v>12</v>
      </c>
      <c r="I2" t="s">
        <v>260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0</v>
      </c>
      <c r="P2" t="n">
        <v>40</v>
      </c>
      <c r="Q2" t="n">
        <v>12</v>
      </c>
      <c r="R2" t="s">
        <v>261</v>
      </c>
      <c r="S2" t="s">
        <v>262</v>
      </c>
      <c r="T2" t="n">
        <v>0</v>
      </c>
    </row>
    <row r="3">
      <c r="A3" t="s">
        <v>30</v>
      </c>
      <c r="B3" t="n">
        <v>0.83</v>
      </c>
      <c r="C3" t="n">
        <v>0.7</v>
      </c>
      <c r="D3" t="n">
        <v>0.8</v>
      </c>
      <c r="E3" t="n">
        <v>-7</v>
      </c>
      <c r="F3" t="n">
        <v>0</v>
      </c>
      <c r="G3" t="n">
        <v>8</v>
      </c>
      <c r="H3" t="n">
        <v>12</v>
      </c>
      <c r="I3" t="s">
        <v>265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-0.25</v>
      </c>
      <c r="P3" t="n">
        <v>75</v>
      </c>
      <c r="Q3" t="n">
        <v>12</v>
      </c>
      <c r="R3" t="s">
        <v>262</v>
      </c>
      <c r="S3" t="s">
        <v>266</v>
      </c>
      <c r="T3" t="n">
        <v>-0.25</v>
      </c>
    </row>
    <row r="4">
      <c r="A4" t="s">
        <v>30</v>
      </c>
      <c r="B4" t="n">
        <v>1.11</v>
      </c>
      <c r="C4" t="n">
        <v>1.14</v>
      </c>
      <c r="D4" t="n">
        <v>1.08</v>
      </c>
      <c r="E4" t="n">
        <v>-4.25</v>
      </c>
      <c r="F4" t="n">
        <v>-2.5</v>
      </c>
      <c r="G4" t="n">
        <v>3</v>
      </c>
      <c r="H4" t="n">
        <v>12</v>
      </c>
      <c r="I4" t="s">
        <v>268</v>
      </c>
      <c r="J4" t="n">
        <v>0</v>
      </c>
      <c r="K4" t="n">
        <v>0</v>
      </c>
      <c r="L4" t="n">
        <v>0</v>
      </c>
      <c r="M4" t="n">
        <v>12</v>
      </c>
      <c r="N4" t="n">
        <v>0</v>
      </c>
      <c r="O4" t="n">
        <v>0</v>
      </c>
      <c r="P4" t="n">
        <v>9</v>
      </c>
      <c r="Q4" t="n">
        <v>12</v>
      </c>
      <c r="R4" t="s">
        <v>268</v>
      </c>
      <c r="S4" t="s">
        <v>263</v>
      </c>
      <c r="T4" t="n">
        <v>0</v>
      </c>
    </row>
    <row r="5">
      <c r="A5" t="s">
        <v>30</v>
      </c>
      <c r="B5" t="n">
        <v>1.1</v>
      </c>
      <c r="C5" t="n">
        <v>1.09</v>
      </c>
      <c r="D5" t="n">
        <v>1.12</v>
      </c>
      <c r="E5" t="n">
        <v>-5.25</v>
      </c>
      <c r="F5" t="n">
        <v>-0.5</v>
      </c>
      <c r="G5" t="n">
        <v>13</v>
      </c>
      <c r="H5" t="n">
        <v>12</v>
      </c>
      <c r="I5" t="s">
        <v>268</v>
      </c>
      <c r="J5" t="n">
        <v>0</v>
      </c>
      <c r="K5" t="n">
        <v>0</v>
      </c>
      <c r="L5" t="n">
        <v>0</v>
      </c>
      <c r="M5" t="n">
        <v>12</v>
      </c>
      <c r="N5" t="n">
        <v>0</v>
      </c>
      <c r="O5" t="n">
        <v>-0.25</v>
      </c>
      <c r="P5" t="n">
        <v>173</v>
      </c>
      <c r="Q5" t="n">
        <v>12</v>
      </c>
      <c r="R5" t="s">
        <v>268</v>
      </c>
      <c r="S5" t="s">
        <v>268</v>
      </c>
      <c r="T5" t="n">
        <v>0</v>
      </c>
    </row>
    <row r="6">
      <c r="A6" t="s">
        <v>30</v>
      </c>
      <c r="B6" t="n">
        <v>0.89</v>
      </c>
      <c r="C6" t="n">
        <v>0.81</v>
      </c>
      <c r="D6" t="n">
        <v>0.85</v>
      </c>
      <c r="E6" t="n">
        <v>-2.5</v>
      </c>
      <c r="F6" t="n">
        <v>0</v>
      </c>
      <c r="G6" t="n">
        <v>1</v>
      </c>
      <c r="H6" t="n">
        <v>12</v>
      </c>
      <c r="I6" t="s">
        <v>269</v>
      </c>
      <c r="J6" t="n">
        <v>0</v>
      </c>
      <c r="K6" t="n">
        <v>0</v>
      </c>
      <c r="L6" t="n">
        <v>0</v>
      </c>
      <c r="M6" t="n">
        <v>12</v>
      </c>
      <c r="N6" t="n">
        <v>0.5</v>
      </c>
      <c r="O6" t="n">
        <v>-0.5</v>
      </c>
      <c r="P6" t="n">
        <v>23</v>
      </c>
      <c r="Q6" t="n">
        <v>12</v>
      </c>
      <c r="R6" t="s">
        <v>265</v>
      </c>
      <c r="S6" t="s">
        <v>262</v>
      </c>
      <c r="T6" t="n">
        <v>0.25</v>
      </c>
    </row>
    <row r="7">
      <c r="A7" t="s">
        <v>30</v>
      </c>
      <c r="B7" t="n">
        <v>1.12</v>
      </c>
      <c r="C7" t="n">
        <v>1.15</v>
      </c>
      <c r="D7" t="n">
        <v>1.17</v>
      </c>
      <c r="E7" t="n">
        <v>-0.75</v>
      </c>
      <c r="F7" t="n">
        <v>0</v>
      </c>
      <c r="G7" t="n">
        <v>163</v>
      </c>
      <c r="H7" t="n">
        <v>12</v>
      </c>
      <c r="I7" t="s">
        <v>268</v>
      </c>
      <c r="J7" t="n">
        <v>0</v>
      </c>
      <c r="K7" t="n">
        <v>0</v>
      </c>
      <c r="L7" t="n">
        <v>0</v>
      </c>
      <c r="M7" t="n">
        <v>12</v>
      </c>
      <c r="N7" t="n">
        <v>0</v>
      </c>
      <c r="O7" t="n">
        <v>-0.25</v>
      </c>
      <c r="P7" t="n">
        <v>149</v>
      </c>
      <c r="Q7" t="n">
        <v>12</v>
      </c>
      <c r="R7" t="s">
        <v>263</v>
      </c>
      <c r="S7" t="s">
        <v>263</v>
      </c>
      <c r="T7" t="n">
        <v>0</v>
      </c>
    </row>
    <row r="8">
      <c r="A8" t="s">
        <v>30</v>
      </c>
      <c r="B8" t="n">
        <v>1.03</v>
      </c>
      <c r="C8" t="n">
        <v>0.93</v>
      </c>
      <c r="D8" t="n">
        <v>1.03</v>
      </c>
      <c r="E8" t="n">
        <v>-7.25</v>
      </c>
      <c r="F8" t="n">
        <v>-0.5</v>
      </c>
      <c r="G8" t="n">
        <v>180</v>
      </c>
      <c r="H8" t="n">
        <v>12</v>
      </c>
      <c r="I8" t="s">
        <v>267</v>
      </c>
      <c r="J8" t="n">
        <v>0</v>
      </c>
      <c r="K8" t="n">
        <v>0</v>
      </c>
      <c r="L8" t="n">
        <v>0</v>
      </c>
      <c r="M8" t="n">
        <v>12</v>
      </c>
      <c r="N8" t="n">
        <v>0.5</v>
      </c>
      <c r="O8" t="n">
        <v>-0.5</v>
      </c>
      <c r="P8" t="n">
        <v>16</v>
      </c>
      <c r="Q8" t="n">
        <v>12</v>
      </c>
      <c r="R8" t="s">
        <v>267</v>
      </c>
      <c r="S8" t="s">
        <v>261</v>
      </c>
      <c r="T8" t="n">
        <v>0.25</v>
      </c>
    </row>
    <row r="9">
      <c r="A9" t="s">
        <v>30</v>
      </c>
      <c r="B9" t="n">
        <v>1.13</v>
      </c>
      <c r="C9" t="n">
        <v>0.9</v>
      </c>
      <c r="D9" t="n">
        <v>1.12</v>
      </c>
      <c r="E9" t="n">
        <v>-2</v>
      </c>
      <c r="F9" t="n">
        <v>-0.75</v>
      </c>
      <c r="G9" t="n">
        <v>85</v>
      </c>
      <c r="H9" t="n">
        <v>12</v>
      </c>
      <c r="I9" t="s">
        <v>263</v>
      </c>
      <c r="J9" t="n">
        <v>0</v>
      </c>
      <c r="K9" t="n">
        <v>0</v>
      </c>
      <c r="L9" t="n">
        <v>0</v>
      </c>
      <c r="M9" t="n">
        <v>12</v>
      </c>
      <c r="N9" t="n">
        <v>0.5</v>
      </c>
      <c r="O9" t="n">
        <v>0</v>
      </c>
      <c r="P9" t="n">
        <v>137</v>
      </c>
      <c r="Q9" t="n">
        <v>12</v>
      </c>
      <c r="R9" t="s">
        <v>268</v>
      </c>
      <c r="S9" t="s">
        <v>261</v>
      </c>
      <c r="T9" t="n">
        <v>0.5</v>
      </c>
    </row>
    <row r="10">
      <c r="A10" t="s">
        <v>30</v>
      </c>
      <c r="B10" t="n">
        <v>0.98</v>
      </c>
      <c r="C10" t="n">
        <v>0.86</v>
      </c>
      <c r="D10" t="n">
        <v>0.95</v>
      </c>
      <c r="E10" t="n">
        <v>-7.25</v>
      </c>
      <c r="F10" t="n">
        <v>-0.75</v>
      </c>
      <c r="G10" t="n">
        <v>14</v>
      </c>
      <c r="H10" t="n">
        <v>12</v>
      </c>
      <c r="I10" t="s">
        <v>264</v>
      </c>
      <c r="J10" t="n">
        <v>0</v>
      </c>
      <c r="K10" t="n">
        <v>0</v>
      </c>
      <c r="L10" t="n">
        <v>0</v>
      </c>
      <c r="M10" t="n">
        <v>12</v>
      </c>
      <c r="N10" t="n">
        <v>0</v>
      </c>
      <c r="O10" t="n">
        <v>-0.5</v>
      </c>
      <c r="P10" t="n">
        <v>167</v>
      </c>
      <c r="Q10" t="n">
        <v>12</v>
      </c>
      <c r="R10" t="s">
        <v>260</v>
      </c>
      <c r="S10" t="s">
        <v>269</v>
      </c>
      <c r="T10" t="n">
        <v>-0.25</v>
      </c>
    </row>
    <row r="11">
      <c r="A11" t="s">
        <v>30</v>
      </c>
      <c r="B11" t="n">
        <v>0.88</v>
      </c>
      <c r="C11" t="n">
        <v>0.83</v>
      </c>
      <c r="D11" t="n">
        <v>0.82</v>
      </c>
      <c r="E11" t="n">
        <v>-4.5</v>
      </c>
      <c r="F11" t="n">
        <v>-1.25</v>
      </c>
      <c r="G11" t="n">
        <v>75</v>
      </c>
      <c r="H11" t="n">
        <v>12</v>
      </c>
      <c r="I11" t="s">
        <v>269</v>
      </c>
      <c r="J11" t="n">
        <v>0</v>
      </c>
      <c r="K11" t="n">
        <v>0</v>
      </c>
      <c r="L11" t="n">
        <v>0</v>
      </c>
      <c r="M11" t="n">
        <v>12</v>
      </c>
      <c r="N11" t="n">
        <v>0.25</v>
      </c>
      <c r="O11" t="n">
        <v>-0.5</v>
      </c>
      <c r="P11" t="n">
        <v>50</v>
      </c>
      <c r="Q11" t="n">
        <v>12</v>
      </c>
      <c r="R11" t="s">
        <v>265</v>
      </c>
      <c r="S11" t="s">
        <v>265</v>
      </c>
      <c r="T11" t="n">
        <v>0</v>
      </c>
    </row>
    <row r="12">
      <c r="A12" t="s">
        <v>30</v>
      </c>
      <c r="B12" t="n">
        <v>1.02</v>
      </c>
      <c r="C12" t="n">
        <v>0.96</v>
      </c>
      <c r="D12" t="n">
        <v>0.96</v>
      </c>
      <c r="E12" t="n">
        <v>-4.25</v>
      </c>
      <c r="F12" t="n">
        <v>-0.5</v>
      </c>
      <c r="G12" t="n">
        <v>76</v>
      </c>
      <c r="H12" t="n">
        <v>12</v>
      </c>
      <c r="I12" t="s">
        <v>264</v>
      </c>
      <c r="J12" t="n">
        <v>0</v>
      </c>
      <c r="K12" t="n">
        <v>0</v>
      </c>
      <c r="L12" t="n">
        <v>0</v>
      </c>
      <c r="M12" t="n">
        <v>12</v>
      </c>
      <c r="N12" t="n">
        <v>0</v>
      </c>
      <c r="O12" t="n">
        <v>-0.25</v>
      </c>
      <c r="P12" t="n">
        <v>62</v>
      </c>
      <c r="Q12" t="n">
        <v>12</v>
      </c>
      <c r="R12" t="s">
        <v>260</v>
      </c>
      <c r="S12" t="s">
        <v>260</v>
      </c>
      <c r="T12" t="n">
        <v>0</v>
      </c>
    </row>
    <row r="13">
      <c r="A13" t="s">
        <v>30</v>
      </c>
      <c r="B13" t="n">
        <v>0.92</v>
      </c>
      <c r="C13" t="n">
        <v>0.75</v>
      </c>
      <c r="D13" t="n">
        <v>0.93</v>
      </c>
      <c r="E13" t="n">
        <v>-8.25</v>
      </c>
      <c r="F13" t="n">
        <v>-0.75</v>
      </c>
      <c r="G13" t="n">
        <v>172</v>
      </c>
      <c r="H13" t="n">
        <v>12</v>
      </c>
      <c r="I13" t="s">
        <v>261</v>
      </c>
      <c r="J13" t="n">
        <v>0</v>
      </c>
      <c r="K13" t="n">
        <v>0</v>
      </c>
      <c r="L13" t="n">
        <v>0</v>
      </c>
      <c r="M13" t="n">
        <v>12</v>
      </c>
      <c r="N13" t="n">
        <v>-0.5</v>
      </c>
      <c r="O13" t="n">
        <v>-0.25</v>
      </c>
      <c r="P13" t="n">
        <v>171</v>
      </c>
      <c r="Q13" t="n">
        <v>12</v>
      </c>
      <c r="R13" t="s">
        <v>261</v>
      </c>
      <c r="S13" t="s">
        <v>271</v>
      </c>
      <c r="T13" t="n">
        <v>-0.5</v>
      </c>
    </row>
    <row r="14">
      <c r="A14" t="s">
        <v>30</v>
      </c>
      <c r="B14" t="n">
        <v>0.99</v>
      </c>
      <c r="C14" t="n">
        <v>0.96</v>
      </c>
      <c r="D14" t="n">
        <v>1.01</v>
      </c>
      <c r="E14" t="n">
        <v>-5</v>
      </c>
      <c r="F14" t="n">
        <v>-0.25</v>
      </c>
      <c r="G14" t="n">
        <v>161</v>
      </c>
      <c r="H14" t="n">
        <v>12</v>
      </c>
      <c r="I14" t="s">
        <v>264</v>
      </c>
      <c r="J14" t="n">
        <v>0</v>
      </c>
      <c r="K14" t="n">
        <v>0</v>
      </c>
      <c r="L14" t="n">
        <v>0</v>
      </c>
      <c r="M14" t="n">
        <v>12</v>
      </c>
      <c r="N14" t="n">
        <v>0</v>
      </c>
      <c r="O14" t="n">
        <v>0</v>
      </c>
      <c r="P14" t="n">
        <v>80</v>
      </c>
      <c r="Q14" t="n">
        <v>12</v>
      </c>
      <c r="R14" t="s">
        <v>264</v>
      </c>
      <c r="S14" t="s">
        <v>260</v>
      </c>
      <c r="T14" t="n">
        <v>0</v>
      </c>
    </row>
    <row r="15">
      <c r="A15" t="s">
        <v>30</v>
      </c>
      <c r="B15" t="n">
        <v>1.04</v>
      </c>
      <c r="C15" t="n">
        <v>1.09</v>
      </c>
      <c r="D15" t="n">
        <v>1.03</v>
      </c>
      <c r="E15" t="n">
        <v>-3.25</v>
      </c>
      <c r="F15" t="n">
        <v>-0.5</v>
      </c>
      <c r="G15" t="n">
        <v>82</v>
      </c>
      <c r="H15" t="n">
        <v>12</v>
      </c>
      <c r="I15" t="s">
        <v>267</v>
      </c>
      <c r="J15" t="n">
        <v>0</v>
      </c>
      <c r="K15" t="n">
        <v>0</v>
      </c>
      <c r="L15" t="n">
        <v>0</v>
      </c>
      <c r="M15" t="n">
        <v>12</v>
      </c>
      <c r="N15" t="n">
        <v>0.5</v>
      </c>
      <c r="O15" t="n">
        <v>-0.5</v>
      </c>
      <c r="P15" t="n">
        <v>86</v>
      </c>
      <c r="Q15" t="n">
        <v>12</v>
      </c>
      <c r="R15" t="s">
        <v>267</v>
      </c>
      <c r="S15" t="s">
        <v>268</v>
      </c>
      <c r="T15" t="n">
        <v>0.25</v>
      </c>
    </row>
    <row r="16">
      <c r="A16" t="s">
        <v>30</v>
      </c>
      <c r="B16" t="n">
        <v>1.04</v>
      </c>
      <c r="C16" t="n">
        <v>1.1</v>
      </c>
      <c r="D16" t="n">
        <v>1.06</v>
      </c>
      <c r="E16" t="n">
        <v>-1.25</v>
      </c>
      <c r="F16" t="n">
        <v>-1</v>
      </c>
      <c r="G16" t="n">
        <v>180</v>
      </c>
      <c r="H16" t="n">
        <v>12</v>
      </c>
      <c r="I16" t="s">
        <v>267</v>
      </c>
      <c r="J16" t="n">
        <v>0</v>
      </c>
      <c r="K16" t="n">
        <v>0</v>
      </c>
      <c r="L16" t="n">
        <v>0</v>
      </c>
      <c r="M16" t="n">
        <v>12</v>
      </c>
      <c r="N16" t="n">
        <v>-0.5</v>
      </c>
      <c r="O16" t="n">
        <v>0</v>
      </c>
      <c r="P16" t="n">
        <v>178</v>
      </c>
      <c r="Q16" t="n">
        <v>12</v>
      </c>
      <c r="R16" t="s">
        <v>267</v>
      </c>
      <c r="S16" t="s">
        <v>268</v>
      </c>
      <c r="T16" t="n">
        <v>-0.5</v>
      </c>
    </row>
    <row r="17">
      <c r="A17" t="s">
        <v>30</v>
      </c>
      <c r="B17" t="n">
        <v>1.13</v>
      </c>
      <c r="C17" t="n">
        <v>1.05</v>
      </c>
      <c r="D17" t="n">
        <v>1.14</v>
      </c>
      <c r="E17" t="n">
        <v>-6</v>
      </c>
      <c r="F17" t="n">
        <v>-0.5</v>
      </c>
      <c r="G17" t="n">
        <v>86</v>
      </c>
      <c r="H17" t="n">
        <v>12</v>
      </c>
      <c r="I17" t="s">
        <v>263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106</v>
      </c>
      <c r="Q17" t="n">
        <v>12</v>
      </c>
      <c r="R17" t="s">
        <v>263</v>
      </c>
      <c r="S17" t="s">
        <v>267</v>
      </c>
      <c r="T17" t="n">
        <v>-0.25</v>
      </c>
    </row>
    <row r="18">
      <c r="A18" t="s">
        <v>30</v>
      </c>
      <c r="B18" t="n">
        <v>0.86</v>
      </c>
      <c r="C18" t="n">
        <v>0.83</v>
      </c>
      <c r="D18" t="n">
        <v>0.84</v>
      </c>
      <c r="E18" t="n">
        <v>-3.75</v>
      </c>
      <c r="F18" t="n">
        <v>-1.25</v>
      </c>
      <c r="G18" t="n">
        <v>23</v>
      </c>
      <c r="H18" t="n">
        <v>12</v>
      </c>
      <c r="I18" t="s">
        <v>269</v>
      </c>
      <c r="J18" t="n">
        <v>0</v>
      </c>
      <c r="K18" t="n">
        <v>0</v>
      </c>
      <c r="L18" t="n">
        <v>0</v>
      </c>
      <c r="M18" t="n">
        <v>12</v>
      </c>
      <c r="N18" t="n">
        <v>0.5</v>
      </c>
      <c r="O18" t="n">
        <v>-0.75</v>
      </c>
      <c r="P18" t="n">
        <v>166</v>
      </c>
      <c r="Q18" t="n">
        <v>12</v>
      </c>
      <c r="R18" t="s">
        <v>265</v>
      </c>
      <c r="S18" t="s">
        <v>265</v>
      </c>
      <c r="T18" t="n">
        <v>0</v>
      </c>
    </row>
    <row r="19">
      <c r="A19" t="s">
        <v>30</v>
      </c>
      <c r="B19" t="n">
        <v>0.99</v>
      </c>
      <c r="C19" t="n">
        <v>0.82</v>
      </c>
      <c r="D19" t="n">
        <v>0.97</v>
      </c>
      <c r="E19" t="n">
        <v>-4.75</v>
      </c>
      <c r="F19" t="n">
        <v>0</v>
      </c>
      <c r="G19" t="n">
        <v>5</v>
      </c>
      <c r="H19" t="n">
        <v>12</v>
      </c>
      <c r="I19" t="s">
        <v>264</v>
      </c>
      <c r="J19" t="n">
        <v>0</v>
      </c>
      <c r="K19" t="n">
        <v>0</v>
      </c>
      <c r="L19" t="n">
        <v>0</v>
      </c>
      <c r="M19" t="n">
        <v>12</v>
      </c>
      <c r="N19" t="n">
        <v>0.5</v>
      </c>
      <c r="O19" t="n">
        <v>0</v>
      </c>
      <c r="P19" t="n">
        <v>177</v>
      </c>
      <c r="Q19" t="n">
        <v>12</v>
      </c>
      <c r="R19" t="s">
        <v>260</v>
      </c>
      <c r="S19" t="s">
        <v>265</v>
      </c>
      <c r="T19" t="n">
        <v>0.5</v>
      </c>
    </row>
    <row r="20">
      <c r="A20" t="s">
        <v>30</v>
      </c>
      <c r="B20" t="n">
        <v>0.96</v>
      </c>
      <c r="C20" t="n">
        <v>0.98</v>
      </c>
      <c r="D20" t="n">
        <v>0.97</v>
      </c>
      <c r="E20" t="n">
        <v>-6.25</v>
      </c>
      <c r="F20" t="n">
        <v>-0.25</v>
      </c>
      <c r="G20" t="n">
        <v>67</v>
      </c>
      <c r="H20" t="n">
        <v>12</v>
      </c>
      <c r="I20" t="s">
        <v>260</v>
      </c>
      <c r="J20" t="n">
        <v>0</v>
      </c>
      <c r="K20" t="n">
        <v>0</v>
      </c>
      <c r="L20" t="n">
        <v>0</v>
      </c>
      <c r="M20" t="n">
        <v>12</v>
      </c>
      <c r="N20" t="n">
        <v>0.5</v>
      </c>
      <c r="O20" t="n">
        <v>-0.25</v>
      </c>
      <c r="P20" t="n">
        <v>8</v>
      </c>
      <c r="Q20" t="n">
        <v>12</v>
      </c>
      <c r="R20" t="s">
        <v>260</v>
      </c>
      <c r="S20" t="s">
        <v>264</v>
      </c>
      <c r="T20" t="n">
        <v>0.5</v>
      </c>
    </row>
    <row r="21">
      <c r="A21" t="s">
        <v>30</v>
      </c>
      <c r="B21" t="n">
        <v>0.99</v>
      </c>
      <c r="C21" t="n">
        <v>1.01</v>
      </c>
      <c r="D21" t="n">
        <v>1</v>
      </c>
      <c r="E21" t="n">
        <v>-4</v>
      </c>
      <c r="F21" t="n">
        <v>-0.25</v>
      </c>
      <c r="G21" t="n">
        <v>89</v>
      </c>
      <c r="H21" t="n">
        <v>12</v>
      </c>
      <c r="I21" t="s">
        <v>264</v>
      </c>
      <c r="J21" t="n">
        <v>0</v>
      </c>
      <c r="K21" t="n">
        <v>0</v>
      </c>
      <c r="L21" t="n">
        <v>0</v>
      </c>
      <c r="M21" t="n">
        <v>12</v>
      </c>
      <c r="N21" t="n">
        <v>0</v>
      </c>
      <c r="O21" t="n">
        <v>-0.25</v>
      </c>
      <c r="P21" t="n">
        <v>106</v>
      </c>
      <c r="Q21" t="n">
        <v>12</v>
      </c>
      <c r="R21" t="s">
        <v>264</v>
      </c>
      <c r="S21" t="s">
        <v>264</v>
      </c>
      <c r="T21" t="n">
        <v>0</v>
      </c>
    </row>
    <row r="22">
      <c r="A22" t="s">
        <v>30</v>
      </c>
      <c r="B22" t="n">
        <v>0.98</v>
      </c>
      <c r="C22" t="n">
        <v>0.98</v>
      </c>
      <c r="D22" t="n">
        <v>0.97</v>
      </c>
      <c r="E22" t="n">
        <v>-6.25</v>
      </c>
      <c r="F22" t="n">
        <v>-0.25</v>
      </c>
      <c r="G22" t="n">
        <v>40</v>
      </c>
      <c r="H22" t="n">
        <v>12</v>
      </c>
      <c r="I22" t="s">
        <v>264</v>
      </c>
      <c r="J22" t="n">
        <v>0</v>
      </c>
      <c r="K22" t="n">
        <v>0</v>
      </c>
      <c r="L22" t="n">
        <v>0</v>
      </c>
      <c r="M22" t="n">
        <v>12</v>
      </c>
      <c r="N22" t="n">
        <v>0.25</v>
      </c>
      <c r="O22" t="n">
        <v>0</v>
      </c>
      <c r="P22" t="n">
        <v>139</v>
      </c>
      <c r="Q22" t="n">
        <v>12</v>
      </c>
      <c r="R22" t="s">
        <v>260</v>
      </c>
      <c r="S22" t="s">
        <v>264</v>
      </c>
      <c r="T22" t="n">
        <v>0.25</v>
      </c>
    </row>
    <row r="23">
      <c r="A23" t="s">
        <v>30</v>
      </c>
      <c r="B23" t="n">
        <v>1.02</v>
      </c>
      <c r="C23" t="n">
        <v>0.94</v>
      </c>
      <c r="D23" t="n">
        <v>1.03</v>
      </c>
      <c r="E23" t="n">
        <v>-6.5</v>
      </c>
      <c r="F23" t="n">
        <v>-0.25</v>
      </c>
      <c r="G23" t="n">
        <v>87</v>
      </c>
      <c r="H23" t="n">
        <v>12</v>
      </c>
      <c r="I23" t="s">
        <v>264</v>
      </c>
      <c r="J23" t="n">
        <v>0</v>
      </c>
      <c r="K23" t="n">
        <v>0</v>
      </c>
      <c r="L23" t="n">
        <v>0</v>
      </c>
      <c r="M23" t="n">
        <v>12</v>
      </c>
      <c r="N23" t="n">
        <v>-0.25</v>
      </c>
      <c r="O23" t="n">
        <v>0</v>
      </c>
      <c r="P23" t="n">
        <v>149</v>
      </c>
      <c r="Q23" t="n">
        <v>12</v>
      </c>
      <c r="R23" t="s">
        <v>267</v>
      </c>
      <c r="S23" t="s">
        <v>260</v>
      </c>
      <c r="T23" t="n">
        <v>-0.25</v>
      </c>
    </row>
    <row r="24">
      <c r="A24" t="s">
        <v>30</v>
      </c>
      <c r="B24" t="n">
        <v>1.05</v>
      </c>
      <c r="C24" t="n">
        <v>1.08</v>
      </c>
      <c r="D24" t="n">
        <v>1.07</v>
      </c>
      <c r="E24" t="n">
        <v>-7</v>
      </c>
      <c r="F24" t="n">
        <v>-0.25</v>
      </c>
      <c r="G24" t="n">
        <v>100</v>
      </c>
      <c r="H24" t="n">
        <v>12</v>
      </c>
      <c r="I24" t="s">
        <v>267</v>
      </c>
      <c r="J24" t="n">
        <v>0</v>
      </c>
      <c r="K24" t="n">
        <v>0</v>
      </c>
      <c r="L24" t="n">
        <v>0</v>
      </c>
      <c r="M24" t="n">
        <v>12</v>
      </c>
      <c r="N24" t="n">
        <v>0.5</v>
      </c>
      <c r="O24" t="n">
        <v>-0.25</v>
      </c>
      <c r="P24" t="n">
        <v>122</v>
      </c>
      <c r="Q24" t="n">
        <v>12</v>
      </c>
      <c r="R24" t="s">
        <v>267</v>
      </c>
      <c r="S24" t="s">
        <v>268</v>
      </c>
      <c r="T24" t="n">
        <v>0.25</v>
      </c>
    </row>
    <row r="25">
      <c r="A25" t="s">
        <v>30</v>
      </c>
      <c r="B25" t="n">
        <v>0.93</v>
      </c>
      <c r="C25" t="n">
        <v>0.92</v>
      </c>
      <c r="D25" t="n">
        <v>0.99</v>
      </c>
      <c r="E25" t="n">
        <v>-6</v>
      </c>
      <c r="F25" t="n">
        <v>-0.25</v>
      </c>
      <c r="G25" t="n">
        <v>156</v>
      </c>
      <c r="H25" t="n">
        <v>12</v>
      </c>
      <c r="I25" t="s">
        <v>261</v>
      </c>
      <c r="J25" t="n">
        <v>0</v>
      </c>
      <c r="K25" t="n">
        <v>0</v>
      </c>
      <c r="L25" t="n">
        <v>0</v>
      </c>
      <c r="M25" t="n">
        <v>12</v>
      </c>
      <c r="N25" t="n">
        <v>0.25</v>
      </c>
      <c r="O25" t="n">
        <v>0</v>
      </c>
      <c r="P25" t="n">
        <v>91</v>
      </c>
      <c r="Q25" t="n">
        <v>12</v>
      </c>
      <c r="R25" t="s">
        <v>264</v>
      </c>
      <c r="S25" t="s">
        <v>261</v>
      </c>
      <c r="T25" t="n">
        <v>0.25</v>
      </c>
    </row>
    <row r="26">
      <c r="A26" t="s">
        <v>30</v>
      </c>
      <c r="B26" t="n">
        <v>0.88</v>
      </c>
      <c r="C26" t="n">
        <v>0.71</v>
      </c>
      <c r="D26" t="n">
        <v>0.86</v>
      </c>
      <c r="E26" t="n">
        <v>-7.5</v>
      </c>
      <c r="F26" t="n">
        <v>-0.25</v>
      </c>
      <c r="G26" t="n">
        <v>79</v>
      </c>
      <c r="H26" t="n">
        <v>12</v>
      </c>
      <c r="I26" t="s">
        <v>269</v>
      </c>
      <c r="J26" t="n">
        <v>0</v>
      </c>
      <c r="K26" t="n">
        <v>0</v>
      </c>
      <c r="L26" t="n">
        <v>0</v>
      </c>
      <c r="M26" t="n">
        <v>12</v>
      </c>
      <c r="N26" t="n">
        <v>0.5</v>
      </c>
      <c r="O26" t="n">
        <v>0</v>
      </c>
      <c r="P26" t="n">
        <v>65</v>
      </c>
      <c r="Q26" t="n">
        <v>12</v>
      </c>
      <c r="R26" t="s">
        <v>269</v>
      </c>
      <c r="S26" t="s">
        <v>272</v>
      </c>
      <c r="T26" t="n">
        <v>0.5</v>
      </c>
    </row>
    <row r="27">
      <c r="A27" t="s">
        <v>30</v>
      </c>
      <c r="B27" t="n">
        <v>0.98</v>
      </c>
      <c r="C27" t="n">
        <v>1</v>
      </c>
      <c r="D27" t="n">
        <v>0.95</v>
      </c>
      <c r="E27" t="n">
        <v>-2</v>
      </c>
      <c r="F27" t="n">
        <v>-0.25</v>
      </c>
      <c r="G27" t="n">
        <v>92</v>
      </c>
      <c r="H27" t="n">
        <v>12</v>
      </c>
      <c r="I27" t="s">
        <v>264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-0.25</v>
      </c>
      <c r="P27" t="n">
        <v>69</v>
      </c>
      <c r="Q27" t="n">
        <v>12</v>
      </c>
      <c r="R27" t="s">
        <v>260</v>
      </c>
      <c r="S27" t="s">
        <v>264</v>
      </c>
      <c r="T27" t="n">
        <v>-0.25</v>
      </c>
    </row>
    <row r="28">
      <c r="A28" t="s">
        <v>30</v>
      </c>
      <c r="B28" t="n">
        <v>1.07</v>
      </c>
      <c r="C28" t="n">
        <v>1.07</v>
      </c>
      <c r="D28" t="n">
        <v>1.07</v>
      </c>
      <c r="E28" t="n">
        <v>-1.75</v>
      </c>
      <c r="F28" t="n">
        <v>-1</v>
      </c>
      <c r="G28" t="n">
        <v>162</v>
      </c>
      <c r="H28" t="n">
        <v>12</v>
      </c>
      <c r="I28" t="s">
        <v>267</v>
      </c>
      <c r="J28" t="n">
        <v>0</v>
      </c>
      <c r="K28" t="n">
        <v>0</v>
      </c>
      <c r="L28" t="n">
        <v>0</v>
      </c>
      <c r="M28" t="n">
        <v>12</v>
      </c>
      <c r="N28" t="n">
        <v>-0.25</v>
      </c>
      <c r="O28" t="n">
        <v>0</v>
      </c>
      <c r="P28" t="n">
        <v>78</v>
      </c>
      <c r="Q28" t="n">
        <v>12</v>
      </c>
      <c r="R28" t="s">
        <v>267</v>
      </c>
      <c r="S28" t="s">
        <v>267</v>
      </c>
      <c r="T28" t="n">
        <v>-0.25</v>
      </c>
    </row>
    <row r="29">
      <c r="A29" t="s">
        <v>30</v>
      </c>
      <c r="B29" t="n">
        <v>1.11</v>
      </c>
      <c r="C29" t="n">
        <v>1.14</v>
      </c>
      <c r="D29" t="n">
        <v>1.17</v>
      </c>
      <c r="E29" t="n">
        <v>-3</v>
      </c>
      <c r="F29" t="n">
        <v>-0.25</v>
      </c>
      <c r="G29" t="n">
        <v>99</v>
      </c>
      <c r="H29" t="n">
        <v>12</v>
      </c>
      <c r="I29" t="s">
        <v>268</v>
      </c>
      <c r="J29" t="n">
        <v>0</v>
      </c>
      <c r="K29" t="n">
        <v>0</v>
      </c>
      <c r="L29" t="n">
        <v>0</v>
      </c>
      <c r="M29" t="n">
        <v>12</v>
      </c>
      <c r="N29" t="n">
        <v>0.25</v>
      </c>
      <c r="O29" t="n">
        <v>0</v>
      </c>
      <c r="P29" t="n">
        <v>64</v>
      </c>
      <c r="Q29" t="n">
        <v>12</v>
      </c>
      <c r="R29" t="s">
        <v>263</v>
      </c>
      <c r="S29" t="s">
        <v>263</v>
      </c>
      <c r="T29" t="n">
        <v>0.25</v>
      </c>
    </row>
    <row r="30">
      <c r="A30" t="s">
        <v>30</v>
      </c>
      <c r="B30" t="n">
        <v>1.06</v>
      </c>
      <c r="C30" t="n">
        <v>1.07</v>
      </c>
      <c r="D30" t="n">
        <v>1.05</v>
      </c>
      <c r="E30" t="n">
        <v>-5</v>
      </c>
      <c r="F30" t="n">
        <v>-0.75</v>
      </c>
      <c r="G30" t="n">
        <v>6</v>
      </c>
      <c r="H30" t="n">
        <v>12</v>
      </c>
      <c r="I30" t="s">
        <v>267</v>
      </c>
      <c r="J30" t="n">
        <v>0</v>
      </c>
      <c r="K30" t="n">
        <v>0</v>
      </c>
      <c r="L30" t="n">
        <v>0</v>
      </c>
      <c r="M30" t="n">
        <v>12</v>
      </c>
      <c r="N30" t="n">
        <v>0.5</v>
      </c>
      <c r="O30" t="n">
        <v>0</v>
      </c>
      <c r="P30" t="n">
        <v>26</v>
      </c>
      <c r="Q30" t="n">
        <v>12</v>
      </c>
      <c r="R30" t="s">
        <v>267</v>
      </c>
      <c r="S30" t="s">
        <v>267</v>
      </c>
      <c r="T30" t="n">
        <v>0.5</v>
      </c>
    </row>
    <row r="31">
      <c r="A31" t="s">
        <v>30</v>
      </c>
      <c r="B31" t="n">
        <v>1.1</v>
      </c>
      <c r="C31" t="n">
        <v>1.08</v>
      </c>
      <c r="D31" t="n">
        <v>1.09</v>
      </c>
      <c r="E31" t="n">
        <v>-2.5</v>
      </c>
      <c r="F31" t="n">
        <v>-0.75</v>
      </c>
      <c r="G31" t="n">
        <v>178</v>
      </c>
      <c r="H31" t="n">
        <v>12</v>
      </c>
      <c r="I31" t="s">
        <v>268</v>
      </c>
      <c r="J31" t="n">
        <v>0</v>
      </c>
      <c r="K31" t="n">
        <v>0</v>
      </c>
      <c r="L31" t="n">
        <v>0</v>
      </c>
      <c r="M31" t="n">
        <v>12</v>
      </c>
      <c r="N31" t="n">
        <v>0</v>
      </c>
      <c r="O31" t="n">
        <v>-0.25</v>
      </c>
      <c r="P31" t="n">
        <v>4</v>
      </c>
      <c r="Q31" t="n">
        <v>12</v>
      </c>
      <c r="R31" t="s">
        <v>268</v>
      </c>
      <c r="S31" t="s">
        <v>268</v>
      </c>
      <c r="T31" t="n">
        <v>-0.25</v>
      </c>
    </row>
    <row r="32">
      <c r="A32" t="s">
        <v>30</v>
      </c>
      <c r="B32" t="n">
        <v>1.01</v>
      </c>
      <c r="C32" t="n">
        <v>0.89</v>
      </c>
      <c r="D32" t="n">
        <v>1.02</v>
      </c>
      <c r="E32" t="n">
        <v>-2.75</v>
      </c>
      <c r="F32" t="n">
        <v>-0.5</v>
      </c>
      <c r="G32" t="n">
        <v>167</v>
      </c>
      <c r="H32" t="n">
        <v>12</v>
      </c>
      <c r="I32" t="s">
        <v>264</v>
      </c>
      <c r="J32" t="n">
        <v>0</v>
      </c>
      <c r="K32" t="n">
        <v>0</v>
      </c>
      <c r="L32" t="n">
        <v>0</v>
      </c>
      <c r="M32" t="n">
        <v>12</v>
      </c>
      <c r="N32" t="n">
        <v>0.25</v>
      </c>
      <c r="O32" t="n">
        <v>0</v>
      </c>
      <c r="P32" t="n">
        <v>24</v>
      </c>
      <c r="Q32" t="n">
        <v>12</v>
      </c>
      <c r="R32" t="s">
        <v>264</v>
      </c>
      <c r="S32" t="s">
        <v>269</v>
      </c>
      <c r="T32" t="n">
        <v>0.25</v>
      </c>
    </row>
    <row r="33">
      <c r="A33" t="s">
        <v>30</v>
      </c>
      <c r="B33" t="n">
        <v>1.11</v>
      </c>
      <c r="C33" t="n">
        <v>1.14</v>
      </c>
      <c r="D33" t="n">
        <v>1.12</v>
      </c>
      <c r="E33" t="n">
        <v>-3.25</v>
      </c>
      <c r="F33" t="n">
        <v>-0.5</v>
      </c>
      <c r="G33" t="n">
        <v>11</v>
      </c>
      <c r="H33" t="n">
        <v>12</v>
      </c>
      <c r="I33" t="s">
        <v>268</v>
      </c>
      <c r="J33" t="n">
        <v>0</v>
      </c>
      <c r="K33" t="n">
        <v>0</v>
      </c>
      <c r="L33" t="n">
        <v>0</v>
      </c>
      <c r="M33" t="n">
        <v>12</v>
      </c>
      <c r="N33" t="n">
        <v>0</v>
      </c>
      <c r="O33" t="n">
        <v>-0.25</v>
      </c>
      <c r="P33" t="n">
        <v>2</v>
      </c>
      <c r="Q33" t="n">
        <v>12</v>
      </c>
      <c r="R33" t="s">
        <v>268</v>
      </c>
      <c r="S33" t="s">
        <v>263</v>
      </c>
      <c r="T33" t="n">
        <v>0</v>
      </c>
    </row>
    <row r="34">
      <c r="A34" t="s">
        <v>30</v>
      </c>
      <c r="B34" t="n">
        <v>1.07</v>
      </c>
      <c r="C34" t="n">
        <v>1.1</v>
      </c>
      <c r="D34" t="n">
        <v>1.05</v>
      </c>
      <c r="E34" t="n">
        <v>-4</v>
      </c>
      <c r="F34" t="n">
        <v>-1.25</v>
      </c>
      <c r="G34" t="n">
        <v>169</v>
      </c>
      <c r="H34" t="n">
        <v>12</v>
      </c>
      <c r="I34" t="s">
        <v>267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176</v>
      </c>
      <c r="Q34" t="n">
        <v>12</v>
      </c>
      <c r="R34" t="s">
        <v>267</v>
      </c>
      <c r="S34" t="s">
        <v>268</v>
      </c>
      <c r="T34" t="n">
        <v>0</v>
      </c>
    </row>
    <row r="35">
      <c r="A35" t="s">
        <v>30</v>
      </c>
      <c r="B35" t="n">
        <v>1.1</v>
      </c>
      <c r="C35" t="n">
        <v>0.97</v>
      </c>
      <c r="D35" t="n">
        <v>1.13</v>
      </c>
      <c r="E35" t="n">
        <v>-0.75</v>
      </c>
      <c r="F35" t="n">
        <v>-1.25</v>
      </c>
      <c r="G35" t="n">
        <v>22</v>
      </c>
      <c r="H35" t="n">
        <v>12</v>
      </c>
      <c r="I35" t="s">
        <v>268</v>
      </c>
      <c r="J35" t="n">
        <v>0</v>
      </c>
      <c r="K35" t="n">
        <v>0</v>
      </c>
      <c r="L35" t="n">
        <v>0</v>
      </c>
      <c r="M35" t="n">
        <v>12</v>
      </c>
      <c r="N35" t="n">
        <v>0.5</v>
      </c>
      <c r="O35" t="n">
        <v>-0.25</v>
      </c>
      <c r="P35" t="n">
        <v>33</v>
      </c>
      <c r="Q35" t="n">
        <v>12</v>
      </c>
      <c r="R35" t="s">
        <v>263</v>
      </c>
      <c r="S35" t="s">
        <v>260</v>
      </c>
      <c r="T35" t="n">
        <v>0.25</v>
      </c>
    </row>
    <row r="36">
      <c r="A36" t="s">
        <v>30</v>
      </c>
      <c r="B36" t="n">
        <v>0.98</v>
      </c>
      <c r="C36" t="n">
        <v>1.01</v>
      </c>
      <c r="D36" t="n">
        <v>0.99</v>
      </c>
      <c r="E36" t="n">
        <v>-4</v>
      </c>
      <c r="F36" t="n">
        <v>-0.25</v>
      </c>
      <c r="G36" t="n">
        <v>170</v>
      </c>
      <c r="H36" t="n">
        <v>12</v>
      </c>
      <c r="I36" t="s">
        <v>264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0</v>
      </c>
      <c r="P36" t="n">
        <v>157</v>
      </c>
      <c r="Q36" t="n">
        <v>12</v>
      </c>
      <c r="R36" t="s">
        <v>264</v>
      </c>
      <c r="S36" t="s">
        <v>264</v>
      </c>
      <c r="T36" t="n">
        <v>0</v>
      </c>
    </row>
    <row r="37">
      <c r="A37" t="s">
        <v>30</v>
      </c>
      <c r="B37" t="n">
        <v>1.11</v>
      </c>
      <c r="C37" t="n">
        <v>1.03</v>
      </c>
      <c r="D37" t="n">
        <v>1.06</v>
      </c>
      <c r="E37" t="n">
        <v>-5.25</v>
      </c>
      <c r="F37" t="n">
        <v>-2.25</v>
      </c>
      <c r="G37" t="n">
        <v>82</v>
      </c>
      <c r="H37" t="n">
        <v>12</v>
      </c>
      <c r="I37" t="s">
        <v>268</v>
      </c>
      <c r="J37" t="n">
        <v>0</v>
      </c>
      <c r="K37" t="n">
        <v>0</v>
      </c>
      <c r="L37" t="n">
        <v>0</v>
      </c>
      <c r="M37" t="n">
        <v>12</v>
      </c>
      <c r="N37" t="n">
        <v>0</v>
      </c>
      <c r="O37" t="n">
        <v>-0.5</v>
      </c>
      <c r="P37" t="n">
        <v>54</v>
      </c>
      <c r="Q37" t="n">
        <v>12</v>
      </c>
      <c r="R37" t="s">
        <v>267</v>
      </c>
      <c r="S37" t="s">
        <v>267</v>
      </c>
      <c r="T37" t="n">
        <v>-0.25</v>
      </c>
    </row>
    <row r="38">
      <c r="A38" t="s">
        <v>30</v>
      </c>
      <c r="B38" t="n">
        <v>1.05</v>
      </c>
      <c r="C38" t="n">
        <v>0.95</v>
      </c>
      <c r="D38" t="n">
        <v>0.97</v>
      </c>
      <c r="E38" t="n">
        <v>-2.25</v>
      </c>
      <c r="F38" t="n">
        <v>-0.5</v>
      </c>
      <c r="G38" t="n">
        <v>177</v>
      </c>
      <c r="H38" t="n">
        <v>12</v>
      </c>
      <c r="I38" t="s">
        <v>267</v>
      </c>
      <c r="J38" t="n">
        <v>0</v>
      </c>
      <c r="K38" t="n">
        <v>0</v>
      </c>
      <c r="L38" t="n">
        <v>0</v>
      </c>
      <c r="M38" t="n">
        <v>12</v>
      </c>
      <c r="N38" t="n">
        <v>0.5</v>
      </c>
      <c r="O38" t="n">
        <v>-0.25</v>
      </c>
      <c r="P38" t="n">
        <v>9</v>
      </c>
      <c r="Q38" t="n">
        <v>12</v>
      </c>
      <c r="R38" t="s">
        <v>260</v>
      </c>
      <c r="S38" t="s">
        <v>260</v>
      </c>
      <c r="T38" t="n">
        <v>0.25</v>
      </c>
    </row>
    <row r="39">
      <c r="A39" t="s">
        <v>30</v>
      </c>
      <c r="B39" t="n">
        <v>1.03</v>
      </c>
      <c r="C39" t="n">
        <v>0.98</v>
      </c>
      <c r="D39" t="n">
        <v>1.05</v>
      </c>
      <c r="E39" t="n">
        <v>-2</v>
      </c>
      <c r="F39" t="n">
        <v>-1.5</v>
      </c>
      <c r="G39" t="n">
        <v>16</v>
      </c>
      <c r="H39" t="n">
        <v>12</v>
      </c>
      <c r="I39" t="s">
        <v>267</v>
      </c>
      <c r="J39" t="n">
        <v>0</v>
      </c>
      <c r="K39" t="n">
        <v>0</v>
      </c>
      <c r="L39" t="n">
        <v>0</v>
      </c>
      <c r="M39" t="n">
        <v>12</v>
      </c>
      <c r="N39" t="n">
        <v>0</v>
      </c>
      <c r="O39" t="n">
        <v>0</v>
      </c>
      <c r="P39" t="n">
        <v>7</v>
      </c>
      <c r="Q39" t="n">
        <v>12</v>
      </c>
      <c r="R39" t="s">
        <v>267</v>
      </c>
      <c r="S39" t="s">
        <v>264</v>
      </c>
      <c r="T39" t="n">
        <v>0</v>
      </c>
    </row>
    <row r="40">
      <c r="A40" t="s">
        <v>30</v>
      </c>
      <c r="B40" t="n">
        <v>1.02</v>
      </c>
      <c r="C40" t="n">
        <v>1.1</v>
      </c>
      <c r="D40" t="n">
        <v>1.06</v>
      </c>
      <c r="E40" t="n">
        <v>-7</v>
      </c>
      <c r="F40" t="n">
        <v>-0.25</v>
      </c>
      <c r="G40" t="n">
        <v>5</v>
      </c>
      <c r="H40" t="n">
        <v>12</v>
      </c>
      <c r="I40" t="s">
        <v>264</v>
      </c>
      <c r="J40" t="n">
        <v>0</v>
      </c>
      <c r="K40" t="n">
        <v>0</v>
      </c>
      <c r="L40" t="n">
        <v>0</v>
      </c>
      <c r="M40" t="n">
        <v>12</v>
      </c>
      <c r="N40" t="n">
        <v>0</v>
      </c>
      <c r="O40" t="n">
        <v>0</v>
      </c>
      <c r="P40" t="n">
        <v>149</v>
      </c>
      <c r="Q40" t="n">
        <v>12</v>
      </c>
      <c r="R40" t="s">
        <v>267</v>
      </c>
      <c r="S40" t="s">
        <v>268</v>
      </c>
      <c r="T40" t="n">
        <v>0</v>
      </c>
    </row>
    <row r="41">
      <c r="A41" t="s">
        <v>30</v>
      </c>
      <c r="B41" t="n">
        <v>1.05</v>
      </c>
      <c r="C41" t="n">
        <v>0.97</v>
      </c>
      <c r="D41" t="n">
        <v>1.01</v>
      </c>
      <c r="E41" t="n">
        <v>-4.25</v>
      </c>
      <c r="F41" t="n">
        <v>-0.5</v>
      </c>
      <c r="G41" t="n">
        <v>9</v>
      </c>
      <c r="H41" t="n">
        <v>12</v>
      </c>
      <c r="I41" t="s">
        <v>267</v>
      </c>
      <c r="J41" t="n">
        <v>0</v>
      </c>
      <c r="K41" t="n">
        <v>0</v>
      </c>
      <c r="L41" t="n">
        <v>0</v>
      </c>
      <c r="M41" t="n">
        <v>12</v>
      </c>
      <c r="N41" t="n">
        <v>0.5</v>
      </c>
      <c r="O41" t="n">
        <v>-0.25</v>
      </c>
      <c r="P41" t="n">
        <v>15</v>
      </c>
      <c r="Q41" t="n">
        <v>12</v>
      </c>
      <c r="R41" t="s">
        <v>264</v>
      </c>
      <c r="S41" t="s">
        <v>260</v>
      </c>
      <c r="T41" t="n">
        <v>0.25</v>
      </c>
    </row>
    <row r="42">
      <c r="A42" t="s">
        <v>30</v>
      </c>
      <c r="B42" t="n">
        <v>0.96</v>
      </c>
      <c r="C42" t="n">
        <v>0.95</v>
      </c>
      <c r="D42" t="n">
        <v>0.96</v>
      </c>
      <c r="E42" t="n">
        <v>-2</v>
      </c>
      <c r="F42" t="n">
        <v>-0.5</v>
      </c>
      <c r="G42" t="n">
        <v>98</v>
      </c>
      <c r="H42" t="n">
        <v>12</v>
      </c>
      <c r="I42" t="s">
        <v>260</v>
      </c>
      <c r="J42" t="n">
        <v>0</v>
      </c>
      <c r="K42" t="n">
        <v>0</v>
      </c>
      <c r="L42" t="n">
        <v>0</v>
      </c>
      <c r="M42" t="n">
        <v>12</v>
      </c>
      <c r="N42" t="n">
        <v>0</v>
      </c>
      <c r="O42" t="n">
        <v>-0.25</v>
      </c>
      <c r="P42" t="n">
        <v>77</v>
      </c>
      <c r="Q42" t="n">
        <v>12</v>
      </c>
      <c r="R42" t="s">
        <v>260</v>
      </c>
      <c r="S42" t="s">
        <v>260</v>
      </c>
      <c r="T42" t="n">
        <v>-0.25</v>
      </c>
    </row>
    <row r="43">
      <c r="A43" t="s">
        <v>30</v>
      </c>
      <c r="B43" t="n">
        <v>1.14</v>
      </c>
      <c r="C43" t="n">
        <v>1.15</v>
      </c>
      <c r="D43" t="n">
        <v>1.13</v>
      </c>
      <c r="E43" t="n">
        <v>-4.75</v>
      </c>
      <c r="F43" t="n">
        <v>-0.5</v>
      </c>
      <c r="G43" t="n">
        <v>95</v>
      </c>
      <c r="H43" t="n">
        <v>12</v>
      </c>
      <c r="I43" t="s">
        <v>263</v>
      </c>
      <c r="J43" t="n">
        <v>0</v>
      </c>
      <c r="K43" t="n">
        <v>0</v>
      </c>
      <c r="L43" t="n">
        <v>0</v>
      </c>
      <c r="M43" t="n">
        <v>12</v>
      </c>
      <c r="N43" t="n">
        <v>0</v>
      </c>
      <c r="O43" t="n">
        <v>-0.25</v>
      </c>
      <c r="P43" t="n">
        <v>95</v>
      </c>
      <c r="Q43" t="n">
        <v>12</v>
      </c>
      <c r="R43" t="s">
        <v>263</v>
      </c>
      <c r="S43" t="s">
        <v>263</v>
      </c>
      <c r="T43" t="n">
        <v>0</v>
      </c>
    </row>
    <row r="44">
      <c r="A44" t="s">
        <v>30</v>
      </c>
      <c r="B44" t="n">
        <v>1.15</v>
      </c>
      <c r="C44" t="n">
        <v>1.25</v>
      </c>
      <c r="D44" t="n">
        <v>1.16</v>
      </c>
      <c r="E44" t="n">
        <v>-4.75</v>
      </c>
      <c r="F44" t="n">
        <v>-0.5</v>
      </c>
      <c r="G44" t="n">
        <v>82</v>
      </c>
      <c r="H44" t="n">
        <v>12</v>
      </c>
      <c r="I44" t="s">
        <v>263</v>
      </c>
      <c r="J44" t="n">
        <v>0</v>
      </c>
      <c r="K44" t="n">
        <v>0</v>
      </c>
      <c r="L44" t="n">
        <v>0</v>
      </c>
      <c r="M44" t="n">
        <v>12</v>
      </c>
      <c r="N44" t="n">
        <v>0</v>
      </c>
      <c r="O44" t="n">
        <v>-0.25</v>
      </c>
      <c r="P44" t="n">
        <v>61</v>
      </c>
      <c r="Q44" t="n">
        <v>12</v>
      </c>
      <c r="R44" t="s">
        <v>263</v>
      </c>
      <c r="S44" t="s">
        <v>273</v>
      </c>
      <c r="T44" t="n">
        <v>0</v>
      </c>
    </row>
    <row r="45">
      <c r="A45" t="s">
        <v>30</v>
      </c>
      <c r="B45" t="n">
        <v>1</v>
      </c>
      <c r="C45" t="n">
        <v>0.94</v>
      </c>
      <c r="D45" t="n">
        <v>1.02</v>
      </c>
      <c r="E45" t="n">
        <v>-5.5</v>
      </c>
      <c r="F45" t="n">
        <v>-0.5</v>
      </c>
      <c r="G45" t="n">
        <v>173</v>
      </c>
      <c r="H45" t="n">
        <v>12</v>
      </c>
      <c r="I45" t="s">
        <v>264</v>
      </c>
      <c r="J45" t="n">
        <v>0</v>
      </c>
      <c r="K45" t="n">
        <v>0</v>
      </c>
      <c r="L45" t="n">
        <v>0</v>
      </c>
      <c r="M45" t="n">
        <v>12</v>
      </c>
      <c r="N45" t="n">
        <v>0</v>
      </c>
      <c r="O45" t="n">
        <v>-0.5</v>
      </c>
      <c r="P45" t="n">
        <v>24</v>
      </c>
      <c r="Q45" t="n">
        <v>12</v>
      </c>
      <c r="R45" t="s">
        <v>264</v>
      </c>
      <c r="S45" t="s">
        <v>260</v>
      </c>
      <c r="T45" t="n">
        <v>-0.25</v>
      </c>
    </row>
    <row r="46">
      <c r="A46" t="s">
        <v>30</v>
      </c>
      <c r="B46" t="n">
        <v>1.12</v>
      </c>
      <c r="C46" t="n">
        <v>1.18</v>
      </c>
      <c r="D46" t="n">
        <v>1.16</v>
      </c>
      <c r="E46" t="n">
        <v>-6.5</v>
      </c>
      <c r="F46" t="n">
        <v>-1</v>
      </c>
      <c r="G46" t="n">
        <v>159</v>
      </c>
      <c r="H46" t="n">
        <v>12</v>
      </c>
      <c r="I46" t="s">
        <v>268</v>
      </c>
      <c r="J46" t="n">
        <v>0</v>
      </c>
      <c r="K46" t="n">
        <v>0</v>
      </c>
      <c r="L46" t="n">
        <v>0</v>
      </c>
      <c r="M46" t="n">
        <v>12</v>
      </c>
      <c r="N46" t="n">
        <v>0</v>
      </c>
      <c r="O46" t="n">
        <v>0</v>
      </c>
      <c r="P46" t="n">
        <v>13</v>
      </c>
      <c r="Q46" t="n">
        <v>12</v>
      </c>
      <c r="R46" t="s">
        <v>263</v>
      </c>
      <c r="S46" t="s">
        <v>270</v>
      </c>
      <c r="T46" t="n">
        <v>0</v>
      </c>
    </row>
    <row r="47">
      <c r="A47" t="s">
        <v>30</v>
      </c>
      <c r="B47" t="n">
        <v>0.91</v>
      </c>
      <c r="C47" t="n">
        <v>0.94</v>
      </c>
      <c r="D47" t="n">
        <v>0.94</v>
      </c>
      <c r="E47" t="n">
        <v>-3.5</v>
      </c>
      <c r="F47" t="n">
        <v>-1</v>
      </c>
      <c r="G47" t="n">
        <v>110</v>
      </c>
      <c r="H47" t="n">
        <v>12</v>
      </c>
      <c r="I47" t="s">
        <v>261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-0.25</v>
      </c>
      <c r="P47" t="n">
        <v>121</v>
      </c>
      <c r="Q47" t="n">
        <v>12</v>
      </c>
      <c r="R47" t="s">
        <v>260</v>
      </c>
      <c r="S47" t="s">
        <v>260</v>
      </c>
      <c r="T47" t="n">
        <v>-0.25</v>
      </c>
    </row>
    <row r="48">
      <c r="A48" t="s">
        <v>30</v>
      </c>
      <c r="B48" t="n">
        <v>1.01</v>
      </c>
      <c r="C48" t="n">
        <v>1.09</v>
      </c>
      <c r="D48" t="n">
        <v>1.01</v>
      </c>
      <c r="E48" t="n">
        <v>-6.75</v>
      </c>
      <c r="F48" t="n">
        <v>-1.25</v>
      </c>
      <c r="G48" t="n">
        <v>14</v>
      </c>
      <c r="H48" t="n">
        <v>12</v>
      </c>
      <c r="I48" t="s">
        <v>264</v>
      </c>
      <c r="J48" t="n">
        <v>0</v>
      </c>
      <c r="K48" t="n">
        <v>0</v>
      </c>
      <c r="L48" t="n">
        <v>0</v>
      </c>
      <c r="M48" t="n">
        <v>12</v>
      </c>
      <c r="N48" t="n">
        <v>0</v>
      </c>
      <c r="O48" t="n">
        <v>-0.25</v>
      </c>
      <c r="P48" t="n">
        <v>13</v>
      </c>
      <c r="Q48" t="n">
        <v>12</v>
      </c>
      <c r="R48" t="s">
        <v>264</v>
      </c>
      <c r="S48" t="s">
        <v>268</v>
      </c>
      <c r="T48" t="n">
        <v>-0.25</v>
      </c>
    </row>
    <row r="49">
      <c r="A49" t="s">
        <v>30</v>
      </c>
      <c r="B49" t="n">
        <v>1.04</v>
      </c>
      <c r="C49" t="n">
        <v>1.15</v>
      </c>
      <c r="D49" t="n">
        <v>1.07</v>
      </c>
      <c r="E49" t="n">
        <v>-1</v>
      </c>
      <c r="F49" t="n">
        <v>-1</v>
      </c>
      <c r="G49" t="n">
        <v>87</v>
      </c>
      <c r="H49" t="n">
        <v>12</v>
      </c>
      <c r="I49" t="s">
        <v>267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-0.25</v>
      </c>
      <c r="P49" t="n">
        <v>102</v>
      </c>
      <c r="Q49" t="n">
        <v>12</v>
      </c>
      <c r="R49" t="s">
        <v>267</v>
      </c>
      <c r="S49" t="s">
        <v>263</v>
      </c>
      <c r="T49" t="n">
        <v>-0.25</v>
      </c>
    </row>
    <row r="50">
      <c r="A50" t="s">
        <v>30</v>
      </c>
      <c r="B50" t="n">
        <v>1.05</v>
      </c>
      <c r="C50" t="n">
        <v>0.83</v>
      </c>
      <c r="D50" t="n">
        <v>1.05</v>
      </c>
      <c r="E50" t="n">
        <v>-3.5</v>
      </c>
      <c r="F50" t="n">
        <v>-0.75</v>
      </c>
      <c r="G50" t="n">
        <v>15</v>
      </c>
      <c r="H50" t="n">
        <v>12</v>
      </c>
      <c r="I50" t="s">
        <v>267</v>
      </c>
      <c r="J50" t="n">
        <v>0</v>
      </c>
      <c r="K50" t="n">
        <v>0</v>
      </c>
      <c r="L50" t="n">
        <v>0</v>
      </c>
      <c r="M50" t="n">
        <v>12</v>
      </c>
      <c r="N50" t="n">
        <v>-0.25</v>
      </c>
      <c r="O50" t="n">
        <v>0</v>
      </c>
      <c r="P50" t="n">
        <v>108</v>
      </c>
      <c r="Q50" t="n">
        <v>12</v>
      </c>
      <c r="R50" t="s">
        <v>267</v>
      </c>
      <c r="S50" t="s">
        <v>265</v>
      </c>
      <c r="T50" t="n">
        <v>-0.25</v>
      </c>
    </row>
    <row r="51">
      <c r="A51" t="s">
        <v>30</v>
      </c>
      <c r="B51" t="n">
        <v>1.12</v>
      </c>
      <c r="C51" t="n">
        <v>1.18</v>
      </c>
      <c r="D51" t="n">
        <v>1.14</v>
      </c>
      <c r="E51" t="n">
        <v>-0.5</v>
      </c>
      <c r="F51" t="n">
        <v>-0.5</v>
      </c>
      <c r="G51" t="n">
        <v>177</v>
      </c>
      <c r="H51" t="n">
        <v>12</v>
      </c>
      <c r="I51" t="s">
        <v>268</v>
      </c>
      <c r="J51" t="n">
        <v>0</v>
      </c>
      <c r="K51" t="n">
        <v>0</v>
      </c>
      <c r="L51" t="n">
        <v>0</v>
      </c>
      <c r="M51" t="n">
        <v>12</v>
      </c>
      <c r="N51" t="n">
        <v>0</v>
      </c>
      <c r="O51" t="n">
        <v>-0.25</v>
      </c>
      <c r="P51" t="n">
        <v>14</v>
      </c>
      <c r="Q51" t="n">
        <v>12</v>
      </c>
      <c r="R51" t="s">
        <v>263</v>
      </c>
      <c r="S51" t="s">
        <v>270</v>
      </c>
      <c r="T51" t="n">
        <v>-0.25</v>
      </c>
    </row>
    <row r="52">
      <c r="A52" t="s">
        <v>30</v>
      </c>
      <c r="B52" t="n">
        <v>1.02</v>
      </c>
      <c r="C52" t="n">
        <v>0.89</v>
      </c>
      <c r="D52" t="n">
        <v>1.08</v>
      </c>
      <c r="E52" t="n">
        <v>-5.25</v>
      </c>
      <c r="F52" t="n">
        <v>-0.25</v>
      </c>
      <c r="G52" t="n">
        <v>81</v>
      </c>
      <c r="H52" t="n">
        <v>12</v>
      </c>
      <c r="I52" t="s">
        <v>264</v>
      </c>
      <c r="J52" t="n">
        <v>0</v>
      </c>
      <c r="K52" t="n">
        <v>0</v>
      </c>
      <c r="L52" t="n">
        <v>0</v>
      </c>
      <c r="M52" t="n">
        <v>12</v>
      </c>
      <c r="N52" t="n">
        <v>-0.5</v>
      </c>
      <c r="O52" t="n">
        <v>-0.25</v>
      </c>
      <c r="P52" t="n">
        <v>104</v>
      </c>
      <c r="Q52" t="n">
        <v>12</v>
      </c>
      <c r="R52" t="s">
        <v>268</v>
      </c>
      <c r="S52" t="s">
        <v>269</v>
      </c>
      <c r="T52" t="n">
        <v>-0.5</v>
      </c>
    </row>
    <row r="53">
      <c r="A53" t="s">
        <v>30</v>
      </c>
      <c r="B53" t="n">
        <v>1</v>
      </c>
      <c r="C53" t="n">
        <v>1.1</v>
      </c>
      <c r="D53" t="n">
        <v>1.05</v>
      </c>
      <c r="E53" t="n">
        <v>-3.75</v>
      </c>
      <c r="F53" t="n">
        <v>-0.5</v>
      </c>
      <c r="G53" t="n">
        <v>91</v>
      </c>
      <c r="H53" t="n">
        <v>12</v>
      </c>
      <c r="I53" t="s">
        <v>264</v>
      </c>
      <c r="J53" t="n">
        <v>0</v>
      </c>
      <c r="K53" t="n">
        <v>0</v>
      </c>
      <c r="L53" t="n">
        <v>0</v>
      </c>
      <c r="M53" t="n">
        <v>12</v>
      </c>
      <c r="N53" t="n">
        <v>0.25</v>
      </c>
      <c r="O53" t="n">
        <v>0</v>
      </c>
      <c r="P53" t="n">
        <v>93</v>
      </c>
      <c r="Q53" t="n">
        <v>12</v>
      </c>
      <c r="R53" t="s">
        <v>267</v>
      </c>
      <c r="S53" t="s">
        <v>268</v>
      </c>
      <c r="T53" t="n">
        <v>0.25</v>
      </c>
    </row>
    <row r="54">
      <c r="A54" t="s">
        <v>30</v>
      </c>
      <c r="B54" t="n">
        <v>1.18</v>
      </c>
      <c r="C54" t="n">
        <v>1.25</v>
      </c>
      <c r="D54" t="n">
        <v>1.25</v>
      </c>
      <c r="E54" t="n">
        <v>-2</v>
      </c>
      <c r="F54" t="n">
        <v>-0.5</v>
      </c>
      <c r="G54" t="n">
        <v>176</v>
      </c>
      <c r="H54" t="n">
        <v>12</v>
      </c>
      <c r="I54" t="s">
        <v>270</v>
      </c>
      <c r="J54" t="n">
        <v>0</v>
      </c>
      <c r="K54" t="n">
        <v>0</v>
      </c>
      <c r="L54" t="n">
        <v>0</v>
      </c>
      <c r="M54" t="n">
        <v>12</v>
      </c>
      <c r="N54" t="n">
        <v>0.5</v>
      </c>
      <c r="O54" t="n">
        <v>-0.25</v>
      </c>
      <c r="P54" t="n">
        <v>137</v>
      </c>
      <c r="Q54" t="n">
        <v>12</v>
      </c>
      <c r="R54" t="s">
        <v>273</v>
      </c>
      <c r="S54" t="s">
        <v>273</v>
      </c>
      <c r="T54" t="n">
        <v>0.25</v>
      </c>
    </row>
    <row r="55">
      <c r="A55" t="s">
        <v>30</v>
      </c>
      <c r="B55" t="n">
        <v>1.08</v>
      </c>
      <c r="C55" t="n">
        <v>0.97</v>
      </c>
      <c r="D55" t="n">
        <v>1.14</v>
      </c>
      <c r="E55" t="n">
        <v>-2.25</v>
      </c>
      <c r="F55" t="n">
        <v>-1.5</v>
      </c>
      <c r="G55" t="n">
        <v>3</v>
      </c>
      <c r="H55" t="n">
        <v>12</v>
      </c>
      <c r="I55" t="s">
        <v>268</v>
      </c>
      <c r="J55" t="n">
        <v>0</v>
      </c>
      <c r="K55" t="n">
        <v>0</v>
      </c>
      <c r="L55" t="n">
        <v>0</v>
      </c>
      <c r="M55" t="n">
        <v>12</v>
      </c>
      <c r="N55" t="n">
        <v>0.5</v>
      </c>
      <c r="O55" t="n">
        <v>-0.25</v>
      </c>
      <c r="P55" t="n">
        <v>2</v>
      </c>
      <c r="Q55" t="n">
        <v>12</v>
      </c>
      <c r="R55" t="s">
        <v>263</v>
      </c>
      <c r="S55" t="s">
        <v>260</v>
      </c>
      <c r="T55" t="n">
        <v>0.5</v>
      </c>
    </row>
    <row r="56">
      <c r="A56" t="s">
        <v>30</v>
      </c>
      <c r="B56" t="n">
        <v>0.92</v>
      </c>
      <c r="C56" t="n">
        <v>0.91</v>
      </c>
      <c r="D56" t="n">
        <v>0.93</v>
      </c>
      <c r="E56" t="n">
        <v>-0.5</v>
      </c>
      <c r="F56" t="n">
        <v>-0.75</v>
      </c>
      <c r="G56" t="n">
        <v>32</v>
      </c>
      <c r="H56" t="n">
        <v>12</v>
      </c>
      <c r="I56" t="s">
        <v>261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-0.25</v>
      </c>
      <c r="P56" t="n">
        <v>23</v>
      </c>
      <c r="Q56" t="n">
        <v>12</v>
      </c>
      <c r="R56" t="s">
        <v>261</v>
      </c>
      <c r="S56" t="s">
        <v>261</v>
      </c>
      <c r="T56" t="n">
        <v>-0.25</v>
      </c>
    </row>
    <row r="57">
      <c r="A57" t="s">
        <v>30</v>
      </c>
      <c r="B57" t="n">
        <v>1.06</v>
      </c>
      <c r="C57" t="n">
        <v>1.03</v>
      </c>
      <c r="D57" t="n">
        <v>1.07</v>
      </c>
      <c r="E57" t="n">
        <v>-4</v>
      </c>
      <c r="F57" t="n">
        <v>-0.5</v>
      </c>
      <c r="G57" t="n">
        <v>2</v>
      </c>
      <c r="H57" t="n">
        <v>12</v>
      </c>
      <c r="I57" t="s">
        <v>267</v>
      </c>
      <c r="J57" t="n">
        <v>0</v>
      </c>
      <c r="K57" t="n">
        <v>0</v>
      </c>
      <c r="L57" t="n">
        <v>0</v>
      </c>
      <c r="M57" t="n">
        <v>12</v>
      </c>
      <c r="N57" t="n">
        <v>0.5</v>
      </c>
      <c r="O57" t="n">
        <v>-0.25</v>
      </c>
      <c r="P57" t="n">
        <v>171</v>
      </c>
      <c r="Q57" t="n">
        <v>12</v>
      </c>
      <c r="R57" t="s">
        <v>267</v>
      </c>
      <c r="S57" t="s">
        <v>267</v>
      </c>
      <c r="T57" t="n">
        <v>0.25</v>
      </c>
    </row>
    <row r="58">
      <c r="A58" t="s">
        <v>30</v>
      </c>
      <c r="B58" t="n">
        <v>1.11</v>
      </c>
      <c r="C58" t="n">
        <v>1.05</v>
      </c>
      <c r="D58" t="n">
        <v>1.11</v>
      </c>
      <c r="E58" t="n">
        <v>-6</v>
      </c>
      <c r="F58" t="n">
        <v>-1</v>
      </c>
      <c r="G58" t="n">
        <v>155</v>
      </c>
      <c r="H58" t="n">
        <v>12</v>
      </c>
      <c r="I58" t="s">
        <v>268</v>
      </c>
      <c r="J58" t="n">
        <v>0</v>
      </c>
      <c r="K58" t="n">
        <v>0</v>
      </c>
      <c r="L58" t="n">
        <v>0</v>
      </c>
      <c r="M58" t="n">
        <v>12</v>
      </c>
      <c r="N58" t="n">
        <v>0.25</v>
      </c>
      <c r="O58" t="n">
        <v>0</v>
      </c>
      <c r="P58" t="n">
        <v>108</v>
      </c>
      <c r="Q58" t="n">
        <v>12</v>
      </c>
      <c r="R58" t="s">
        <v>268</v>
      </c>
      <c r="S58" t="s">
        <v>267</v>
      </c>
      <c r="T58" t="n">
        <v>0.25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29</v>
      </c>
      <c r="B1" s="4" t="s">
        <v>244</v>
      </c>
      <c r="C1" s="4" t="s">
        <v>245</v>
      </c>
      <c r="D1" s="4" t="s">
        <v>246</v>
      </c>
      <c r="E1" s="5" t="s">
        <v>247</v>
      </c>
      <c r="F1" s="5" t="s">
        <v>248</v>
      </c>
      <c r="G1" s="5" t="s">
        <v>249</v>
      </c>
      <c r="H1" s="5" t="s">
        <v>250</v>
      </c>
      <c r="I1" s="5" t="s">
        <v>76</v>
      </c>
      <c r="J1" s="6" t="s">
        <v>251</v>
      </c>
      <c r="K1" s="6" t="s">
        <v>252</v>
      </c>
      <c r="L1" s="6" t="s">
        <v>253</v>
      </c>
      <c r="M1" s="6" t="s">
        <v>254</v>
      </c>
      <c r="N1" s="7" t="s">
        <v>255</v>
      </c>
      <c r="O1" s="7" t="s">
        <v>256</v>
      </c>
      <c r="P1" s="7" t="s">
        <v>257</v>
      </c>
      <c r="Q1" s="7" t="s">
        <v>258</v>
      </c>
      <c r="R1" s="7" t="s">
        <v>171</v>
      </c>
      <c r="S1" s="7" t="s">
        <v>166</v>
      </c>
      <c r="T1" s="8" t="s">
        <v>259</v>
      </c>
    </row>
    <row r="2">
      <c r="A2" t="s">
        <v>31</v>
      </c>
      <c r="B2" t="n">
        <v>0.97</v>
      </c>
      <c r="C2" t="n">
        <v>0.83</v>
      </c>
      <c r="D2" t="n">
        <v>0.99</v>
      </c>
      <c r="E2" t="n">
        <v>-1.75</v>
      </c>
      <c r="F2" t="n">
        <v>-0.25</v>
      </c>
      <c r="G2" t="n">
        <v>94</v>
      </c>
      <c r="H2" t="n">
        <v>12</v>
      </c>
      <c r="I2" t="s">
        <v>260</v>
      </c>
      <c r="J2" t="n">
        <v>0</v>
      </c>
      <c r="K2" t="n">
        <v>0</v>
      </c>
      <c r="L2" t="n">
        <v>0</v>
      </c>
      <c r="M2" t="n">
        <v>12</v>
      </c>
      <c r="N2" t="n">
        <v>0.25</v>
      </c>
      <c r="O2" t="n">
        <v>0</v>
      </c>
      <c r="P2" t="n">
        <v>154</v>
      </c>
      <c r="Q2" t="n">
        <v>12</v>
      </c>
      <c r="R2" t="s">
        <v>264</v>
      </c>
      <c r="S2" t="s">
        <v>265</v>
      </c>
      <c r="T2" t="n">
        <v>0.25</v>
      </c>
    </row>
    <row r="3">
      <c r="A3" t="s">
        <v>31</v>
      </c>
      <c r="B3" t="n">
        <v>0.87</v>
      </c>
      <c r="C3" t="n">
        <v>0.85</v>
      </c>
      <c r="D3" t="n">
        <v>0.9</v>
      </c>
      <c r="E3" t="n">
        <v>-6.5</v>
      </c>
      <c r="F3" t="n">
        <v>0</v>
      </c>
      <c r="G3" t="n">
        <v>96</v>
      </c>
      <c r="H3" t="n">
        <v>12</v>
      </c>
      <c r="I3" t="s">
        <v>269</v>
      </c>
      <c r="J3" t="n">
        <v>0</v>
      </c>
      <c r="K3" t="n">
        <v>0</v>
      </c>
      <c r="L3" t="n">
        <v>0</v>
      </c>
      <c r="M3" t="n">
        <v>12</v>
      </c>
      <c r="N3" t="n">
        <v>-0.25</v>
      </c>
      <c r="O3" t="n">
        <v>0</v>
      </c>
      <c r="P3" t="n">
        <v>82</v>
      </c>
      <c r="Q3" t="n">
        <v>12</v>
      </c>
      <c r="R3" t="s">
        <v>261</v>
      </c>
      <c r="S3" t="s">
        <v>265</v>
      </c>
      <c r="T3" t="n">
        <v>-0.25</v>
      </c>
    </row>
    <row r="4">
      <c r="A4" t="s">
        <v>31</v>
      </c>
      <c r="B4" t="n">
        <v>0.93</v>
      </c>
      <c r="C4" t="n">
        <v>0.8</v>
      </c>
      <c r="D4" t="n">
        <v>0.92</v>
      </c>
      <c r="E4" t="n">
        <v>-5.25</v>
      </c>
      <c r="F4" t="n">
        <v>-0.5</v>
      </c>
      <c r="G4" t="n">
        <v>159</v>
      </c>
      <c r="H4" t="n">
        <v>12</v>
      </c>
      <c r="I4" t="s">
        <v>261</v>
      </c>
      <c r="J4" t="n">
        <v>0</v>
      </c>
      <c r="K4" t="n">
        <v>0</v>
      </c>
      <c r="L4" t="n">
        <v>0</v>
      </c>
      <c r="M4" t="n">
        <v>12</v>
      </c>
      <c r="N4" t="n">
        <v>0.25</v>
      </c>
      <c r="O4" t="n">
        <v>-0.5</v>
      </c>
      <c r="P4" t="n">
        <v>128</v>
      </c>
      <c r="Q4" t="n">
        <v>12</v>
      </c>
      <c r="R4" t="s">
        <v>261</v>
      </c>
      <c r="S4" t="s">
        <v>262</v>
      </c>
      <c r="T4" t="n">
        <v>0</v>
      </c>
    </row>
    <row r="5">
      <c r="A5" t="s">
        <v>31</v>
      </c>
      <c r="B5" t="n">
        <v>1.12</v>
      </c>
      <c r="C5" t="n">
        <v>0.88</v>
      </c>
      <c r="D5" t="n">
        <v>1.17</v>
      </c>
      <c r="E5" t="n">
        <v>-7.25</v>
      </c>
      <c r="F5" t="n">
        <v>-1</v>
      </c>
      <c r="G5" t="n">
        <v>11</v>
      </c>
      <c r="H5" t="n">
        <v>12</v>
      </c>
      <c r="I5" t="s">
        <v>268</v>
      </c>
      <c r="J5" t="n">
        <v>0</v>
      </c>
      <c r="K5" t="n">
        <v>0</v>
      </c>
      <c r="L5" t="n">
        <v>0</v>
      </c>
      <c r="M5" t="n">
        <v>12</v>
      </c>
      <c r="N5" t="n">
        <v>-0.5</v>
      </c>
      <c r="O5" t="n">
        <v>-0.25</v>
      </c>
      <c r="P5" t="n">
        <v>44</v>
      </c>
      <c r="Q5" t="n">
        <v>12</v>
      </c>
      <c r="R5" t="s">
        <v>263</v>
      </c>
      <c r="S5" t="s">
        <v>269</v>
      </c>
      <c r="T5" t="n">
        <v>-0.75</v>
      </c>
    </row>
    <row r="6">
      <c r="A6" t="s">
        <v>31</v>
      </c>
      <c r="B6" t="n">
        <v>0.93</v>
      </c>
      <c r="C6" t="n">
        <v>0.85</v>
      </c>
      <c r="D6" t="n">
        <v>0.98</v>
      </c>
      <c r="E6" t="n">
        <v>-4.5</v>
      </c>
      <c r="F6" t="n">
        <v>-1.25</v>
      </c>
      <c r="G6" t="n">
        <v>32</v>
      </c>
      <c r="H6" t="n">
        <v>12</v>
      </c>
      <c r="I6" t="s">
        <v>261</v>
      </c>
      <c r="J6" t="n">
        <v>0</v>
      </c>
      <c r="K6" t="n">
        <v>0</v>
      </c>
      <c r="L6" t="n">
        <v>0</v>
      </c>
      <c r="M6" t="n">
        <v>12</v>
      </c>
      <c r="N6" t="n">
        <v>0</v>
      </c>
      <c r="O6" t="n">
        <v>0</v>
      </c>
      <c r="P6" t="n">
        <v>43</v>
      </c>
      <c r="Q6" t="n">
        <v>12</v>
      </c>
      <c r="R6" t="s">
        <v>264</v>
      </c>
      <c r="S6" t="s">
        <v>265</v>
      </c>
      <c r="T6" t="n">
        <v>0</v>
      </c>
    </row>
    <row r="7">
      <c r="A7" t="s">
        <v>31</v>
      </c>
      <c r="B7" t="n">
        <v>0.96</v>
      </c>
      <c r="C7" t="n">
        <v>0.98</v>
      </c>
      <c r="D7" t="n">
        <v>1</v>
      </c>
      <c r="E7" t="n">
        <v>-5.25</v>
      </c>
      <c r="F7" t="n">
        <v>-0.5</v>
      </c>
      <c r="G7" t="n">
        <v>167</v>
      </c>
      <c r="H7" t="n">
        <v>12</v>
      </c>
      <c r="I7" t="s">
        <v>260</v>
      </c>
      <c r="J7" t="n">
        <v>0</v>
      </c>
      <c r="K7" t="n">
        <v>0</v>
      </c>
      <c r="L7" t="n">
        <v>0</v>
      </c>
      <c r="M7" t="n">
        <v>12</v>
      </c>
      <c r="N7" t="n">
        <v>0</v>
      </c>
      <c r="O7" t="n">
        <v>-0.75</v>
      </c>
      <c r="P7" t="n">
        <v>3</v>
      </c>
      <c r="Q7" t="n">
        <v>12</v>
      </c>
      <c r="R7" t="s">
        <v>264</v>
      </c>
      <c r="S7" t="s">
        <v>264</v>
      </c>
      <c r="T7" t="n">
        <v>-0.25</v>
      </c>
    </row>
    <row r="8">
      <c r="A8" t="s">
        <v>31</v>
      </c>
      <c r="B8" t="n">
        <v>1.05</v>
      </c>
      <c r="C8" t="n">
        <v>0.89</v>
      </c>
      <c r="D8" t="n">
        <v>1.04</v>
      </c>
      <c r="E8" t="n">
        <v>-3.75</v>
      </c>
      <c r="F8" t="n">
        <v>-0.75</v>
      </c>
      <c r="G8" t="n">
        <v>94</v>
      </c>
      <c r="H8" t="n">
        <v>12</v>
      </c>
      <c r="I8" t="s">
        <v>267</v>
      </c>
      <c r="J8" t="n">
        <v>0</v>
      </c>
      <c r="K8" t="n">
        <v>0</v>
      </c>
      <c r="L8" t="n">
        <v>0</v>
      </c>
      <c r="M8" t="n">
        <v>12</v>
      </c>
      <c r="N8" t="n">
        <v>-0.5</v>
      </c>
      <c r="O8" t="n">
        <v>-0.25</v>
      </c>
      <c r="P8" t="n">
        <v>63</v>
      </c>
      <c r="Q8" t="n">
        <v>12</v>
      </c>
      <c r="R8" t="s">
        <v>267</v>
      </c>
      <c r="S8" t="s">
        <v>269</v>
      </c>
      <c r="T8" t="n">
        <v>-0.75</v>
      </c>
    </row>
    <row r="9">
      <c r="A9" t="s">
        <v>31</v>
      </c>
      <c r="B9" t="n">
        <v>1.09</v>
      </c>
      <c r="C9" t="n">
        <v>1</v>
      </c>
      <c r="D9" t="n">
        <v>1.11</v>
      </c>
      <c r="E9" t="n">
        <v>-4.75</v>
      </c>
      <c r="F9" t="n">
        <v>-1.5</v>
      </c>
      <c r="G9" t="n">
        <v>174</v>
      </c>
      <c r="H9" t="n">
        <v>12</v>
      </c>
      <c r="I9" t="s">
        <v>268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-0.25</v>
      </c>
      <c r="P9" t="n">
        <v>1</v>
      </c>
      <c r="Q9" t="n">
        <v>12</v>
      </c>
      <c r="R9" t="s">
        <v>268</v>
      </c>
      <c r="S9" t="s">
        <v>264</v>
      </c>
      <c r="T9" t="n">
        <v>0</v>
      </c>
    </row>
    <row r="10">
      <c r="A10" t="s">
        <v>31</v>
      </c>
      <c r="B10" t="n">
        <v>1.01</v>
      </c>
      <c r="C10" t="n">
        <v>0.92</v>
      </c>
      <c r="D10" t="n">
        <v>1</v>
      </c>
      <c r="E10" t="n">
        <v>-4.25</v>
      </c>
      <c r="F10" t="n">
        <v>-0.5</v>
      </c>
      <c r="G10" t="n">
        <v>9</v>
      </c>
      <c r="H10" t="n">
        <v>12</v>
      </c>
      <c r="I10" t="s">
        <v>264</v>
      </c>
      <c r="J10" t="n">
        <v>0</v>
      </c>
      <c r="K10" t="n">
        <v>0</v>
      </c>
      <c r="L10" t="n">
        <v>0</v>
      </c>
      <c r="M10" t="n">
        <v>12</v>
      </c>
      <c r="N10" t="n">
        <v>1</v>
      </c>
      <c r="O10" t="n">
        <v>-0.25</v>
      </c>
      <c r="P10" t="n">
        <v>175</v>
      </c>
      <c r="Q10" t="n">
        <v>12</v>
      </c>
      <c r="R10" t="s">
        <v>264</v>
      </c>
      <c r="S10" t="s">
        <v>261</v>
      </c>
      <c r="T10" t="n">
        <v>0.75</v>
      </c>
    </row>
    <row r="11">
      <c r="A11" t="s">
        <v>31</v>
      </c>
      <c r="B11" t="n">
        <v>1.12</v>
      </c>
      <c r="C11" t="n">
        <v>0.91</v>
      </c>
      <c r="D11" t="n">
        <v>1.08</v>
      </c>
      <c r="E11" t="n">
        <v>-6</v>
      </c>
      <c r="F11" t="n">
        <v>-0.5</v>
      </c>
      <c r="G11" t="n">
        <v>4</v>
      </c>
      <c r="H11" t="n">
        <v>12</v>
      </c>
      <c r="I11" t="s">
        <v>268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-0.25</v>
      </c>
      <c r="P11" t="n">
        <v>179</v>
      </c>
      <c r="Q11" t="n">
        <v>12</v>
      </c>
      <c r="R11" t="s">
        <v>268</v>
      </c>
      <c r="S11" t="s">
        <v>261</v>
      </c>
      <c r="T11" t="n">
        <v>-0.25</v>
      </c>
    </row>
    <row r="12">
      <c r="A12" t="s">
        <v>31</v>
      </c>
      <c r="B12" t="n">
        <v>1.09</v>
      </c>
      <c r="C12" t="n">
        <v>0.91</v>
      </c>
      <c r="D12" t="n">
        <v>1.13</v>
      </c>
      <c r="E12" t="n">
        <v>-4.25</v>
      </c>
      <c r="F12" t="n">
        <v>-0.75</v>
      </c>
      <c r="G12" t="n">
        <v>159</v>
      </c>
      <c r="H12" t="n">
        <v>12</v>
      </c>
      <c r="I12" t="s">
        <v>268</v>
      </c>
      <c r="J12" t="n">
        <v>0</v>
      </c>
      <c r="K12" t="n">
        <v>0</v>
      </c>
      <c r="L12" t="n">
        <v>0</v>
      </c>
      <c r="M12" t="n">
        <v>12</v>
      </c>
      <c r="N12" t="n">
        <v>-0.5</v>
      </c>
      <c r="O12" t="n">
        <v>-0.25</v>
      </c>
      <c r="P12" t="n">
        <v>175</v>
      </c>
      <c r="Q12" t="n">
        <v>12</v>
      </c>
      <c r="R12" t="s">
        <v>263</v>
      </c>
      <c r="S12" t="s">
        <v>261</v>
      </c>
      <c r="T12" t="n">
        <v>-0.75</v>
      </c>
    </row>
    <row r="13">
      <c r="A13" t="s">
        <v>31</v>
      </c>
      <c r="B13" t="n">
        <v>1.03</v>
      </c>
      <c r="C13" t="n">
        <v>0.88</v>
      </c>
      <c r="D13" t="n">
        <v>1.04</v>
      </c>
      <c r="E13" t="n">
        <v>-4.75</v>
      </c>
      <c r="F13" t="n">
        <v>-0.75</v>
      </c>
      <c r="G13" t="n">
        <v>6</v>
      </c>
      <c r="H13" t="n">
        <v>12</v>
      </c>
      <c r="I13" t="s">
        <v>267</v>
      </c>
      <c r="J13" t="n">
        <v>0</v>
      </c>
      <c r="K13" t="n">
        <v>0</v>
      </c>
      <c r="L13" t="n">
        <v>0</v>
      </c>
      <c r="M13" t="n">
        <v>12</v>
      </c>
      <c r="N13" t="n">
        <v>0.75</v>
      </c>
      <c r="O13" t="n">
        <v>0</v>
      </c>
      <c r="P13" t="n">
        <v>23</v>
      </c>
      <c r="Q13" t="n">
        <v>12</v>
      </c>
      <c r="R13" t="s">
        <v>267</v>
      </c>
      <c r="S13" t="s">
        <v>269</v>
      </c>
      <c r="T13" t="n">
        <v>0.75</v>
      </c>
    </row>
    <row r="14">
      <c r="A14" t="s">
        <v>31</v>
      </c>
      <c r="B14" t="n">
        <v>1.09</v>
      </c>
      <c r="C14" t="n">
        <v>0.85</v>
      </c>
      <c r="D14" t="n">
        <v>1.06</v>
      </c>
      <c r="E14" t="n">
        <v>-4.25</v>
      </c>
      <c r="F14" t="n">
        <v>-1.75</v>
      </c>
      <c r="G14" t="n">
        <v>104</v>
      </c>
      <c r="H14" t="n">
        <v>12</v>
      </c>
      <c r="I14" t="s">
        <v>268</v>
      </c>
      <c r="J14" t="n">
        <v>0</v>
      </c>
      <c r="K14" t="n">
        <v>0</v>
      </c>
      <c r="L14" t="n">
        <v>0</v>
      </c>
      <c r="M14" t="n">
        <v>12</v>
      </c>
      <c r="N14" t="n">
        <v>-0.5</v>
      </c>
      <c r="O14" t="n">
        <v>-0.25</v>
      </c>
      <c r="P14" t="n">
        <v>99</v>
      </c>
      <c r="Q14" t="n">
        <v>12</v>
      </c>
      <c r="R14" t="s">
        <v>267</v>
      </c>
      <c r="S14" t="s">
        <v>265</v>
      </c>
      <c r="T14" t="n">
        <v>-0.75</v>
      </c>
    </row>
    <row r="15">
      <c r="A15" t="s">
        <v>31</v>
      </c>
      <c r="B15" t="n">
        <v>1.01</v>
      </c>
      <c r="C15" t="n">
        <v>0.84</v>
      </c>
      <c r="D15" t="n">
        <v>0.98</v>
      </c>
      <c r="E15" t="n">
        <v>-5.25</v>
      </c>
      <c r="F15" t="n">
        <v>-0.5</v>
      </c>
      <c r="G15" t="n">
        <v>38</v>
      </c>
      <c r="H15" t="n">
        <v>12</v>
      </c>
      <c r="I15" t="s">
        <v>264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-0.5</v>
      </c>
      <c r="P15" t="n">
        <v>3</v>
      </c>
      <c r="Q15" t="n">
        <v>12</v>
      </c>
      <c r="R15" t="s">
        <v>264</v>
      </c>
      <c r="S15" t="s">
        <v>265</v>
      </c>
      <c r="T15" t="n">
        <v>-0.25</v>
      </c>
    </row>
    <row r="16">
      <c r="A16" t="s">
        <v>31</v>
      </c>
      <c r="B16" t="n">
        <v>1</v>
      </c>
      <c r="C16" t="n">
        <v>0.94</v>
      </c>
      <c r="D16" t="n">
        <v>0.96</v>
      </c>
      <c r="E16" t="n">
        <v>-2.75</v>
      </c>
      <c r="F16" t="n">
        <v>-1</v>
      </c>
      <c r="G16" t="n">
        <v>77</v>
      </c>
      <c r="H16" t="n">
        <v>12</v>
      </c>
      <c r="I16" t="s">
        <v>264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0</v>
      </c>
      <c r="P16" t="n">
        <v>72</v>
      </c>
      <c r="Q16" t="n">
        <v>12</v>
      </c>
      <c r="R16" t="s">
        <v>260</v>
      </c>
      <c r="S16" t="s">
        <v>260</v>
      </c>
      <c r="T16" t="n">
        <v>0</v>
      </c>
    </row>
    <row r="17">
      <c r="A17" t="s">
        <v>31</v>
      </c>
      <c r="B17" t="n">
        <v>1.02</v>
      </c>
      <c r="C17" t="n">
        <v>0.99</v>
      </c>
      <c r="D17" t="n">
        <v>1.01</v>
      </c>
      <c r="E17" t="n">
        <v>-3.25</v>
      </c>
      <c r="F17" t="n">
        <v>-0.25</v>
      </c>
      <c r="G17" t="n">
        <v>85</v>
      </c>
      <c r="H17" t="n">
        <v>12</v>
      </c>
      <c r="I17" t="s">
        <v>264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78</v>
      </c>
      <c r="Q17" t="n">
        <v>12</v>
      </c>
      <c r="R17" t="s">
        <v>264</v>
      </c>
      <c r="S17" t="s">
        <v>264</v>
      </c>
      <c r="T17" t="n">
        <v>0</v>
      </c>
    </row>
    <row r="18">
      <c r="A18" t="s">
        <v>31</v>
      </c>
      <c r="B18" t="n">
        <v>0.89</v>
      </c>
      <c r="C18" t="n">
        <v>0.89</v>
      </c>
      <c r="D18" t="n">
        <v>0.92</v>
      </c>
      <c r="E18" t="n">
        <v>-4.25</v>
      </c>
      <c r="F18" t="n">
        <v>-0.25</v>
      </c>
      <c r="G18" t="n">
        <v>2</v>
      </c>
      <c r="H18" t="n">
        <v>12</v>
      </c>
      <c r="I18" t="s">
        <v>269</v>
      </c>
      <c r="J18" t="n">
        <v>0</v>
      </c>
      <c r="K18" t="n">
        <v>0</v>
      </c>
      <c r="L18" t="n">
        <v>0</v>
      </c>
      <c r="M18" t="n">
        <v>12</v>
      </c>
      <c r="N18" t="n">
        <v>0</v>
      </c>
      <c r="O18" t="n">
        <v>0</v>
      </c>
      <c r="P18" t="n">
        <v>82</v>
      </c>
      <c r="Q18" t="n">
        <v>12</v>
      </c>
      <c r="R18" t="s">
        <v>261</v>
      </c>
      <c r="S18" t="s">
        <v>269</v>
      </c>
      <c r="T18" t="n">
        <v>0</v>
      </c>
    </row>
    <row r="19">
      <c r="A19" t="s">
        <v>31</v>
      </c>
      <c r="B19" t="n">
        <v>1.04</v>
      </c>
      <c r="C19" t="n">
        <v>0.85</v>
      </c>
      <c r="D19" t="n">
        <v>1.11</v>
      </c>
      <c r="E19" t="n">
        <v>-5.75</v>
      </c>
      <c r="F19" t="n">
        <v>-0.5</v>
      </c>
      <c r="G19" t="n">
        <v>87</v>
      </c>
      <c r="H19" t="n">
        <v>12</v>
      </c>
      <c r="I19" t="s">
        <v>267</v>
      </c>
      <c r="J19" t="n">
        <v>0</v>
      </c>
      <c r="K19" t="n">
        <v>0</v>
      </c>
      <c r="L19" t="n">
        <v>0</v>
      </c>
      <c r="M19" t="n">
        <v>12</v>
      </c>
      <c r="N19" t="n">
        <v>-0.5</v>
      </c>
      <c r="O19" t="n">
        <v>-0.25</v>
      </c>
      <c r="P19" t="n">
        <v>90</v>
      </c>
      <c r="Q19" t="n">
        <v>12</v>
      </c>
      <c r="R19" t="s">
        <v>268</v>
      </c>
      <c r="S19" t="s">
        <v>265</v>
      </c>
      <c r="T19" t="n">
        <v>-0.75</v>
      </c>
    </row>
    <row r="20">
      <c r="A20" t="s">
        <v>31</v>
      </c>
      <c r="B20" t="n">
        <v>1.13</v>
      </c>
      <c r="C20" t="n">
        <v>1.04</v>
      </c>
      <c r="D20" t="n">
        <v>1.08</v>
      </c>
      <c r="E20" t="n">
        <v>-3.5</v>
      </c>
      <c r="F20" t="n">
        <v>-1.25</v>
      </c>
      <c r="G20" t="n">
        <v>165</v>
      </c>
      <c r="H20" t="n">
        <v>12</v>
      </c>
      <c r="I20" t="s">
        <v>263</v>
      </c>
      <c r="J20" t="n">
        <v>0</v>
      </c>
      <c r="K20" t="n">
        <v>0</v>
      </c>
      <c r="L20" t="n">
        <v>0</v>
      </c>
      <c r="M20" t="n">
        <v>12</v>
      </c>
      <c r="N20" t="n">
        <v>0.5</v>
      </c>
      <c r="O20" t="n">
        <v>-0.25</v>
      </c>
      <c r="P20" t="n">
        <v>156</v>
      </c>
      <c r="Q20" t="n">
        <v>12</v>
      </c>
      <c r="R20" t="s">
        <v>268</v>
      </c>
      <c r="S20" t="s">
        <v>267</v>
      </c>
      <c r="T20" t="n">
        <v>0.25</v>
      </c>
    </row>
    <row r="21">
      <c r="A21" t="s">
        <v>31</v>
      </c>
      <c r="B21" t="n">
        <v>0.95</v>
      </c>
      <c r="C21" t="n">
        <v>0.89</v>
      </c>
      <c r="D21" t="n">
        <v>0.94</v>
      </c>
      <c r="E21" t="n">
        <v>-3.5</v>
      </c>
      <c r="F21" t="n">
        <v>-2.75</v>
      </c>
      <c r="G21" t="n">
        <v>8</v>
      </c>
      <c r="H21" t="n">
        <v>12</v>
      </c>
      <c r="I21" t="s">
        <v>260</v>
      </c>
      <c r="J21" t="n">
        <v>0</v>
      </c>
      <c r="K21" t="n">
        <v>0</v>
      </c>
      <c r="L21" t="n">
        <v>0</v>
      </c>
      <c r="M21" t="n">
        <v>12</v>
      </c>
      <c r="N21" t="n">
        <v>0</v>
      </c>
      <c r="O21" t="n">
        <v>-0.25</v>
      </c>
      <c r="P21" t="n">
        <v>177</v>
      </c>
      <c r="Q21" t="n">
        <v>12</v>
      </c>
      <c r="R21" t="s">
        <v>260</v>
      </c>
      <c r="S21" t="s">
        <v>269</v>
      </c>
      <c r="T21" t="n">
        <v>-0.25</v>
      </c>
    </row>
    <row r="22">
      <c r="A22" t="s">
        <v>31</v>
      </c>
      <c r="B22" t="n">
        <v>0.97</v>
      </c>
      <c r="C22" t="n">
        <v>0.77</v>
      </c>
      <c r="D22" t="n">
        <v>0.93</v>
      </c>
      <c r="E22" t="n">
        <v>-3.5</v>
      </c>
      <c r="F22" t="n">
        <v>0</v>
      </c>
      <c r="G22" t="n">
        <v>174</v>
      </c>
      <c r="H22" t="n">
        <v>12</v>
      </c>
      <c r="I22" t="s">
        <v>260</v>
      </c>
      <c r="J22" t="n">
        <v>0</v>
      </c>
      <c r="K22" t="n">
        <v>0</v>
      </c>
      <c r="L22" t="n">
        <v>0</v>
      </c>
      <c r="M22" t="n">
        <v>12</v>
      </c>
      <c r="N22" t="n">
        <v>0.5</v>
      </c>
      <c r="O22" t="n">
        <v>-0.25</v>
      </c>
      <c r="P22" t="n">
        <v>116</v>
      </c>
      <c r="Q22" t="n">
        <v>12</v>
      </c>
      <c r="R22" t="s">
        <v>261</v>
      </c>
      <c r="S22" t="s">
        <v>271</v>
      </c>
      <c r="T22" t="n">
        <v>0.25</v>
      </c>
    </row>
    <row r="23">
      <c r="A23" t="s">
        <v>31</v>
      </c>
      <c r="B23" t="n">
        <v>1.01</v>
      </c>
      <c r="C23" t="n">
        <v>0.85</v>
      </c>
      <c r="D23" t="n">
        <v>0.99</v>
      </c>
      <c r="E23" t="n">
        <v>-6</v>
      </c>
      <c r="F23" t="n">
        <v>-0.5</v>
      </c>
      <c r="G23" t="n">
        <v>2</v>
      </c>
      <c r="H23" t="n">
        <v>12</v>
      </c>
      <c r="I23" t="s">
        <v>264</v>
      </c>
      <c r="J23" t="n">
        <v>0</v>
      </c>
      <c r="K23" t="n">
        <v>0</v>
      </c>
      <c r="L23" t="n">
        <v>0</v>
      </c>
      <c r="M23" t="n">
        <v>12</v>
      </c>
      <c r="N23" t="n">
        <v>-0.5</v>
      </c>
      <c r="O23" t="n">
        <v>-0.25</v>
      </c>
      <c r="P23" t="n">
        <v>0</v>
      </c>
      <c r="Q23" t="n">
        <v>12</v>
      </c>
      <c r="R23" t="s">
        <v>264</v>
      </c>
      <c r="S23" t="s">
        <v>265</v>
      </c>
      <c r="T23" t="n">
        <v>-0.5</v>
      </c>
    </row>
    <row r="24">
      <c r="A24" t="s">
        <v>31</v>
      </c>
      <c r="B24" t="n">
        <v>0.96</v>
      </c>
      <c r="C24" t="n">
        <v>0.81</v>
      </c>
      <c r="D24" t="n">
        <v>0.96</v>
      </c>
      <c r="E24" t="n">
        <v>-2.5</v>
      </c>
      <c r="F24" t="n">
        <v>-0.75</v>
      </c>
      <c r="G24" t="n">
        <v>81</v>
      </c>
      <c r="H24" t="n">
        <v>12</v>
      </c>
      <c r="I24" t="s">
        <v>260</v>
      </c>
      <c r="J24" t="n">
        <v>0</v>
      </c>
      <c r="K24" t="n">
        <v>0</v>
      </c>
      <c r="L24" t="n">
        <v>0</v>
      </c>
      <c r="M24" t="n">
        <v>12</v>
      </c>
      <c r="N24" t="n">
        <v>-0.25</v>
      </c>
      <c r="O24" t="n">
        <v>-0.5</v>
      </c>
      <c r="P24" t="n">
        <v>85</v>
      </c>
      <c r="Q24" t="n">
        <v>12</v>
      </c>
      <c r="R24" t="s">
        <v>260</v>
      </c>
      <c r="S24" t="s">
        <v>262</v>
      </c>
      <c r="T24" t="n">
        <v>-0.5</v>
      </c>
    </row>
    <row r="25">
      <c r="A25" t="s">
        <v>31</v>
      </c>
      <c r="B25" t="n">
        <v>0.94</v>
      </c>
      <c r="C25" t="n">
        <v>0.79</v>
      </c>
      <c r="D25" t="n">
        <v>0.89</v>
      </c>
      <c r="E25" t="n">
        <v>-5</v>
      </c>
      <c r="F25" t="n">
        <v>-1</v>
      </c>
      <c r="G25" t="n">
        <v>18</v>
      </c>
      <c r="H25" t="n">
        <v>12</v>
      </c>
      <c r="I25" t="s">
        <v>260</v>
      </c>
      <c r="J25" t="n">
        <v>0</v>
      </c>
      <c r="K25" t="n">
        <v>0</v>
      </c>
      <c r="L25" t="n">
        <v>0</v>
      </c>
      <c r="M25" t="n">
        <v>12</v>
      </c>
      <c r="N25" t="n">
        <v>-0.5</v>
      </c>
      <c r="O25" t="n">
        <v>-0.25</v>
      </c>
      <c r="P25" t="n">
        <v>174</v>
      </c>
      <c r="Q25" t="n">
        <v>12</v>
      </c>
      <c r="R25" t="s">
        <v>269</v>
      </c>
      <c r="S25" t="s">
        <v>262</v>
      </c>
      <c r="T25" t="n">
        <v>-0.5</v>
      </c>
    </row>
    <row r="26">
      <c r="A26" t="s">
        <v>31</v>
      </c>
      <c r="B26" t="n">
        <v>1</v>
      </c>
      <c r="C26" t="n">
        <v>0.92</v>
      </c>
      <c r="D26" t="n">
        <v>0.95</v>
      </c>
      <c r="E26" t="n">
        <v>-3.25</v>
      </c>
      <c r="F26" t="n">
        <v>-0.75</v>
      </c>
      <c r="G26" t="n">
        <v>180</v>
      </c>
      <c r="H26" t="n">
        <v>12</v>
      </c>
      <c r="I26" t="s">
        <v>264</v>
      </c>
      <c r="J26" t="n">
        <v>0</v>
      </c>
      <c r="K26" t="n">
        <v>0</v>
      </c>
      <c r="L26" t="n">
        <v>0</v>
      </c>
      <c r="M26" t="n">
        <v>12</v>
      </c>
      <c r="N26" t="n">
        <v>-0.25</v>
      </c>
      <c r="O26" t="n">
        <v>-0.5</v>
      </c>
      <c r="P26" t="n">
        <v>167</v>
      </c>
      <c r="Q26" t="n">
        <v>12</v>
      </c>
      <c r="R26" t="s">
        <v>260</v>
      </c>
      <c r="S26" t="s">
        <v>261</v>
      </c>
      <c r="T26" t="n">
        <v>-0.5</v>
      </c>
    </row>
    <row r="27">
      <c r="A27" t="s">
        <v>31</v>
      </c>
      <c r="B27" t="n">
        <v>0.97</v>
      </c>
      <c r="C27" t="n">
        <v>0.59</v>
      </c>
      <c r="D27" t="n">
        <v>0.93</v>
      </c>
      <c r="E27" t="n">
        <v>-3.25</v>
      </c>
      <c r="F27" t="n">
        <v>-0.25</v>
      </c>
      <c r="G27" t="n">
        <v>169</v>
      </c>
      <c r="H27" t="n">
        <v>12</v>
      </c>
      <c r="I27" t="s">
        <v>260</v>
      </c>
      <c r="J27" t="n">
        <v>0</v>
      </c>
      <c r="K27" t="n">
        <v>0</v>
      </c>
      <c r="L27" t="n">
        <v>0</v>
      </c>
      <c r="M27" t="n">
        <v>12</v>
      </c>
      <c r="N27" t="n">
        <v>-1</v>
      </c>
      <c r="O27" t="n">
        <v>0</v>
      </c>
      <c r="P27" t="n">
        <v>82</v>
      </c>
      <c r="Q27" t="n">
        <v>12</v>
      </c>
      <c r="R27" t="s">
        <v>261</v>
      </c>
      <c r="S27" t="s">
        <v>274</v>
      </c>
      <c r="T27" t="n">
        <v>-1</v>
      </c>
    </row>
    <row r="28">
      <c r="A28" t="s">
        <v>31</v>
      </c>
      <c r="B28" t="n">
        <v>1.04</v>
      </c>
      <c r="C28" t="n">
        <v>0.89</v>
      </c>
      <c r="D28" t="n">
        <v>1.04</v>
      </c>
      <c r="E28" t="n">
        <v>-4</v>
      </c>
      <c r="F28" t="n">
        <v>-0.25</v>
      </c>
      <c r="G28" t="n">
        <v>12</v>
      </c>
      <c r="H28" t="n">
        <v>12</v>
      </c>
      <c r="I28" t="s">
        <v>267</v>
      </c>
      <c r="J28" t="n">
        <v>0</v>
      </c>
      <c r="K28" t="n">
        <v>0</v>
      </c>
      <c r="L28" t="n">
        <v>0</v>
      </c>
      <c r="M28" t="n">
        <v>12</v>
      </c>
      <c r="N28" t="n">
        <v>0.5</v>
      </c>
      <c r="O28" t="n">
        <v>-0.25</v>
      </c>
      <c r="P28" t="n">
        <v>3</v>
      </c>
      <c r="Q28" t="n">
        <v>12</v>
      </c>
      <c r="R28" t="s">
        <v>267</v>
      </c>
      <c r="S28" t="s">
        <v>269</v>
      </c>
      <c r="T28" t="n">
        <v>0.25</v>
      </c>
    </row>
    <row r="29">
      <c r="A29" t="s">
        <v>31</v>
      </c>
      <c r="B29" t="n">
        <v>1.08</v>
      </c>
      <c r="C29" t="n">
        <v>1.01</v>
      </c>
      <c r="D29" t="n">
        <v>1.1</v>
      </c>
      <c r="E29" t="n">
        <v>-1.75</v>
      </c>
      <c r="F29" t="n">
        <v>-1</v>
      </c>
      <c r="G29" t="n">
        <v>59</v>
      </c>
      <c r="H29" t="n">
        <v>12</v>
      </c>
      <c r="I29" t="s">
        <v>268</v>
      </c>
      <c r="J29" t="n">
        <v>0</v>
      </c>
      <c r="K29" t="n">
        <v>0</v>
      </c>
      <c r="L29" t="n">
        <v>0</v>
      </c>
      <c r="M29" t="n">
        <v>12</v>
      </c>
      <c r="N29" t="n">
        <v>0.5</v>
      </c>
      <c r="O29" t="n">
        <v>-0.5</v>
      </c>
      <c r="P29" t="n">
        <v>84</v>
      </c>
      <c r="Q29" t="n">
        <v>12</v>
      </c>
      <c r="R29" t="s">
        <v>268</v>
      </c>
      <c r="S29" t="s">
        <v>264</v>
      </c>
      <c r="T29" t="n">
        <v>0.25</v>
      </c>
    </row>
    <row r="30">
      <c r="A30" t="s">
        <v>31</v>
      </c>
      <c r="B30" t="n">
        <v>1.09</v>
      </c>
      <c r="C30" t="n">
        <v>0.94</v>
      </c>
      <c r="D30" t="n">
        <v>1.11</v>
      </c>
      <c r="E30" t="n">
        <v>-7.5</v>
      </c>
      <c r="F30" t="n">
        <v>-0.5</v>
      </c>
      <c r="G30" t="n">
        <v>76</v>
      </c>
      <c r="H30" t="n">
        <v>12</v>
      </c>
      <c r="I30" t="s">
        <v>268</v>
      </c>
      <c r="J30" t="n">
        <v>0</v>
      </c>
      <c r="K30" t="n">
        <v>0</v>
      </c>
      <c r="L30" t="n">
        <v>0</v>
      </c>
      <c r="M30" t="n">
        <v>12</v>
      </c>
      <c r="N30" t="n">
        <v>0.5</v>
      </c>
      <c r="O30" t="n">
        <v>-0.25</v>
      </c>
      <c r="P30" t="n">
        <v>50</v>
      </c>
      <c r="Q30" t="n">
        <v>12</v>
      </c>
      <c r="R30" t="s">
        <v>268</v>
      </c>
      <c r="S30" t="s">
        <v>260</v>
      </c>
      <c r="T30" t="n">
        <v>0.25</v>
      </c>
    </row>
    <row r="31">
      <c r="A31" t="s">
        <v>31</v>
      </c>
      <c r="B31" t="n">
        <v>1.02</v>
      </c>
      <c r="C31" t="n">
        <v>0.8</v>
      </c>
      <c r="D31" t="n">
        <v>1.03</v>
      </c>
      <c r="E31" t="n">
        <v>-3.5</v>
      </c>
      <c r="F31" t="n">
        <v>0</v>
      </c>
      <c r="G31" t="n">
        <v>179</v>
      </c>
      <c r="H31" t="n">
        <v>12</v>
      </c>
      <c r="I31" t="s">
        <v>264</v>
      </c>
      <c r="J31" t="n">
        <v>0</v>
      </c>
      <c r="K31" t="n">
        <v>0</v>
      </c>
      <c r="L31" t="n">
        <v>0</v>
      </c>
      <c r="M31" t="n">
        <v>12</v>
      </c>
      <c r="N31" t="n">
        <v>-0.75</v>
      </c>
      <c r="O31" t="n">
        <v>0</v>
      </c>
      <c r="P31" t="n">
        <v>20</v>
      </c>
      <c r="Q31" t="n">
        <v>12</v>
      </c>
      <c r="R31" t="s">
        <v>267</v>
      </c>
      <c r="S31" t="s">
        <v>262</v>
      </c>
      <c r="T31" t="n">
        <v>-0.75</v>
      </c>
    </row>
    <row r="32">
      <c r="A32" t="s">
        <v>31</v>
      </c>
      <c r="B32" t="n">
        <v>1.01</v>
      </c>
      <c r="C32" t="n">
        <v>0.94</v>
      </c>
      <c r="D32" t="n">
        <v>1.02</v>
      </c>
      <c r="E32" t="n">
        <v>-4.25</v>
      </c>
      <c r="F32" t="n">
        <v>-0.25</v>
      </c>
      <c r="G32" t="n">
        <v>100</v>
      </c>
      <c r="H32" t="n">
        <v>12</v>
      </c>
      <c r="I32" t="s">
        <v>264</v>
      </c>
      <c r="J32" t="n">
        <v>0</v>
      </c>
      <c r="K32" t="n">
        <v>0</v>
      </c>
      <c r="L32" t="n">
        <v>0</v>
      </c>
      <c r="M32" t="n">
        <v>12</v>
      </c>
      <c r="N32" t="n">
        <v>0</v>
      </c>
      <c r="O32" t="n">
        <v>-0.25</v>
      </c>
      <c r="P32" t="n">
        <v>102</v>
      </c>
      <c r="Q32" t="n">
        <v>12</v>
      </c>
      <c r="R32" t="s">
        <v>264</v>
      </c>
      <c r="S32" t="s">
        <v>260</v>
      </c>
      <c r="T32" t="n">
        <v>0</v>
      </c>
    </row>
    <row r="33">
      <c r="A33" t="s">
        <v>31</v>
      </c>
      <c r="B33" t="n">
        <v>0.87</v>
      </c>
      <c r="C33" t="n">
        <v>0.64</v>
      </c>
      <c r="D33" t="n">
        <v>0.84</v>
      </c>
      <c r="E33" t="n">
        <v>-3.75</v>
      </c>
      <c r="F33" t="n">
        <v>-0.75</v>
      </c>
      <c r="G33" t="n">
        <v>172</v>
      </c>
      <c r="H33" t="n">
        <v>12</v>
      </c>
      <c r="I33" t="s">
        <v>269</v>
      </c>
      <c r="J33" t="n">
        <v>0</v>
      </c>
      <c r="K33" t="n">
        <v>0</v>
      </c>
      <c r="L33" t="n">
        <v>0</v>
      </c>
      <c r="M33" t="n">
        <v>12</v>
      </c>
      <c r="N33" t="n">
        <v>0</v>
      </c>
      <c r="O33" t="n">
        <v>-0.25</v>
      </c>
      <c r="P33" t="n">
        <v>159</v>
      </c>
      <c r="Q33" t="n">
        <v>12</v>
      </c>
      <c r="R33" t="s">
        <v>265</v>
      </c>
      <c r="S33" t="s">
        <v>275</v>
      </c>
      <c r="T33" t="n">
        <v>-0.25</v>
      </c>
    </row>
    <row r="34">
      <c r="A34" t="s">
        <v>31</v>
      </c>
      <c r="B34" t="n">
        <v>1.02</v>
      </c>
      <c r="C34" t="n">
        <v>0.88</v>
      </c>
      <c r="D34" t="n">
        <v>1.03</v>
      </c>
      <c r="E34" t="n">
        <v>-2.5</v>
      </c>
      <c r="F34" t="n">
        <v>-0.25</v>
      </c>
      <c r="G34" t="n">
        <v>177</v>
      </c>
      <c r="H34" t="n">
        <v>12</v>
      </c>
      <c r="I34" t="s">
        <v>264</v>
      </c>
      <c r="J34" t="n">
        <v>0</v>
      </c>
      <c r="K34" t="n">
        <v>0</v>
      </c>
      <c r="L34" t="n">
        <v>0</v>
      </c>
      <c r="M34" t="n">
        <v>12</v>
      </c>
      <c r="N34" t="n">
        <v>1</v>
      </c>
      <c r="O34" t="n">
        <v>-0.25</v>
      </c>
      <c r="P34" t="n">
        <v>161</v>
      </c>
      <c r="Q34" t="n">
        <v>12</v>
      </c>
      <c r="R34" t="s">
        <v>267</v>
      </c>
      <c r="S34" t="s">
        <v>269</v>
      </c>
      <c r="T34" t="n">
        <v>0.75</v>
      </c>
    </row>
    <row r="35">
      <c r="A35" t="s">
        <v>31</v>
      </c>
      <c r="B35" t="n">
        <v>0.95</v>
      </c>
      <c r="C35" t="n">
        <v>0.68</v>
      </c>
      <c r="D35" t="n">
        <v>0.89</v>
      </c>
      <c r="E35" t="n">
        <v>-6.25</v>
      </c>
      <c r="F35" t="n">
        <v>-0.25</v>
      </c>
      <c r="G35" t="n">
        <v>84</v>
      </c>
      <c r="H35" t="n">
        <v>12</v>
      </c>
      <c r="I35" t="s">
        <v>260</v>
      </c>
      <c r="J35" t="n">
        <v>0</v>
      </c>
      <c r="K35" t="n">
        <v>0</v>
      </c>
      <c r="L35" t="n">
        <v>0</v>
      </c>
      <c r="M35" t="n">
        <v>12</v>
      </c>
      <c r="N35" t="n">
        <v>0.5</v>
      </c>
      <c r="O35" t="n">
        <v>0</v>
      </c>
      <c r="P35" t="n">
        <v>66</v>
      </c>
      <c r="Q35" t="n">
        <v>12</v>
      </c>
      <c r="R35" t="s">
        <v>269</v>
      </c>
      <c r="S35" t="s">
        <v>266</v>
      </c>
      <c r="T35" t="n">
        <v>0.5</v>
      </c>
    </row>
    <row r="36">
      <c r="A36" t="s">
        <v>31</v>
      </c>
      <c r="B36" t="n">
        <v>1.02</v>
      </c>
      <c r="C36" t="n">
        <v>0.9</v>
      </c>
      <c r="D36" t="n">
        <v>1.01</v>
      </c>
      <c r="E36" t="n">
        <v>-4.25</v>
      </c>
      <c r="F36" t="n">
        <v>-0.5</v>
      </c>
      <c r="G36" t="n">
        <v>77</v>
      </c>
      <c r="H36" t="n">
        <v>12</v>
      </c>
      <c r="I36" t="s">
        <v>264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-0.25</v>
      </c>
      <c r="P36" t="n">
        <v>67</v>
      </c>
      <c r="Q36" t="n">
        <v>12</v>
      </c>
      <c r="R36" t="s">
        <v>264</v>
      </c>
      <c r="S36" t="s">
        <v>261</v>
      </c>
      <c r="T36" t="n">
        <v>0</v>
      </c>
    </row>
    <row r="37">
      <c r="A37" t="s">
        <v>31</v>
      </c>
      <c r="B37" t="n">
        <v>1.03</v>
      </c>
      <c r="C37" t="n">
        <v>0.72</v>
      </c>
      <c r="D37" t="n">
        <v>1.02</v>
      </c>
      <c r="E37" t="n">
        <v>-2.25</v>
      </c>
      <c r="F37" t="n">
        <v>0</v>
      </c>
      <c r="G37" t="n">
        <v>10</v>
      </c>
      <c r="H37" t="n">
        <v>12</v>
      </c>
      <c r="I37" t="s">
        <v>267</v>
      </c>
      <c r="J37" t="n">
        <v>0</v>
      </c>
      <c r="K37" t="n">
        <v>0</v>
      </c>
      <c r="L37" t="n">
        <v>0</v>
      </c>
      <c r="M37" t="n">
        <v>12</v>
      </c>
      <c r="N37" t="n">
        <v>-1</v>
      </c>
      <c r="O37" t="n">
        <v>0</v>
      </c>
      <c r="P37" t="n">
        <v>141</v>
      </c>
      <c r="Q37" t="n">
        <v>12</v>
      </c>
      <c r="R37" t="s">
        <v>264</v>
      </c>
      <c r="S37" t="s">
        <v>272</v>
      </c>
      <c r="T37" t="n">
        <v>-1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277</v>
      </c>
      <c r="B1" t="s">
        <v>278</v>
      </c>
      <c r="C1" t="s">
        <v>279</v>
      </c>
      <c r="D1" t="s">
        <v>280</v>
      </c>
      <c r="E1" t="s">
        <v>281</v>
      </c>
    </row>
    <row r="2">
      <c r="A2" t="s">
        <v>282</v>
      </c>
      <c r="B2" t="n">
        <v>-2.25</v>
      </c>
      <c r="C2" t="n">
        <v>35</v>
      </c>
      <c r="D2" t="n">
        <v>0</v>
      </c>
      <c r="E2" t="n">
        <v>40</v>
      </c>
    </row>
    <row r="3">
      <c r="A3" t="s">
        <v>282</v>
      </c>
      <c r="B3" t="n">
        <v>0</v>
      </c>
      <c r="C3" t="n">
        <v>8</v>
      </c>
      <c r="D3" t="n">
        <v>-0.25</v>
      </c>
      <c r="E3" t="n">
        <v>75</v>
      </c>
    </row>
    <row r="4">
      <c r="A4" t="s">
        <v>282</v>
      </c>
      <c r="B4" t="n">
        <v>-2.5</v>
      </c>
      <c r="C4" t="n">
        <v>3</v>
      </c>
      <c r="D4" t="n">
        <v>0</v>
      </c>
      <c r="E4" t="n">
        <v>9</v>
      </c>
    </row>
    <row r="5">
      <c r="A5" t="s">
        <v>282</v>
      </c>
      <c r="B5" t="n">
        <v>-0.5</v>
      </c>
      <c r="C5" t="n">
        <v>13</v>
      </c>
      <c r="D5" t="n">
        <v>-0.25</v>
      </c>
      <c r="E5" t="n">
        <v>173</v>
      </c>
    </row>
    <row r="6">
      <c r="A6" t="s">
        <v>283</v>
      </c>
      <c r="B6" t="n">
        <v>0</v>
      </c>
      <c r="C6" t="n">
        <v>1</v>
      </c>
      <c r="D6" t="n">
        <v>-0.5</v>
      </c>
      <c r="E6" t="n">
        <v>23</v>
      </c>
    </row>
    <row r="7">
      <c r="A7" t="s">
        <v>282</v>
      </c>
      <c r="B7" t="n">
        <v>0</v>
      </c>
      <c r="C7" t="n">
        <v>163</v>
      </c>
      <c r="D7" t="n">
        <v>-0.25</v>
      </c>
      <c r="E7" t="n">
        <v>149</v>
      </c>
    </row>
    <row r="8">
      <c r="A8" t="s">
        <v>283</v>
      </c>
      <c r="B8" t="n">
        <v>-0.5</v>
      </c>
      <c r="C8" t="n">
        <v>180</v>
      </c>
      <c r="D8" t="n">
        <v>-0.5</v>
      </c>
      <c r="E8" t="n">
        <v>16</v>
      </c>
    </row>
    <row r="9">
      <c r="A9" t="s">
        <v>282</v>
      </c>
      <c r="B9" t="n">
        <v>-0.75</v>
      </c>
      <c r="C9" t="n">
        <v>85</v>
      </c>
      <c r="D9" t="n">
        <v>0</v>
      </c>
      <c r="E9" t="n">
        <v>137</v>
      </c>
    </row>
    <row r="10">
      <c r="A10" t="s">
        <v>283</v>
      </c>
      <c r="B10" t="n">
        <v>-0.75</v>
      </c>
      <c r="C10" t="n">
        <v>14</v>
      </c>
      <c r="D10" t="n">
        <v>-0.5</v>
      </c>
      <c r="E10" t="n">
        <v>167</v>
      </c>
    </row>
    <row r="11">
      <c r="A11" t="s">
        <v>282</v>
      </c>
      <c r="B11" t="n">
        <v>-1.25</v>
      </c>
      <c r="C11" t="n">
        <v>75</v>
      </c>
      <c r="D11" t="n">
        <v>-0.5</v>
      </c>
      <c r="E11" t="n">
        <v>50</v>
      </c>
    </row>
    <row r="12">
      <c r="A12" t="s">
        <v>282</v>
      </c>
      <c r="B12" t="n">
        <v>-0.5</v>
      </c>
      <c r="C12" t="n">
        <v>76</v>
      </c>
      <c r="D12" t="n">
        <v>-0.25</v>
      </c>
      <c r="E12" t="n">
        <v>62</v>
      </c>
    </row>
    <row r="13">
      <c r="A13" t="s">
        <v>283</v>
      </c>
      <c r="B13" t="n">
        <v>-0.75</v>
      </c>
      <c r="C13" t="n">
        <v>172</v>
      </c>
      <c r="D13" t="n">
        <v>-0.25</v>
      </c>
      <c r="E13" t="n">
        <v>171</v>
      </c>
    </row>
    <row r="14">
      <c r="A14" t="s">
        <v>282</v>
      </c>
      <c r="B14" t="n">
        <v>-0.25</v>
      </c>
      <c r="C14" t="n">
        <v>161</v>
      </c>
      <c r="D14" t="n">
        <v>0</v>
      </c>
      <c r="E14" t="n">
        <v>80</v>
      </c>
    </row>
    <row r="15">
      <c r="A15" t="s">
        <v>282</v>
      </c>
      <c r="B15" t="n">
        <v>-0.5</v>
      </c>
      <c r="C15" t="n">
        <v>82</v>
      </c>
      <c r="D15" t="n">
        <v>-0.5</v>
      </c>
      <c r="E15" t="n">
        <v>86</v>
      </c>
    </row>
    <row r="16">
      <c r="A16" t="s">
        <v>283</v>
      </c>
      <c r="B16" t="n">
        <v>-1</v>
      </c>
      <c r="C16" t="n">
        <v>180</v>
      </c>
      <c r="D16" t="n">
        <v>0</v>
      </c>
      <c r="E16" t="n">
        <v>178</v>
      </c>
    </row>
    <row r="17">
      <c r="A17" t="s">
        <v>283</v>
      </c>
      <c r="B17" t="n">
        <v>-0.5</v>
      </c>
      <c r="C17" t="n">
        <v>86</v>
      </c>
      <c r="D17" t="n">
        <v>-0.25</v>
      </c>
      <c r="E17" t="n">
        <v>106</v>
      </c>
    </row>
    <row r="18">
      <c r="A18" t="s">
        <v>283</v>
      </c>
      <c r="B18" t="n">
        <v>-1.25</v>
      </c>
      <c r="C18" t="n">
        <v>23</v>
      </c>
      <c r="D18" t="n">
        <v>-0.75</v>
      </c>
      <c r="E18" t="n">
        <v>166</v>
      </c>
    </row>
    <row r="19">
      <c r="A19" t="s">
        <v>282</v>
      </c>
      <c r="B19" t="n">
        <v>0</v>
      </c>
      <c r="C19" t="n">
        <v>5</v>
      </c>
      <c r="D19" t="n">
        <v>0</v>
      </c>
      <c r="E19" t="n">
        <v>177</v>
      </c>
    </row>
    <row r="20">
      <c r="A20" t="s">
        <v>283</v>
      </c>
      <c r="B20" t="n">
        <v>-0.25</v>
      </c>
      <c r="C20" t="n">
        <v>67</v>
      </c>
      <c r="D20" t="n">
        <v>-0.25</v>
      </c>
      <c r="E20" t="n">
        <v>8</v>
      </c>
    </row>
    <row r="21">
      <c r="A21" t="s">
        <v>282</v>
      </c>
      <c r="B21" t="n">
        <v>-0.25</v>
      </c>
      <c r="C21" t="n">
        <v>89</v>
      </c>
      <c r="D21" t="n">
        <v>-0.25</v>
      </c>
      <c r="E21" t="n">
        <v>106</v>
      </c>
    </row>
    <row r="22">
      <c r="A22" t="s">
        <v>283</v>
      </c>
      <c r="B22" t="n">
        <v>-0.25</v>
      </c>
      <c r="C22" t="n">
        <v>40</v>
      </c>
      <c r="D22" t="n">
        <v>0</v>
      </c>
      <c r="E22" t="n">
        <v>139</v>
      </c>
    </row>
    <row r="23">
      <c r="A23" t="s">
        <v>283</v>
      </c>
      <c r="B23" t="n">
        <v>-0.25</v>
      </c>
      <c r="C23" t="n">
        <v>87</v>
      </c>
      <c r="D23" t="n">
        <v>0</v>
      </c>
      <c r="E23" t="n">
        <v>149</v>
      </c>
    </row>
    <row r="24">
      <c r="A24" t="s">
        <v>282</v>
      </c>
      <c r="B24" t="n">
        <v>-0.25</v>
      </c>
      <c r="C24" t="n">
        <v>100</v>
      </c>
      <c r="D24" t="n">
        <v>-0.25</v>
      </c>
      <c r="E24" t="n">
        <v>122</v>
      </c>
    </row>
    <row r="25">
      <c r="A25" t="s">
        <v>283</v>
      </c>
      <c r="B25" t="n">
        <v>-0.25</v>
      </c>
      <c r="C25" t="n">
        <v>156</v>
      </c>
      <c r="D25" t="n">
        <v>0</v>
      </c>
      <c r="E25" t="n">
        <v>91</v>
      </c>
    </row>
    <row r="26">
      <c r="A26" t="s">
        <v>282</v>
      </c>
      <c r="B26" t="n">
        <v>-0.25</v>
      </c>
      <c r="C26" t="n">
        <v>79</v>
      </c>
      <c r="D26" t="n">
        <v>0</v>
      </c>
      <c r="E26" t="n">
        <v>65</v>
      </c>
    </row>
    <row r="27">
      <c r="A27" t="s">
        <v>282</v>
      </c>
      <c r="B27" t="n">
        <v>-0.25</v>
      </c>
      <c r="C27" t="n">
        <v>92</v>
      </c>
      <c r="D27" t="n">
        <v>-0.25</v>
      </c>
      <c r="E27" t="n">
        <v>69</v>
      </c>
    </row>
    <row r="28">
      <c r="A28" t="s">
        <v>283</v>
      </c>
      <c r="B28" t="n">
        <v>-1</v>
      </c>
      <c r="C28" t="n">
        <v>162</v>
      </c>
      <c r="D28" t="n">
        <v>0</v>
      </c>
      <c r="E28" t="n">
        <v>78</v>
      </c>
    </row>
    <row r="29">
      <c r="A29" t="s">
        <v>282</v>
      </c>
      <c r="B29" t="n">
        <v>-0.25</v>
      </c>
      <c r="C29" t="n">
        <v>99</v>
      </c>
      <c r="D29" t="n">
        <v>0</v>
      </c>
      <c r="E29" t="n">
        <v>64</v>
      </c>
    </row>
    <row r="30">
      <c r="A30" t="s">
        <v>283</v>
      </c>
      <c r="B30" t="n">
        <v>-0.75</v>
      </c>
      <c r="C30" t="n">
        <v>6</v>
      </c>
      <c r="D30" t="n">
        <v>0</v>
      </c>
      <c r="E30" t="n">
        <v>26</v>
      </c>
    </row>
    <row r="31">
      <c r="A31" t="s">
        <v>282</v>
      </c>
      <c r="B31" t="n">
        <v>-0.75</v>
      </c>
      <c r="C31" t="n">
        <v>178</v>
      </c>
      <c r="D31" t="n">
        <v>-0.25</v>
      </c>
      <c r="E31" t="n">
        <v>4</v>
      </c>
    </row>
    <row r="32">
      <c r="A32" t="s">
        <v>283</v>
      </c>
      <c r="B32" t="n">
        <v>-0.5</v>
      </c>
      <c r="C32" t="n">
        <v>167</v>
      </c>
      <c r="D32" t="n">
        <v>0</v>
      </c>
      <c r="E32" t="n">
        <v>24</v>
      </c>
    </row>
    <row r="33">
      <c r="A33" t="s">
        <v>283</v>
      </c>
      <c r="B33" t="n">
        <v>-0.5</v>
      </c>
      <c r="C33" t="n">
        <v>11</v>
      </c>
      <c r="D33" t="n">
        <v>-0.25</v>
      </c>
      <c r="E33" t="n">
        <v>2</v>
      </c>
    </row>
    <row r="34">
      <c r="A34" t="s">
        <v>283</v>
      </c>
      <c r="B34" t="n">
        <v>-1.25</v>
      </c>
      <c r="C34" t="n">
        <v>169</v>
      </c>
      <c r="D34" t="n">
        <v>-0.25</v>
      </c>
      <c r="E34" t="n">
        <v>176</v>
      </c>
    </row>
    <row r="35">
      <c r="A35" t="s">
        <v>282</v>
      </c>
      <c r="B35" t="n">
        <v>-1.25</v>
      </c>
      <c r="C35" t="n">
        <v>22</v>
      </c>
      <c r="D35" t="n">
        <v>-0.25</v>
      </c>
      <c r="E35" t="n">
        <v>33</v>
      </c>
    </row>
    <row r="36">
      <c r="A36" t="s">
        <v>283</v>
      </c>
      <c r="B36" t="n">
        <v>-0.25</v>
      </c>
      <c r="C36" t="n">
        <v>170</v>
      </c>
      <c r="D36" t="n">
        <v>0</v>
      </c>
      <c r="E36" t="n">
        <v>157</v>
      </c>
    </row>
    <row r="37">
      <c r="A37" t="s">
        <v>283</v>
      </c>
      <c r="B37" t="n">
        <v>-2.25</v>
      </c>
      <c r="C37" t="n">
        <v>82</v>
      </c>
      <c r="D37" t="n">
        <v>-0.5</v>
      </c>
      <c r="E37" t="n">
        <v>54</v>
      </c>
    </row>
    <row r="38">
      <c r="A38" t="s">
        <v>282</v>
      </c>
      <c r="B38" t="n">
        <v>-0.5</v>
      </c>
      <c r="C38" t="n">
        <v>177</v>
      </c>
      <c r="D38" t="n">
        <v>-0.25</v>
      </c>
      <c r="E38" t="n">
        <v>9</v>
      </c>
    </row>
    <row r="39">
      <c r="A39" t="s">
        <v>282</v>
      </c>
      <c r="B39" t="n">
        <v>-1.5</v>
      </c>
      <c r="C39" t="n">
        <v>16</v>
      </c>
      <c r="D39" t="n">
        <v>0</v>
      </c>
      <c r="E39" t="n">
        <v>7</v>
      </c>
    </row>
    <row r="40">
      <c r="A40" t="s">
        <v>283</v>
      </c>
      <c r="B40" t="n">
        <v>-0.25</v>
      </c>
      <c r="C40" t="n">
        <v>5</v>
      </c>
      <c r="D40" t="n">
        <v>0</v>
      </c>
      <c r="E40" t="n">
        <v>149</v>
      </c>
    </row>
    <row r="41">
      <c r="A41" t="s">
        <v>282</v>
      </c>
      <c r="B41" t="n">
        <v>-0.5</v>
      </c>
      <c r="C41" t="n">
        <v>9</v>
      </c>
      <c r="D41" t="n">
        <v>-0.25</v>
      </c>
      <c r="E41" t="n">
        <v>15</v>
      </c>
    </row>
    <row r="42">
      <c r="A42" t="s">
        <v>282</v>
      </c>
      <c r="B42" t="n">
        <v>-0.5</v>
      </c>
      <c r="C42" t="n">
        <v>98</v>
      </c>
      <c r="D42" t="n">
        <v>-0.25</v>
      </c>
      <c r="E42" t="n">
        <v>77</v>
      </c>
    </row>
    <row r="43">
      <c r="A43" t="s">
        <v>283</v>
      </c>
      <c r="B43" t="n">
        <v>-0.5</v>
      </c>
      <c r="C43" t="n">
        <v>95</v>
      </c>
      <c r="D43" t="n">
        <v>-0.25</v>
      </c>
      <c r="E43" t="n">
        <v>95</v>
      </c>
    </row>
    <row r="44">
      <c r="A44" t="s">
        <v>283</v>
      </c>
      <c r="B44" t="n">
        <v>-0.5</v>
      </c>
      <c r="C44" t="n">
        <v>82</v>
      </c>
      <c r="D44" t="n">
        <v>-0.25</v>
      </c>
      <c r="E44" t="n">
        <v>61</v>
      </c>
    </row>
    <row r="45">
      <c r="A45" t="s">
        <v>282</v>
      </c>
      <c r="B45" t="n">
        <v>-0.5</v>
      </c>
      <c r="C45" t="n">
        <v>173</v>
      </c>
      <c r="D45" t="n">
        <v>-0.5</v>
      </c>
      <c r="E45" t="n">
        <v>24</v>
      </c>
    </row>
    <row r="46">
      <c r="A46" t="s">
        <v>282</v>
      </c>
      <c r="B46" t="n">
        <v>-1</v>
      </c>
      <c r="C46" t="n">
        <v>159</v>
      </c>
      <c r="D46" t="n">
        <v>0</v>
      </c>
      <c r="E46" t="n">
        <v>13</v>
      </c>
    </row>
    <row r="47">
      <c r="A47" t="s">
        <v>283</v>
      </c>
      <c r="B47" t="n">
        <v>-1</v>
      </c>
      <c r="C47" t="n">
        <v>110</v>
      </c>
      <c r="D47" t="n">
        <v>-0.25</v>
      </c>
      <c r="E47" t="n">
        <v>121</v>
      </c>
    </row>
    <row r="48">
      <c r="A48" t="s">
        <v>283</v>
      </c>
      <c r="B48" t="n">
        <v>-1.25</v>
      </c>
      <c r="C48" t="n">
        <v>14</v>
      </c>
      <c r="D48" t="n">
        <v>-0.25</v>
      </c>
      <c r="E48" t="n">
        <v>13</v>
      </c>
    </row>
    <row r="49">
      <c r="A49" t="s">
        <v>283</v>
      </c>
      <c r="B49" t="n">
        <v>-1</v>
      </c>
      <c r="C49" t="n">
        <v>87</v>
      </c>
      <c r="D49" t="n">
        <v>-0.25</v>
      </c>
      <c r="E49" t="n">
        <v>102</v>
      </c>
    </row>
    <row r="50">
      <c r="A50" t="s">
        <v>282</v>
      </c>
      <c r="B50" t="n">
        <v>-0.75</v>
      </c>
      <c r="C50" t="n">
        <v>15</v>
      </c>
      <c r="D50" t="n">
        <v>0</v>
      </c>
      <c r="E50" t="n">
        <v>108</v>
      </c>
    </row>
    <row r="51">
      <c r="A51" t="s">
        <v>283</v>
      </c>
      <c r="B51" t="n">
        <v>-0.5</v>
      </c>
      <c r="C51" t="n">
        <v>177</v>
      </c>
      <c r="D51" t="n">
        <v>-0.25</v>
      </c>
      <c r="E51" t="n">
        <v>14</v>
      </c>
    </row>
    <row r="52">
      <c r="A52" t="s">
        <v>282</v>
      </c>
      <c r="B52" t="n">
        <v>-0.25</v>
      </c>
      <c r="C52" t="n">
        <v>81</v>
      </c>
      <c r="D52" t="n">
        <v>-0.25</v>
      </c>
      <c r="E52" t="n">
        <v>104</v>
      </c>
    </row>
    <row r="53">
      <c r="A53" t="s">
        <v>282</v>
      </c>
      <c r="B53" t="n">
        <v>-0.5</v>
      </c>
      <c r="C53" t="n">
        <v>91</v>
      </c>
      <c r="D53" t="n">
        <v>0</v>
      </c>
      <c r="E53" t="n">
        <v>93</v>
      </c>
    </row>
    <row r="54">
      <c r="A54" t="s">
        <v>283</v>
      </c>
      <c r="B54" t="n">
        <v>-0.5</v>
      </c>
      <c r="C54" t="n">
        <v>176</v>
      </c>
      <c r="D54" t="n">
        <v>-0.25</v>
      </c>
      <c r="E54" t="n">
        <v>137</v>
      </c>
    </row>
    <row r="55">
      <c r="A55" t="s">
        <v>282</v>
      </c>
      <c r="B55" t="n">
        <v>-1.5</v>
      </c>
      <c r="C55" t="n">
        <v>3</v>
      </c>
      <c r="D55" t="n">
        <v>-0.25</v>
      </c>
      <c r="E55" t="n">
        <v>2</v>
      </c>
    </row>
    <row r="56">
      <c r="A56" t="s">
        <v>283</v>
      </c>
      <c r="B56" t="n">
        <v>-0.75</v>
      </c>
      <c r="C56" t="n">
        <v>32</v>
      </c>
      <c r="D56" t="n">
        <v>-0.25</v>
      </c>
      <c r="E56" t="n">
        <v>23</v>
      </c>
    </row>
    <row r="57">
      <c r="A57" t="s">
        <v>283</v>
      </c>
      <c r="B57" t="n">
        <v>-0.5</v>
      </c>
      <c r="C57" t="n">
        <v>2</v>
      </c>
      <c r="D57" t="n">
        <v>-0.25</v>
      </c>
      <c r="E57" t="n">
        <v>171</v>
      </c>
    </row>
    <row r="58">
      <c r="A58" t="s">
        <v>282</v>
      </c>
      <c r="B58" t="n">
        <v>-1</v>
      </c>
      <c r="C58" t="n">
        <v>155</v>
      </c>
      <c r="D58" t="n">
        <v>0</v>
      </c>
      <c r="E58" t="n">
        <v>108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277</v>
      </c>
      <c r="B1" t="s">
        <v>278</v>
      </c>
      <c r="C1" t="s">
        <v>279</v>
      </c>
      <c r="D1" t="s">
        <v>280</v>
      </c>
      <c r="E1" t="s">
        <v>281</v>
      </c>
    </row>
    <row r="2">
      <c r="A2" t="s">
        <v>283</v>
      </c>
      <c r="B2" t="n">
        <v>-0.25</v>
      </c>
      <c r="C2" t="n">
        <v>94</v>
      </c>
      <c r="D2" t="n">
        <v>0</v>
      </c>
      <c r="E2" t="n">
        <v>154</v>
      </c>
    </row>
    <row r="3">
      <c r="A3" t="s">
        <v>282</v>
      </c>
      <c r="B3" t="n">
        <v>0</v>
      </c>
      <c r="C3" t="n">
        <v>96</v>
      </c>
      <c r="D3" t="n">
        <v>0</v>
      </c>
      <c r="E3" t="n">
        <v>82</v>
      </c>
    </row>
    <row r="4">
      <c r="A4" t="s">
        <v>282</v>
      </c>
      <c r="B4" t="n">
        <v>-0.5</v>
      </c>
      <c r="C4" t="n">
        <v>159</v>
      </c>
      <c r="D4" t="n">
        <v>-0.5</v>
      </c>
      <c r="E4" t="n">
        <v>128</v>
      </c>
    </row>
    <row r="5">
      <c r="A5" t="s">
        <v>283</v>
      </c>
      <c r="B5" t="n">
        <v>-1</v>
      </c>
      <c r="C5" t="n">
        <v>11</v>
      </c>
      <c r="D5" t="n">
        <v>-0.25</v>
      </c>
      <c r="E5" t="n">
        <v>44</v>
      </c>
    </row>
    <row r="6">
      <c r="A6" t="s">
        <v>282</v>
      </c>
      <c r="B6" t="n">
        <v>-1.25</v>
      </c>
      <c r="C6" t="n">
        <v>32</v>
      </c>
      <c r="D6" t="n">
        <v>0</v>
      </c>
      <c r="E6" t="n">
        <v>43</v>
      </c>
    </row>
    <row r="7">
      <c r="A7" t="s">
        <v>283</v>
      </c>
      <c r="B7" t="n">
        <v>-0.5</v>
      </c>
      <c r="C7" t="n">
        <v>167</v>
      </c>
      <c r="D7" t="n">
        <v>-0.75</v>
      </c>
      <c r="E7" t="n">
        <v>3</v>
      </c>
    </row>
    <row r="8">
      <c r="A8" t="s">
        <v>282</v>
      </c>
      <c r="B8" t="n">
        <v>-0.75</v>
      </c>
      <c r="C8" t="n">
        <v>94</v>
      </c>
      <c r="D8" t="n">
        <v>-0.25</v>
      </c>
      <c r="E8" t="n">
        <v>63</v>
      </c>
    </row>
    <row r="9">
      <c r="A9" t="s">
        <v>283</v>
      </c>
      <c r="B9" t="n">
        <v>-1.5</v>
      </c>
      <c r="C9" t="n">
        <v>174</v>
      </c>
      <c r="D9" t="n">
        <v>-0.25</v>
      </c>
      <c r="E9" t="n">
        <v>1</v>
      </c>
    </row>
    <row r="10">
      <c r="A10" t="s">
        <v>282</v>
      </c>
      <c r="B10" t="n">
        <v>-0.5</v>
      </c>
      <c r="C10" t="n">
        <v>9</v>
      </c>
      <c r="D10" t="n">
        <v>-0.25</v>
      </c>
      <c r="E10" t="n">
        <v>175</v>
      </c>
    </row>
    <row r="11">
      <c r="A11" t="s">
        <v>283</v>
      </c>
      <c r="B11" t="n">
        <v>-0.5</v>
      </c>
      <c r="C11" t="n">
        <v>4</v>
      </c>
      <c r="D11" t="n">
        <v>-0.25</v>
      </c>
      <c r="E11" t="n">
        <v>179</v>
      </c>
    </row>
    <row r="12">
      <c r="A12" t="s">
        <v>282</v>
      </c>
      <c r="B12" t="n">
        <v>-0.75</v>
      </c>
      <c r="C12" t="n">
        <v>159</v>
      </c>
      <c r="D12" t="n">
        <v>-0.25</v>
      </c>
      <c r="E12" t="n">
        <v>175</v>
      </c>
    </row>
    <row r="13">
      <c r="A13" t="s">
        <v>283</v>
      </c>
      <c r="B13" t="n">
        <v>-0.75</v>
      </c>
      <c r="C13" t="n">
        <v>6</v>
      </c>
      <c r="D13" t="n">
        <v>0</v>
      </c>
      <c r="E13" t="n">
        <v>23</v>
      </c>
    </row>
    <row r="14">
      <c r="A14" t="s">
        <v>283</v>
      </c>
      <c r="B14" t="n">
        <v>-1.75</v>
      </c>
      <c r="C14" t="n">
        <v>104</v>
      </c>
      <c r="D14" t="n">
        <v>-0.25</v>
      </c>
      <c r="E14" t="n">
        <v>99</v>
      </c>
    </row>
    <row r="15">
      <c r="A15" t="s">
        <v>282</v>
      </c>
      <c r="B15" t="n">
        <v>-0.5</v>
      </c>
      <c r="C15" t="n">
        <v>38</v>
      </c>
      <c r="D15" t="n">
        <v>-0.5</v>
      </c>
      <c r="E15" t="n">
        <v>3</v>
      </c>
    </row>
    <row r="16">
      <c r="A16" t="s">
        <v>283</v>
      </c>
      <c r="B16" t="n">
        <v>-1</v>
      </c>
      <c r="C16" t="n">
        <v>77</v>
      </c>
      <c r="D16" t="n">
        <v>0</v>
      </c>
      <c r="E16" t="n">
        <v>72</v>
      </c>
    </row>
    <row r="17">
      <c r="A17" t="s">
        <v>282</v>
      </c>
      <c r="B17" t="n">
        <v>-0.25</v>
      </c>
      <c r="C17" t="n">
        <v>85</v>
      </c>
      <c r="D17" t="n">
        <v>-0.25</v>
      </c>
      <c r="E17" t="n">
        <v>78</v>
      </c>
    </row>
    <row r="18">
      <c r="A18" t="s">
        <v>282</v>
      </c>
      <c r="B18" t="n">
        <v>-0.25</v>
      </c>
      <c r="C18" t="n">
        <v>2</v>
      </c>
      <c r="D18" t="n">
        <v>0</v>
      </c>
      <c r="E18" t="n">
        <v>82</v>
      </c>
    </row>
    <row r="19">
      <c r="A19" t="s">
        <v>283</v>
      </c>
      <c r="B19" t="n">
        <v>-0.5</v>
      </c>
      <c r="C19" t="n">
        <v>87</v>
      </c>
      <c r="D19" t="n">
        <v>-0.25</v>
      </c>
      <c r="E19" t="n">
        <v>90</v>
      </c>
    </row>
    <row r="20">
      <c r="A20" t="s">
        <v>282</v>
      </c>
      <c r="B20" t="n">
        <v>-1.25</v>
      </c>
      <c r="C20" t="n">
        <v>165</v>
      </c>
      <c r="D20" t="n">
        <v>-0.25</v>
      </c>
      <c r="E20" t="n">
        <v>156</v>
      </c>
    </row>
    <row r="21">
      <c r="A21" t="s">
        <v>283</v>
      </c>
      <c r="B21" t="n">
        <v>-2.75</v>
      </c>
      <c r="C21" t="n">
        <v>8</v>
      </c>
      <c r="D21" t="n">
        <v>-0.25</v>
      </c>
      <c r="E21" t="n">
        <v>177</v>
      </c>
    </row>
    <row r="22">
      <c r="A22" t="s">
        <v>282</v>
      </c>
      <c r="B22" t="n">
        <v>0</v>
      </c>
      <c r="C22" t="n">
        <v>174</v>
      </c>
      <c r="D22" t="n">
        <v>-0.25</v>
      </c>
      <c r="E22" t="n">
        <v>116</v>
      </c>
    </row>
    <row r="23">
      <c r="A23" t="s">
        <v>283</v>
      </c>
      <c r="B23" t="n">
        <v>-0.5</v>
      </c>
      <c r="C23" t="n">
        <v>2</v>
      </c>
      <c r="D23" t="n">
        <v>-0.25</v>
      </c>
      <c r="E23" t="n">
        <v>0</v>
      </c>
    </row>
    <row r="24">
      <c r="A24" t="s">
        <v>282</v>
      </c>
      <c r="B24" t="n">
        <v>-0.75</v>
      </c>
      <c r="C24" t="n">
        <v>81</v>
      </c>
      <c r="D24" t="n">
        <v>-0.5</v>
      </c>
      <c r="E24" t="n">
        <v>85</v>
      </c>
    </row>
    <row r="25">
      <c r="A25" t="s">
        <v>283</v>
      </c>
      <c r="B25" t="n">
        <v>-1</v>
      </c>
      <c r="C25" t="n">
        <v>18</v>
      </c>
      <c r="D25" t="n">
        <v>-0.25</v>
      </c>
      <c r="E25" t="n">
        <v>174</v>
      </c>
    </row>
    <row r="26">
      <c r="A26" t="s">
        <v>282</v>
      </c>
      <c r="B26" t="n">
        <v>-0.75</v>
      </c>
      <c r="C26" t="n">
        <v>180</v>
      </c>
      <c r="D26" t="n">
        <v>-0.5</v>
      </c>
      <c r="E26" t="n">
        <v>167</v>
      </c>
    </row>
    <row r="27">
      <c r="A27" t="s">
        <v>283</v>
      </c>
      <c r="B27" t="n">
        <v>-0.25</v>
      </c>
      <c r="C27" t="n">
        <v>169</v>
      </c>
      <c r="D27" t="n">
        <v>0</v>
      </c>
      <c r="E27" t="n">
        <v>82</v>
      </c>
    </row>
    <row r="28">
      <c r="A28" t="s">
        <v>282</v>
      </c>
      <c r="B28" t="n">
        <v>-0.25</v>
      </c>
      <c r="C28" t="n">
        <v>12</v>
      </c>
      <c r="D28" t="n">
        <v>-0.25</v>
      </c>
      <c r="E28" t="n">
        <v>3</v>
      </c>
    </row>
    <row r="29">
      <c r="A29" t="s">
        <v>282</v>
      </c>
      <c r="B29" t="n">
        <v>-1</v>
      </c>
      <c r="C29" t="n">
        <v>59</v>
      </c>
      <c r="D29" t="n">
        <v>-0.5</v>
      </c>
      <c r="E29" t="n">
        <v>84</v>
      </c>
    </row>
    <row r="30">
      <c r="A30" t="s">
        <v>283</v>
      </c>
      <c r="B30" t="n">
        <v>-0.5</v>
      </c>
      <c r="C30" t="n">
        <v>76</v>
      </c>
      <c r="D30" t="n">
        <v>-0.25</v>
      </c>
      <c r="E30" t="n">
        <v>50</v>
      </c>
    </row>
    <row r="31">
      <c r="A31" t="s">
        <v>282</v>
      </c>
      <c r="B31" t="n">
        <v>0</v>
      </c>
      <c r="C31" t="n">
        <v>179</v>
      </c>
      <c r="D31" t="n">
        <v>0</v>
      </c>
      <c r="E31" t="n">
        <v>20</v>
      </c>
    </row>
    <row r="32">
      <c r="A32" t="s">
        <v>283</v>
      </c>
      <c r="B32" t="n">
        <v>-0.25</v>
      </c>
      <c r="C32" t="n">
        <v>100</v>
      </c>
      <c r="D32" t="n">
        <v>-0.25</v>
      </c>
      <c r="E32" t="n">
        <v>102</v>
      </c>
    </row>
    <row r="33">
      <c r="A33" t="s">
        <v>282</v>
      </c>
      <c r="B33" t="n">
        <v>-0.75</v>
      </c>
      <c r="C33" t="n">
        <v>172</v>
      </c>
      <c r="D33" t="n">
        <v>-0.25</v>
      </c>
      <c r="E33" t="n">
        <v>159</v>
      </c>
    </row>
    <row r="34">
      <c r="A34" t="s">
        <v>282</v>
      </c>
      <c r="B34" t="n">
        <v>-0.25</v>
      </c>
      <c r="C34" t="n">
        <v>177</v>
      </c>
      <c r="D34" t="n">
        <v>-0.25</v>
      </c>
      <c r="E34" t="n">
        <v>161</v>
      </c>
    </row>
    <row r="35">
      <c r="A35" t="s">
        <v>282</v>
      </c>
      <c r="B35" t="n">
        <v>-0.25</v>
      </c>
      <c r="C35" t="n">
        <v>84</v>
      </c>
      <c r="D35" t="n">
        <v>0</v>
      </c>
      <c r="E35" t="n">
        <v>66</v>
      </c>
    </row>
    <row r="36">
      <c r="A36" t="s">
        <v>282</v>
      </c>
      <c r="B36" t="n">
        <v>-0.5</v>
      </c>
      <c r="C36" t="n">
        <v>77</v>
      </c>
      <c r="D36" t="n">
        <v>-0.25</v>
      </c>
      <c r="E36" t="n">
        <v>67</v>
      </c>
    </row>
    <row r="37">
      <c r="A37" t="s">
        <v>282</v>
      </c>
      <c r="B37" t="n">
        <v>0</v>
      </c>
      <c r="C37" t="n">
        <v>10</v>
      </c>
      <c r="D37" t="n">
        <v>0</v>
      </c>
      <c r="E37" t="n">
        <v>141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0.71" hidden="0" customWidth="1"/>
    <col min="2" max="2" width="80.71" hidden="0" customWidth="1"/>
  </cols>
  <sheetData>
    <row r="1">
      <c r="A1" t="s">
        <v>474</v>
      </c>
      <c r="B1" t="s">
        <v>5</v>
      </c>
    </row>
    <row r="2">
      <c r="A2" t="s">
        <v>844</v>
      </c>
      <c r="B2" t="s">
        <v>845</v>
      </c>
    </row>
    <row r="3">
      <c r="A3" t="s">
        <v>846</v>
      </c>
      <c r="B3" t="s">
        <v>845</v>
      </c>
    </row>
    <row r="4">
      <c r="A4" t="s">
        <v>847</v>
      </c>
      <c r="B4" t="s">
        <v>848</v>
      </c>
    </row>
    <row r="5">
      <c r="A5" t="s">
        <v>849</v>
      </c>
      <c r="B5" t="s">
        <v>850</v>
      </c>
    </row>
    <row r="6">
      <c r="A6" t="s">
        <v>851</v>
      </c>
      <c r="B6" t="s">
        <v>852</v>
      </c>
    </row>
    <row r="7">
      <c r="A7" t="s">
        <v>853</v>
      </c>
      <c r="B7" t="s">
        <v>854</v>
      </c>
    </row>
    <row r="8">
      <c r="A8" t="s">
        <v>855</v>
      </c>
      <c r="B8" t="s">
        <v>856</v>
      </c>
    </row>
    <row r="9">
      <c r="A9" t="s">
        <v>857</v>
      </c>
      <c r="B9" t="s">
        <v>858</v>
      </c>
    </row>
    <row r="10">
      <c r="A10" t="s">
        <v>859</v>
      </c>
      <c r="B10" t="s">
        <v>860</v>
      </c>
    </row>
    <row r="11">
      <c r="A11" t="s">
        <v>861</v>
      </c>
      <c r="B11" t="s">
        <v>862</v>
      </c>
    </row>
    <row r="12">
      <c r="A12" t="s">
        <v>863</v>
      </c>
      <c r="B12" t="s">
        <v>864</v>
      </c>
    </row>
    <row r="13">
      <c r="A13" t="s">
        <v>865</v>
      </c>
      <c r="B13" t="s">
        <v>866</v>
      </c>
    </row>
    <row r="14">
      <c r="A14" t="s">
        <v>867</v>
      </c>
      <c r="B14" t="s">
        <v>868</v>
      </c>
    </row>
    <row r="15">
      <c r="A15" t="s">
        <v>869</v>
      </c>
      <c r="B15" t="s">
        <v>9</v>
      </c>
    </row>
    <row r="16">
      <c r="A16" t="s">
        <v>870</v>
      </c>
      <c r="B16" t="s">
        <v>871</v>
      </c>
    </row>
    <row r="17">
      <c r="A17" t="s">
        <v>28</v>
      </c>
      <c r="B17" t="s">
        <v>872</v>
      </c>
    </row>
    <row r="18">
      <c r="A18" t="s">
        <v>491</v>
      </c>
      <c r="B18" t="s">
        <v>30</v>
      </c>
    </row>
    <row r="19">
      <c r="A19" t="s">
        <v>873</v>
      </c>
      <c r="B19" t="s">
        <v>874</v>
      </c>
    </row>
    <row r="20">
      <c r="A20" t="s">
        <v>875</v>
      </c>
      <c r="B20" t="s">
        <v>876</v>
      </c>
    </row>
    <row r="21">
      <c r="A21" t="s">
        <v>877</v>
      </c>
      <c r="B21" t="s">
        <v>878</v>
      </c>
    </row>
    <row r="22">
      <c r="A22" t="s">
        <v>879</v>
      </c>
      <c r="B22" t="s">
        <v>880</v>
      </c>
    </row>
    <row r="23">
      <c r="A23" t="s">
        <v>881</v>
      </c>
      <c r="B23" t="s">
        <v>882</v>
      </c>
    </row>
    <row r="24">
      <c r="A24" t="s">
        <v>883</v>
      </c>
      <c r="B24" t="s">
        <v>884</v>
      </c>
    </row>
    <row r="25">
      <c r="A25" t="s">
        <v>885</v>
      </c>
      <c r="B25" t="s">
        <v>886</v>
      </c>
    </row>
    <row r="26">
      <c r="A26" t="s">
        <v>887</v>
      </c>
      <c r="B26" t="s">
        <v>360</v>
      </c>
    </row>
    <row r="27">
      <c r="A27" t="s">
        <v>888</v>
      </c>
      <c r="B27" t="s">
        <v>889</v>
      </c>
    </row>
    <row r="28">
      <c r="A28" t="s">
        <v>890</v>
      </c>
      <c r="B28" t="s">
        <v>891</v>
      </c>
    </row>
    <row r="29">
      <c r="A29" t="s">
        <v>892</v>
      </c>
      <c r="B29" t="s">
        <v>891</v>
      </c>
    </row>
    <row r="30">
      <c r="A30" t="s">
        <v>893</v>
      </c>
      <c r="B30" t="s">
        <v>894</v>
      </c>
    </row>
    <row r="31">
      <c r="A31" t="s">
        <v>895</v>
      </c>
      <c r="B31" t="s">
        <v>896</v>
      </c>
    </row>
    <row r="32">
      <c r="A32" t="s">
        <v>897</v>
      </c>
      <c r="B32" t="s">
        <v>898</v>
      </c>
    </row>
    <row r="33">
      <c r="A33" t="s">
        <v>899</v>
      </c>
      <c r="B33" t="s">
        <v>900</v>
      </c>
    </row>
    <row r="34">
      <c r="A34" t="s">
        <v>901</v>
      </c>
      <c r="B34" t="s">
        <v>902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4.71" hidden="0" customWidth="1"/>
    <col min="2" max="2" width="44.71" hidden="0" customWidth="1"/>
    <col min="3" max="3" width="90.71" hidden="0" customWidth="1"/>
  </cols>
  <sheetData>
    <row r="1">
      <c r="A1" t="s">
        <v>863</v>
      </c>
      <c r="B1" t="s">
        <v>903</v>
      </c>
      <c r="C1" t="s">
        <v>4</v>
      </c>
    </row>
    <row r="2">
      <c r="A2" s="10" t="str">
        <f>HYPERLINK("#'Manifest'!A1", "Manifest")</f>
      </c>
      <c r="B2" t="s">
        <v>904</v>
      </c>
      <c r="C2" t="s">
        <v>905</v>
      </c>
    </row>
    <row r="3">
      <c r="A3" s="10" t="str">
        <f>HYPERLINK("#'Overview'!A1", "Overview")</f>
      </c>
      <c r="B3" t="s">
        <v>906</v>
      </c>
      <c r="C3" t="s">
        <v>907</v>
      </c>
    </row>
    <row r="4">
      <c r="A4" s="10" t="str">
        <f>HYPERLINK("#'Baseline &amp; Preop Summary'!A1", "Baseline &amp; Preop Summary")</f>
      </c>
      <c r="B4" t="s">
        <v>908</v>
      </c>
      <c r="C4" t="s">
        <v>909</v>
      </c>
    </row>
    <row r="5">
      <c r="A5" s="10" t="str">
        <f>HYPERLINK("#'Outcome Summary'!A1", "Outcome Summary")</f>
      </c>
      <c r="B5" t="s">
        <v>910</v>
      </c>
      <c r="C5" t="s">
        <v>911</v>
      </c>
    </row>
    <row r="6">
      <c r="A6" s="10" t="str">
        <f>HYPERLINK("#'Publication Table'!A1", "Publication Table")</f>
      </c>
      <c r="B6" t="s">
        <v>912</v>
      </c>
      <c r="C6" t="s">
        <v>913</v>
      </c>
    </row>
    <row r="7">
      <c r="A7" s="10" t="str">
        <f>HYPERLINK("#'mEYEstro_Control'!A1", "mEYEstro_Control")</f>
      </c>
      <c r="B7" t="s">
        <v>914</v>
      </c>
      <c r="C7" t="s">
        <v>915</v>
      </c>
    </row>
    <row r="8">
      <c r="A8" s="10" t="str">
        <f>HYPERLINK("#'mEYEstro_Diabetes'!A1", "mEYEstro_Diabetes")</f>
      </c>
      <c r="B8" t="s">
        <v>916</v>
      </c>
      <c r="C8" t="s">
        <v>915</v>
      </c>
    </row>
    <row r="9">
      <c r="A9" s="10" t="str">
        <f>HYPERLINK("#'AstigMATIC_Control'!A1", "AstigMATIC_Control")</f>
      </c>
      <c r="B9" t="s">
        <v>917</v>
      </c>
      <c r="C9" t="s">
        <v>918</v>
      </c>
    </row>
    <row r="10">
      <c r="A10" s="10" t="str">
        <f>HYPERLINK("#'AstigMATIC_Diabetes'!A1", "AstigMATIC_Diabetes")</f>
      </c>
      <c r="B10" t="s">
        <v>919</v>
      </c>
      <c r="C10" t="s">
        <v>918</v>
      </c>
    </row>
    <row r="11">
      <c r="A11" s="10" t="str">
        <f>HYPERLINK("#'GEE_Main_Unmatched_Base'!A1", "GEE_Main_Unmatched_Base")</f>
      </c>
      <c r="B11" t="s">
        <v>920</v>
      </c>
      <c r="C11" t="s">
        <v>921</v>
      </c>
    </row>
    <row r="12">
      <c r="A12" s="10" t="str">
        <f>HYPERLINK("#'GEE_Main_Unmatched_Preop'!A1", "GEE_Main_Unmatched_Preop")</f>
      </c>
      <c r="B12" t="s">
        <v>922</v>
      </c>
      <c r="C12" t="s">
        <v>921</v>
      </c>
    </row>
    <row r="13">
      <c r="A13" s="10" t="str">
        <f>HYPERLINK("#'GEE_Main_Unmatched_Out'!A1", "GEE_Main_Unmatched_Out")</f>
      </c>
      <c r="B13" t="s">
        <v>923</v>
      </c>
      <c r="C13" t="s">
        <v>921</v>
      </c>
    </row>
    <row r="14">
      <c r="A14" s="10" t="str">
        <f>HYPERLINK("#'GEE_Adj_Unmatched_Base'!A1", "GEE_Adj_Unmatched_Base")</f>
      </c>
      <c r="B14" t="s">
        <v>924</v>
      </c>
      <c r="C14" t="s">
        <v>925</v>
      </c>
    </row>
    <row r="15">
      <c r="A15" s="10" t="str">
        <f>HYPERLINK("#'GEE_Adj_Unmatched_Preop'!A1", "GEE_Adj_Unmatched_Preop")</f>
      </c>
      <c r="B15" t="s">
        <v>926</v>
      </c>
      <c r="C15" t="s">
        <v>925</v>
      </c>
    </row>
    <row r="16">
      <c r="A16" s="10" t="str">
        <f>HYPERLINK("#'GEE_Adj_Unmatched_Out'!A1", "GEE_Adj_Unmatched_Out")</f>
      </c>
      <c r="B16" t="s">
        <v>927</v>
      </c>
      <c r="C16" t="s">
        <v>925</v>
      </c>
    </row>
    <row r="17">
      <c r="A17" s="10" t="str">
        <f>HYPERLINK("#'Regression (adjusted)'!A1", "Regression (adjusted)")</f>
      </c>
      <c r="B17" t="s">
        <v>928</v>
      </c>
      <c r="C17" t="s">
        <v>929</v>
      </c>
    </row>
    <row r="18">
      <c r="A18" s="10" t="str">
        <f>HYPERLINK("#'PSM_Diabetes_vs_Control'!A1", "PSM_Diabetes_vs_Control")</f>
      </c>
      <c r="B18" t="s">
        <v>930</v>
      </c>
      <c r="C18" t="s">
        <v>931</v>
      </c>
    </row>
    <row r="19">
      <c r="A19" s="10" t="str">
        <f>HYPERLINK("#'GEE_M_Diabetes_vs_Control'!A1", "GEE_M_Diabetes_vs_Control")</f>
      </c>
      <c r="B19" t="s">
        <v>932</v>
      </c>
      <c r="C19" t="s">
        <v>933</v>
      </c>
    </row>
    <row r="20">
      <c r="A20" s="10" t="str">
        <f>HYPERLINK("#'GEE_Adj_M_Diabetes_vs_Control'!A1", "GEE_Adj_M_Diabetes_vs_Control")</f>
      </c>
      <c r="B20" t="s">
        <v>934</v>
      </c>
      <c r="C20" t="s">
        <v>935</v>
      </c>
    </row>
    <row r="21">
      <c r="A21" s="10" t="str">
        <f>HYPERLINK("#'Reg_M_Diabetes_vs_Control'!A1", "Reg_M_Diabetes_vs_Control")</f>
      </c>
      <c r="B21" t="s">
        <v>936</v>
      </c>
      <c r="C21" t="s">
        <v>937</v>
      </c>
    </row>
    <row r="22">
      <c r="A22" s="10" t="str">
        <f>HYPERLINK("#'BasePreop_M_Diabetes_vs_Control'!A1", "BasePreop_M_Diabetes_vs_Control")</f>
      </c>
      <c r="B22" t="s">
        <v>938</v>
      </c>
      <c r="C22" t="s">
        <v>939</v>
      </c>
    </row>
    <row r="23">
      <c r="A23" s="10" t="str">
        <f>HYPERLINK("#'Out_M_Diabetes_vs_Control'!A1", "Out_M_Diabetes_vs_Control")</f>
      </c>
      <c r="B23" t="s">
        <v>940</v>
      </c>
      <c r="C23" t="s">
        <v>941</v>
      </c>
    </row>
    <row r="24">
      <c r="A24" s="10" t="str">
        <f>HYPERLINK("#'Pub_M_Diabetes_vs_Control'!A1", "Pub_M_Diabetes_vs_Control")</f>
      </c>
      <c r="B24" t="s">
        <v>942</v>
      </c>
      <c r="C24" t="s">
        <v>943</v>
      </c>
    </row>
    <row r="25">
      <c r="A25" s="10" t="str">
        <f>HYPERLINK("#'mEYEstro_M_Control_Diabetes_vs_'!A1", "mEYEstro_M_Control_Diabetes_vs_")</f>
      </c>
      <c r="B25" t="s">
        <v>945</v>
      </c>
      <c r="C25" t="s">
        <v>946</v>
      </c>
    </row>
    <row r="26">
      <c r="A26" s="10" t="str">
        <f>HYPERLINK("#'mEYEstro_M_Diabetes_Diabetes_vs'!A1", "mEYEstro_M_Diabetes_Diabetes_vs")</f>
      </c>
      <c r="B26" t="s">
        <v>948</v>
      </c>
      <c r="C26" t="s">
        <v>946</v>
      </c>
    </row>
    <row r="27">
      <c r="A27" s="10" t="str">
        <f>HYPERLINK("#'AstigMATIC_M_Control_Diabetes_v'!A1", "AstigMATIC_M_Control_Diabetes_v")</f>
      </c>
      <c r="B27" t="s">
        <v>950</v>
      </c>
      <c r="C27" t="s">
        <v>951</v>
      </c>
    </row>
    <row r="28">
      <c r="A28" s="10" t="str">
        <f>HYPERLINK("#'AstigMATIC_M_Diabetes_Diabetes_'!A1", "AstigMATIC_M_Diabetes_Diabetes_")</f>
      </c>
      <c r="B28" t="s">
        <v>953</v>
      </c>
      <c r="C28" t="s">
        <v>951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dror</dc:creator>
  <cp:lastModifiedBy>dror</cp:lastModifiedBy>
  <dcterms:created xsi:type="dcterms:W3CDTF">2026-10-02T19:38:45Z</dcterms:created>
</coreProperties>
</file>